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b13bd4518ffe097/CATAN_Dashboard/catan-dashboard/"/>
    </mc:Choice>
  </mc:AlternateContent>
  <xr:revisionPtr revIDLastSave="2" documentId="13_ncr:1_{53112B70-DF5C-4EC5-8489-5DE33701E28A}" xr6:coauthVersionLast="47" xr6:coauthVersionMax="47" xr10:uidLastSave="{0DF13699-D50C-4C5F-B9BC-0358198E9636}"/>
  <bookViews>
    <workbookView xWindow="-120" yWindow="-120" windowWidth="29040" windowHeight="15720" activeTab="2" xr2:uid="{00000000-000D-0000-FFFF-FFFF00000000}"/>
  </bookViews>
  <sheets>
    <sheet name="Partidas" sheetId="3" r:id="rId1"/>
    <sheet name="Resultados legacy" sheetId="4" state="hidden" r:id="rId2"/>
    <sheet name="Resultados dashboard" sheetId="5" r:id="rId3"/>
  </sheets>
  <definedNames>
    <definedName name="_xlnm._FilterDatabase" localSheetId="0" hidden="1">Partidas!$A$1:$J$113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FfOc0ookmZ9UCOUnDz+yOGUesdLZeWk5dXNRM8WialU="/>
    </ext>
  </extLst>
</workbook>
</file>

<file path=xl/calcChain.xml><?xml version="1.0" encoding="utf-8"?>
<calcChain xmlns="http://schemas.openxmlformats.org/spreadsheetml/2006/main">
  <c r="H2075" i="5" l="1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7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10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7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2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9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7" i="5"/>
  <c r="H1616" i="5"/>
  <c r="H1615" i="5"/>
  <c r="H1614" i="5"/>
  <c r="H1613" i="5"/>
  <c r="H1612" i="5"/>
  <c r="H1611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3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Q7" i="4"/>
  <c r="L7" i="4"/>
  <c r="G7" i="4"/>
  <c r="Q6" i="4"/>
  <c r="L6" i="4"/>
  <c r="G6" i="4"/>
  <c r="Q5" i="4"/>
  <c r="L5" i="4"/>
  <c r="G5" i="4"/>
  <c r="Q4" i="4"/>
  <c r="L4" i="4"/>
  <c r="G4" i="4"/>
  <c r="Q3" i="4"/>
  <c r="L3" i="4"/>
  <c r="G3" i="4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C10" i="3"/>
  <c r="C11" i="3" s="1"/>
  <c r="C12" i="3" s="1"/>
  <c r="C13" i="3" s="1"/>
  <c r="C14" i="3" s="1"/>
  <c r="J9" i="3"/>
  <c r="B39" i="5" s="1"/>
  <c r="C39" i="5" s="1" a="1"/>
  <c r="C39" i="5" s="1"/>
  <c r="J8" i="3"/>
  <c r="J7" i="3"/>
  <c r="J6" i="3"/>
  <c r="J5" i="3"/>
  <c r="J4" i="3"/>
  <c r="J3" i="3"/>
  <c r="J2" i="3"/>
  <c r="A39" i="5" l="1" a="1"/>
  <c r="A39" i="5" s="1"/>
  <c r="B40" i="5"/>
  <c r="C40" i="5" l="1" a="1"/>
  <c r="C40" i="5" s="1"/>
  <c r="A40" i="5" a="1"/>
  <c r="A40" i="5" s="1"/>
  <c r="B41" i="5"/>
  <c r="B42" i="5" l="1"/>
  <c r="C41" i="5" a="1"/>
  <c r="C41" i="5" s="1"/>
  <c r="A41" i="5" a="1"/>
  <c r="A41" i="5" s="1"/>
  <c r="C42" i="5" l="1" a="1"/>
  <c r="C42" i="5" s="1"/>
  <c r="A42" i="5" a="1"/>
  <c r="A42" i="5" s="1"/>
  <c r="B43" i="5"/>
  <c r="B44" i="5" l="1"/>
  <c r="C43" i="5" a="1"/>
  <c r="C43" i="5" s="1"/>
  <c r="A43" i="5" a="1"/>
  <c r="A43" i="5" s="1"/>
  <c r="C44" i="5" l="1" a="1"/>
  <c r="C44" i="5" s="1"/>
  <c r="A44" i="5" a="1"/>
  <c r="A44" i="5" s="1"/>
  <c r="B45" i="5"/>
  <c r="B46" i="5" l="1"/>
  <c r="C45" i="5" a="1"/>
  <c r="C45" i="5" s="1"/>
  <c r="A45" i="5" a="1"/>
  <c r="A45" i="5" s="1"/>
  <c r="A46" i="5" l="1" a="1"/>
  <c r="A46" i="5" s="1"/>
  <c r="B47" i="5"/>
  <c r="C46" i="5" a="1"/>
  <c r="C46" i="5" s="1"/>
  <c r="C47" i="5" l="1" a="1"/>
  <c r="C47" i="5" s="1"/>
  <c r="A47" i="5" a="1"/>
  <c r="A47" i="5" s="1"/>
  <c r="B48" i="5"/>
  <c r="B49" i="5" l="1"/>
  <c r="C48" i="5" a="1"/>
  <c r="C48" i="5" s="1"/>
  <c r="A48" i="5" a="1"/>
  <c r="A48" i="5" s="1"/>
  <c r="C49" i="5" l="1" a="1"/>
  <c r="C49" i="5" s="1"/>
  <c r="A49" i="5" a="1"/>
  <c r="A49" i="5" s="1"/>
  <c r="B50" i="5"/>
  <c r="B51" i="5" l="1"/>
  <c r="C50" i="5" a="1"/>
  <c r="C50" i="5" s="1"/>
  <c r="A50" i="5" a="1"/>
  <c r="A50" i="5" s="1"/>
  <c r="C51" i="5" l="1" a="1"/>
  <c r="C51" i="5" s="1"/>
  <c r="A51" i="5" a="1"/>
  <c r="A51" i="5" s="1"/>
  <c r="B52" i="5"/>
  <c r="B53" i="5" l="1"/>
  <c r="C52" i="5" a="1"/>
  <c r="C52" i="5" s="1"/>
  <c r="A52" i="5" a="1"/>
  <c r="A52" i="5" s="1"/>
  <c r="A53" i="5" l="1" a="1"/>
  <c r="A53" i="5" s="1"/>
  <c r="B54" i="5"/>
  <c r="C53" i="5" a="1"/>
  <c r="C53" i="5" s="1"/>
  <c r="C54" i="5" l="1" a="1"/>
  <c r="C54" i="5" s="1"/>
  <c r="A54" i="5" a="1"/>
  <c r="A54" i="5" s="1"/>
  <c r="B55" i="5"/>
  <c r="B56" i="5" l="1"/>
  <c r="C55" i="5" a="1"/>
  <c r="C55" i="5" s="1"/>
  <c r="A55" i="5" a="1"/>
  <c r="A55" i="5" s="1"/>
  <c r="C56" i="5" l="1" a="1"/>
  <c r="C56" i="5" s="1"/>
  <c r="A56" i="5" a="1"/>
  <c r="A56" i="5" s="1"/>
  <c r="B57" i="5"/>
  <c r="B58" i="5" l="1"/>
  <c r="C57" i="5" a="1"/>
  <c r="C57" i="5" s="1"/>
  <c r="A57" i="5" a="1"/>
  <c r="A57" i="5" s="1"/>
  <c r="C58" i="5" l="1" a="1"/>
  <c r="C58" i="5" s="1"/>
  <c r="A58" i="5" a="1"/>
  <c r="A58" i="5" s="1"/>
  <c r="B59" i="5"/>
  <c r="B60" i="5" l="1"/>
  <c r="C59" i="5" a="1"/>
  <c r="C59" i="5" s="1"/>
  <c r="A59" i="5" a="1"/>
  <c r="A59" i="5" s="1"/>
  <c r="A60" i="5" l="1" a="1"/>
  <c r="A60" i="5" s="1"/>
  <c r="B61" i="5"/>
  <c r="C60" i="5" a="1"/>
  <c r="C60" i="5" s="1"/>
  <c r="C61" i="5" l="1" a="1"/>
  <c r="C61" i="5" s="1"/>
  <c r="A61" i="5" a="1"/>
  <c r="A61" i="5" s="1"/>
  <c r="B62" i="5"/>
  <c r="B63" i="5" l="1"/>
  <c r="C62" i="5" a="1"/>
  <c r="C62" i="5" s="1"/>
  <c r="A62" i="5" a="1"/>
  <c r="A62" i="5" s="1"/>
  <c r="C63" i="5" l="1" a="1"/>
  <c r="C63" i="5" s="1"/>
  <c r="A63" i="5" a="1"/>
  <c r="A63" i="5" s="1"/>
  <c r="B64" i="5"/>
  <c r="B65" i="5" l="1"/>
  <c r="C64" i="5" a="1"/>
  <c r="C64" i="5" s="1"/>
  <c r="A64" i="5" a="1"/>
  <c r="A64" i="5" s="1"/>
  <c r="C65" i="5" l="1" a="1"/>
  <c r="C65" i="5" s="1"/>
  <c r="A65" i="5" a="1"/>
  <c r="A65" i="5" s="1"/>
  <c r="B66" i="5"/>
  <c r="B67" i="5" l="1"/>
  <c r="C66" i="5" a="1"/>
  <c r="C66" i="5" s="1"/>
  <c r="A66" i="5" a="1"/>
  <c r="A66" i="5" s="1"/>
  <c r="A67" i="5" l="1" a="1"/>
  <c r="A67" i="5" s="1"/>
  <c r="B68" i="5"/>
  <c r="C67" i="5" a="1"/>
  <c r="C67" i="5" s="1"/>
  <c r="C68" i="5" l="1" a="1"/>
  <c r="C68" i="5" s="1"/>
  <c r="A68" i="5" a="1"/>
  <c r="A68" i="5" s="1"/>
  <c r="B69" i="5"/>
  <c r="B70" i="5" l="1"/>
  <c r="C69" i="5" a="1"/>
  <c r="C69" i="5" s="1"/>
  <c r="A69" i="5" a="1"/>
  <c r="A69" i="5" s="1"/>
  <c r="C70" i="5" l="1" a="1"/>
  <c r="C70" i="5" s="1"/>
  <c r="A70" i="5" a="1"/>
  <c r="A70" i="5" s="1"/>
  <c r="B71" i="5"/>
  <c r="B72" i="5" l="1"/>
  <c r="C71" i="5" a="1"/>
  <c r="C71" i="5" s="1"/>
  <c r="A71" i="5" a="1"/>
  <c r="A71" i="5" s="1"/>
  <c r="C72" i="5" l="1" a="1"/>
  <c r="C72" i="5" s="1"/>
  <c r="A72" i="5" a="1"/>
  <c r="A72" i="5" s="1"/>
  <c r="B73" i="5"/>
  <c r="B74" i="5" l="1"/>
  <c r="C73" i="5" a="1"/>
  <c r="C73" i="5" s="1"/>
  <c r="A73" i="5" a="1"/>
  <c r="A73" i="5" s="1"/>
  <c r="A74" i="5" l="1" a="1"/>
  <c r="A74" i="5" s="1"/>
  <c r="B75" i="5"/>
  <c r="C74" i="5" a="1"/>
  <c r="C74" i="5" s="1"/>
  <c r="C75" i="5" l="1" a="1"/>
  <c r="C75" i="5" s="1"/>
  <c r="A75" i="5" a="1"/>
  <c r="A75" i="5" s="1"/>
  <c r="B76" i="5"/>
  <c r="B77" i="5" l="1"/>
  <c r="C76" i="5" a="1"/>
  <c r="C76" i="5" s="1"/>
  <c r="A76" i="5" a="1"/>
  <c r="A76" i="5" s="1"/>
  <c r="C77" i="5" l="1" a="1"/>
  <c r="C77" i="5" s="1"/>
  <c r="A77" i="5" a="1"/>
  <c r="A77" i="5" s="1"/>
  <c r="B78" i="5"/>
  <c r="B79" i="5" l="1"/>
  <c r="C78" i="5" a="1"/>
  <c r="C78" i="5" s="1"/>
  <c r="A78" i="5" a="1"/>
  <c r="A78" i="5" s="1"/>
  <c r="C79" i="5" l="1" a="1"/>
  <c r="C79" i="5" s="1"/>
  <c r="A79" i="5" a="1"/>
  <c r="A79" i="5" s="1"/>
  <c r="B80" i="5"/>
  <c r="B81" i="5" l="1"/>
  <c r="C80" i="5" a="1"/>
  <c r="C80" i="5" s="1"/>
  <c r="A80" i="5" a="1"/>
  <c r="A80" i="5" s="1"/>
  <c r="C81" i="5" l="1" a="1"/>
  <c r="C81" i="5" s="1"/>
  <c r="A81" i="5" a="1"/>
  <c r="A81" i="5" s="1"/>
  <c r="B82" i="5"/>
  <c r="B83" i="5" l="1"/>
  <c r="C82" i="5" a="1"/>
  <c r="C82" i="5" s="1"/>
  <c r="A82" i="5" a="1"/>
  <c r="A82" i="5" s="1"/>
  <c r="C83" i="5" l="1" a="1"/>
  <c r="C83" i="5" s="1"/>
  <c r="A83" i="5" a="1"/>
  <c r="A83" i="5" s="1"/>
  <c r="B84" i="5"/>
  <c r="B85" i="5" l="1"/>
  <c r="C84" i="5" a="1"/>
  <c r="C84" i="5" s="1"/>
  <c r="A84" i="5" a="1"/>
  <c r="A84" i="5" s="1"/>
  <c r="A85" i="5" l="1" a="1"/>
  <c r="A85" i="5" s="1"/>
  <c r="B86" i="5"/>
  <c r="C85" i="5" a="1"/>
  <c r="C85" i="5" s="1"/>
  <c r="C86" i="5" l="1" a="1"/>
  <c r="C86" i="5" s="1"/>
  <c r="B87" i="5"/>
  <c r="A86" i="5" a="1"/>
  <c r="A86" i="5" s="1"/>
  <c r="B88" i="5" l="1"/>
  <c r="A87" i="5" a="1"/>
  <c r="A87" i="5" s="1"/>
  <c r="C87" i="5" a="1"/>
  <c r="C87" i="5" s="1"/>
  <c r="C88" i="5" l="1" a="1"/>
  <c r="C88" i="5" s="1"/>
  <c r="A88" i="5" a="1"/>
  <c r="A88" i="5" s="1"/>
  <c r="B89" i="5"/>
  <c r="A89" i="5" l="1" a="1"/>
  <c r="A89" i="5" s="1"/>
  <c r="B90" i="5"/>
  <c r="C89" i="5" a="1"/>
  <c r="C89" i="5" s="1"/>
  <c r="C90" i="5" l="1" a="1"/>
  <c r="C90" i="5" s="1"/>
  <c r="A90" i="5" a="1"/>
  <c r="A90" i="5" s="1"/>
  <c r="B91" i="5"/>
  <c r="B92" i="5" l="1"/>
  <c r="C91" i="5" a="1"/>
  <c r="C91" i="5" s="1"/>
  <c r="A91" i="5" a="1"/>
  <c r="A91" i="5" s="1"/>
  <c r="C92" i="5" l="1" a="1"/>
  <c r="C92" i="5" s="1"/>
  <c r="A92" i="5" a="1"/>
  <c r="A92" i="5" s="1"/>
  <c r="B93" i="5"/>
  <c r="C93" i="5" l="1" a="1"/>
  <c r="C93" i="5" s="1"/>
  <c r="B94" i="5"/>
  <c r="A93" i="5" a="1"/>
  <c r="A93" i="5" s="1"/>
  <c r="B95" i="5" l="1"/>
  <c r="C94" i="5" a="1"/>
  <c r="C94" i="5" s="1"/>
  <c r="A94" i="5" a="1"/>
  <c r="A94" i="5" s="1"/>
  <c r="B96" i="5" l="1"/>
  <c r="C95" i="5" a="1"/>
  <c r="C95" i="5" s="1"/>
  <c r="A95" i="5" a="1"/>
  <c r="A95" i="5" s="1"/>
  <c r="C96" i="5" l="1" a="1"/>
  <c r="C96" i="5" s="1"/>
  <c r="A96" i="5" a="1"/>
  <c r="A96" i="5" s="1"/>
  <c r="B97" i="5"/>
  <c r="B98" i="5" l="1"/>
  <c r="C97" i="5" a="1"/>
  <c r="C97" i="5" s="1"/>
  <c r="A97" i="5" a="1"/>
  <c r="A97" i="5" s="1"/>
  <c r="C98" i="5" l="1" a="1"/>
  <c r="C98" i="5" s="1"/>
  <c r="A98" i="5" a="1"/>
  <c r="A98" i="5" s="1"/>
  <c r="B99" i="5"/>
  <c r="B100" i="5" l="1"/>
  <c r="C99" i="5" a="1"/>
  <c r="C99" i="5" s="1"/>
  <c r="A99" i="5" a="1"/>
  <c r="A99" i="5" s="1"/>
  <c r="C100" i="5" l="1" a="1"/>
  <c r="C100" i="5" s="1"/>
  <c r="A100" i="5" a="1"/>
  <c r="A100" i="5" s="1"/>
  <c r="B101" i="5"/>
  <c r="B102" i="5" l="1"/>
  <c r="C101" i="5" a="1"/>
  <c r="C101" i="5" s="1"/>
  <c r="A101" i="5" a="1"/>
  <c r="A101" i="5" s="1"/>
  <c r="C102" i="5" l="1" a="1"/>
  <c r="C102" i="5" s="1"/>
  <c r="A102" i="5" a="1"/>
  <c r="A102" i="5" s="1"/>
  <c r="B103" i="5"/>
  <c r="C103" i="5" l="1" a="1"/>
  <c r="C103" i="5" s="1"/>
  <c r="B104" i="5"/>
  <c r="A103" i="5" a="1"/>
  <c r="A103" i="5" s="1"/>
  <c r="A104" i="5" l="1" a="1"/>
  <c r="A104" i="5" s="1"/>
  <c r="B105" i="5"/>
  <c r="C104" i="5" a="1"/>
  <c r="C104" i="5" s="1"/>
  <c r="B106" i="5" l="1"/>
  <c r="C105" i="5" a="1"/>
  <c r="C105" i="5" s="1"/>
  <c r="A105" i="5" a="1"/>
  <c r="A105" i="5" s="1"/>
  <c r="B107" i="5" l="1"/>
  <c r="C106" i="5" a="1"/>
  <c r="C106" i="5" s="1"/>
  <c r="A106" i="5" a="1"/>
  <c r="A106" i="5" s="1"/>
  <c r="C107" i="5" l="1" a="1"/>
  <c r="C107" i="5" s="1"/>
  <c r="A107" i="5" a="1"/>
  <c r="A107" i="5" s="1"/>
  <c r="B108" i="5"/>
  <c r="B109" i="5" l="1"/>
  <c r="C108" i="5" a="1"/>
  <c r="C108" i="5" s="1"/>
  <c r="A108" i="5" a="1"/>
  <c r="A108" i="5" s="1"/>
  <c r="C109" i="5" l="1" a="1"/>
  <c r="C109" i="5" s="1"/>
  <c r="A109" i="5" a="1"/>
  <c r="A109" i="5" s="1"/>
  <c r="B110" i="5"/>
  <c r="C110" i="5" l="1" a="1"/>
  <c r="C110" i="5" s="1"/>
  <c r="B111" i="5"/>
  <c r="A110" i="5" a="1"/>
  <c r="A110" i="5" s="1"/>
  <c r="A111" i="5" l="1" a="1"/>
  <c r="A111" i="5" s="1"/>
  <c r="B112" i="5"/>
  <c r="C111" i="5" a="1"/>
  <c r="C111" i="5" s="1"/>
  <c r="B113" i="5" l="1"/>
  <c r="C112" i="5" a="1"/>
  <c r="C112" i="5" s="1"/>
  <c r="A112" i="5" a="1"/>
  <c r="A112" i="5" s="1"/>
  <c r="C113" i="5" l="1" a="1"/>
  <c r="C113" i="5" s="1"/>
  <c r="A113" i="5" a="1"/>
  <c r="A113" i="5" s="1"/>
  <c r="B114" i="5"/>
  <c r="C114" i="5" l="1" a="1"/>
  <c r="C114" i="5" s="1"/>
  <c r="B115" i="5"/>
  <c r="A114" i="5" a="1"/>
  <c r="A114" i="5" s="1"/>
  <c r="B116" i="5" l="1"/>
  <c r="C115" i="5" a="1"/>
  <c r="C115" i="5" s="1"/>
  <c r="A115" i="5" a="1"/>
  <c r="A115" i="5" s="1"/>
  <c r="B117" i="5" l="1"/>
  <c r="C116" i="5" a="1"/>
  <c r="C116" i="5" s="1"/>
  <c r="A116" i="5" a="1"/>
  <c r="A116" i="5" s="1"/>
  <c r="C117" i="5" l="1" a="1"/>
  <c r="C117" i="5" s="1"/>
  <c r="B118" i="5"/>
  <c r="A117" i="5" a="1"/>
  <c r="A117" i="5" s="1"/>
  <c r="A118" i="5" l="1" a="1"/>
  <c r="A118" i="5" s="1"/>
  <c r="B119" i="5"/>
  <c r="C118" i="5" a="1"/>
  <c r="C118" i="5" s="1"/>
  <c r="B120" i="5" l="1"/>
  <c r="C119" i="5" a="1"/>
  <c r="C119" i="5" s="1"/>
  <c r="A119" i="5" a="1"/>
  <c r="A119" i="5" s="1"/>
  <c r="A120" i="5" l="1" a="1"/>
  <c r="A120" i="5" s="1"/>
  <c r="B121" i="5"/>
  <c r="C120" i="5" a="1"/>
  <c r="C120" i="5" s="1"/>
  <c r="C121" i="5" l="1" a="1"/>
  <c r="C121" i="5" s="1"/>
  <c r="B122" i="5"/>
  <c r="A121" i="5" a="1"/>
  <c r="A121" i="5" s="1"/>
  <c r="B123" i="5" l="1"/>
  <c r="A122" i="5" a="1"/>
  <c r="A122" i="5" s="1"/>
  <c r="C122" i="5" a="1"/>
  <c r="C122" i="5" s="1"/>
  <c r="B124" i="5" l="1"/>
  <c r="C123" i="5" a="1"/>
  <c r="C123" i="5" s="1"/>
  <c r="A123" i="5" a="1"/>
  <c r="A123" i="5" s="1"/>
  <c r="C124" i="5" l="1" a="1"/>
  <c r="C124" i="5" s="1"/>
  <c r="A124" i="5" a="1"/>
  <c r="A124" i="5" s="1"/>
  <c r="B125" i="5"/>
  <c r="A125" i="5" l="1" a="1"/>
  <c r="A125" i="5" s="1"/>
  <c r="B126" i="5"/>
  <c r="C125" i="5" a="1"/>
  <c r="C125" i="5" s="1"/>
  <c r="C126" i="5" l="1" a="1"/>
  <c r="C126" i="5" s="1"/>
  <c r="A126" i="5" a="1"/>
  <c r="A126" i="5" s="1"/>
  <c r="B127" i="5"/>
  <c r="B128" i="5" l="1"/>
  <c r="C127" i="5" a="1"/>
  <c r="C127" i="5" s="1"/>
  <c r="A127" i="5" a="1"/>
  <c r="A127" i="5" s="1"/>
  <c r="C128" i="5" l="1" a="1"/>
  <c r="C128" i="5" s="1"/>
  <c r="A128" i="5" a="1"/>
  <c r="A128" i="5" s="1"/>
  <c r="B129" i="5"/>
  <c r="B130" i="5" l="1"/>
  <c r="C129" i="5" a="1"/>
  <c r="C129" i="5" s="1"/>
  <c r="A129" i="5" a="1"/>
  <c r="A129" i="5" s="1"/>
  <c r="C130" i="5" l="1" a="1"/>
  <c r="C130" i="5" s="1"/>
  <c r="A130" i="5" a="1"/>
  <c r="A130" i="5" s="1"/>
  <c r="B131" i="5"/>
  <c r="C131" i="5" l="1" a="1"/>
  <c r="C131" i="5" s="1"/>
  <c r="A131" i="5" a="1"/>
  <c r="A131" i="5" s="1"/>
  <c r="B132" i="5"/>
  <c r="A132" i="5" l="1" a="1"/>
  <c r="A132" i="5" s="1"/>
  <c r="B133" i="5"/>
  <c r="C132" i="5" a="1"/>
  <c r="C132" i="5" s="1"/>
  <c r="A133" i="5" l="1" a="1"/>
  <c r="A133" i="5" s="1"/>
  <c r="B134" i="5"/>
  <c r="C133" i="5" a="1"/>
  <c r="C133" i="5" s="1"/>
  <c r="B135" i="5" l="1"/>
  <c r="C134" i="5" a="1"/>
  <c r="C134" i="5" s="1"/>
  <c r="A134" i="5" a="1"/>
  <c r="A134" i="5" s="1"/>
  <c r="C135" i="5" l="1" a="1"/>
  <c r="C135" i="5" s="1"/>
  <c r="A135" i="5" a="1"/>
  <c r="A135" i="5" s="1"/>
  <c r="B136" i="5"/>
  <c r="B137" i="5" l="1"/>
  <c r="C136" i="5" a="1"/>
  <c r="C136" i="5" s="1"/>
  <c r="A136" i="5" a="1"/>
  <c r="A136" i="5" s="1"/>
  <c r="C137" i="5" l="1" a="1"/>
  <c r="C137" i="5" s="1"/>
  <c r="A137" i="5" a="1"/>
  <c r="A137" i="5" s="1"/>
  <c r="B138" i="5"/>
  <c r="C138" i="5" l="1" a="1"/>
  <c r="C138" i="5" s="1"/>
  <c r="B139" i="5"/>
  <c r="A138" i="5" a="1"/>
  <c r="A138" i="5" s="1"/>
  <c r="A139" i="5" l="1" a="1"/>
  <c r="A139" i="5" s="1"/>
  <c r="B140" i="5"/>
  <c r="C139" i="5" a="1"/>
  <c r="C139" i="5" s="1"/>
  <c r="B141" i="5" l="1"/>
  <c r="C140" i="5" a="1"/>
  <c r="C140" i="5" s="1"/>
  <c r="A140" i="5" a="1"/>
  <c r="A140" i="5" s="1"/>
  <c r="C141" i="5" l="1" a="1"/>
  <c r="C141" i="5" s="1"/>
  <c r="A141" i="5" a="1"/>
  <c r="A141" i="5" s="1"/>
  <c r="B142" i="5"/>
  <c r="C142" i="5" l="1" a="1"/>
  <c r="C142" i="5" s="1"/>
  <c r="A142" i="5" a="1"/>
  <c r="A142" i="5" s="1"/>
  <c r="B143" i="5"/>
  <c r="B144" i="5" l="1"/>
  <c r="C143" i="5" a="1"/>
  <c r="C143" i="5" s="1"/>
  <c r="A143" i="5" a="1"/>
  <c r="A143" i="5" s="1"/>
  <c r="A144" i="5" l="1" a="1"/>
  <c r="A144" i="5" s="1"/>
  <c r="B145" i="5"/>
  <c r="C144" i="5" a="1"/>
  <c r="C144" i="5" s="1"/>
  <c r="C145" i="5" l="1" a="1"/>
  <c r="C145" i="5" s="1"/>
  <c r="B146" i="5"/>
  <c r="A145" i="5" a="1"/>
  <c r="A145" i="5" s="1"/>
  <c r="A146" i="5" l="1" a="1"/>
  <c r="A146" i="5" s="1"/>
  <c r="B147" i="5"/>
  <c r="C146" i="5" a="1"/>
  <c r="C146" i="5" s="1"/>
  <c r="B148" i="5" l="1"/>
  <c r="C147" i="5" a="1"/>
  <c r="C147" i="5" s="1"/>
  <c r="A147" i="5" a="1"/>
  <c r="A147" i="5" s="1"/>
  <c r="C148" i="5" l="1" a="1"/>
  <c r="C148" i="5" s="1"/>
  <c r="A148" i="5" a="1"/>
  <c r="A148" i="5" s="1"/>
  <c r="B149" i="5"/>
  <c r="C149" i="5" l="1" a="1"/>
  <c r="C149" i="5" s="1"/>
  <c r="B150" i="5"/>
  <c r="A149" i="5" a="1"/>
  <c r="A149" i="5" s="1"/>
  <c r="B151" i="5" l="1"/>
  <c r="C150" i="5" a="1"/>
  <c r="C150" i="5" s="1"/>
  <c r="A150" i="5" a="1"/>
  <c r="A150" i="5" s="1"/>
  <c r="B152" i="5" l="1"/>
  <c r="C151" i="5" a="1"/>
  <c r="C151" i="5" s="1"/>
  <c r="A151" i="5" a="1"/>
  <c r="A151" i="5" s="1"/>
  <c r="C152" i="5" l="1" a="1"/>
  <c r="C152" i="5" s="1"/>
  <c r="A152" i="5" a="1"/>
  <c r="A152" i="5" s="1"/>
  <c r="B153" i="5"/>
  <c r="A153" i="5" l="1" a="1"/>
  <c r="A153" i="5" s="1"/>
  <c r="B154" i="5"/>
  <c r="C153" i="5" a="1"/>
  <c r="C153" i="5" s="1"/>
  <c r="B155" i="5" l="1"/>
  <c r="C154" i="5" a="1"/>
  <c r="C154" i="5" s="1"/>
  <c r="A154" i="5" a="1"/>
  <c r="A154" i="5" s="1"/>
  <c r="A155" i="5" l="1" a="1"/>
  <c r="A155" i="5" s="1"/>
  <c r="B156" i="5"/>
  <c r="C155" i="5" a="1"/>
  <c r="C155" i="5" s="1"/>
  <c r="C156" i="5" l="1" a="1"/>
  <c r="C156" i="5" s="1"/>
  <c r="B157" i="5"/>
  <c r="A156" i="5" a="1"/>
  <c r="A156" i="5" s="1"/>
  <c r="B158" i="5" l="1"/>
  <c r="A157" i="5" a="1"/>
  <c r="A157" i="5" s="1"/>
  <c r="C157" i="5" a="1"/>
  <c r="C157" i="5" s="1"/>
  <c r="B159" i="5" l="1"/>
  <c r="C158" i="5" a="1"/>
  <c r="C158" i="5" s="1"/>
  <c r="A158" i="5" a="1"/>
  <c r="A158" i="5" s="1"/>
  <c r="C159" i="5" l="1" a="1"/>
  <c r="C159" i="5" s="1"/>
  <c r="A159" i="5" a="1"/>
  <c r="A159" i="5" s="1"/>
  <c r="B160" i="5"/>
  <c r="A160" i="5" l="1" a="1"/>
  <c r="A160" i="5" s="1"/>
  <c r="B161" i="5"/>
  <c r="C160" i="5" a="1"/>
  <c r="C160" i="5" s="1"/>
  <c r="C161" i="5" l="1" a="1"/>
  <c r="C161" i="5" s="1"/>
  <c r="A161" i="5" a="1"/>
  <c r="A161" i="5" s="1"/>
  <c r="B162" i="5"/>
  <c r="B163" i="5" l="1"/>
  <c r="C162" i="5" a="1"/>
  <c r="C162" i="5" s="1"/>
  <c r="A162" i="5" a="1"/>
  <c r="A162" i="5" s="1"/>
  <c r="C163" i="5" l="1" a="1"/>
  <c r="C163" i="5" s="1"/>
  <c r="A163" i="5" a="1"/>
  <c r="A163" i="5" s="1"/>
  <c r="B164" i="5"/>
  <c r="B165" i="5" l="1"/>
  <c r="C164" i="5" a="1"/>
  <c r="C164" i="5" s="1"/>
  <c r="A164" i="5" a="1"/>
  <c r="A164" i="5" s="1"/>
  <c r="C165" i="5" l="1" a="1"/>
  <c r="C165" i="5" s="1"/>
  <c r="A165" i="5" a="1"/>
  <c r="A165" i="5" s="1"/>
  <c r="B166" i="5"/>
  <c r="C166" i="5" l="1" a="1"/>
  <c r="C166" i="5" s="1"/>
  <c r="B167" i="5"/>
  <c r="A166" i="5" a="1"/>
  <c r="A166" i="5" s="1"/>
  <c r="A167" i="5" l="1" a="1"/>
  <c r="A167" i="5" s="1"/>
  <c r="B168" i="5"/>
  <c r="C167" i="5" a="1"/>
  <c r="C167" i="5" s="1"/>
  <c r="A168" i="5" l="1" a="1"/>
  <c r="A168" i="5" s="1"/>
  <c r="B169" i="5"/>
  <c r="C168" i="5" a="1"/>
  <c r="C168" i="5" s="1"/>
  <c r="B170" i="5" l="1"/>
  <c r="C169" i="5" a="1"/>
  <c r="C169" i="5" s="1"/>
  <c r="A169" i="5" a="1"/>
  <c r="A169" i="5" s="1"/>
  <c r="C170" i="5" l="1" a="1"/>
  <c r="C170" i="5" s="1"/>
  <c r="A170" i="5" a="1"/>
  <c r="A170" i="5" s="1"/>
  <c r="B171" i="5"/>
  <c r="B172" i="5" l="1"/>
  <c r="C171" i="5" a="1"/>
  <c r="C171" i="5" s="1"/>
  <c r="A171" i="5" a="1"/>
  <c r="A171" i="5" s="1"/>
  <c r="C172" i="5" l="1" a="1"/>
  <c r="C172" i="5" s="1"/>
  <c r="A172" i="5" a="1"/>
  <c r="A172" i="5" s="1"/>
  <c r="B173" i="5"/>
  <c r="C173" i="5" l="1" a="1"/>
  <c r="C173" i="5" s="1"/>
  <c r="B174" i="5"/>
  <c r="A173" i="5" a="1"/>
  <c r="A173" i="5" s="1"/>
  <c r="A174" i="5" l="1" a="1"/>
  <c r="A174" i="5" s="1"/>
  <c r="B175" i="5"/>
  <c r="C174" i="5" a="1"/>
  <c r="C174" i="5" s="1"/>
  <c r="B176" i="5" l="1"/>
  <c r="C175" i="5" a="1"/>
  <c r="C175" i="5" s="1"/>
  <c r="A175" i="5" a="1"/>
  <c r="A175" i="5" s="1"/>
  <c r="C176" i="5" l="1" a="1"/>
  <c r="C176" i="5" s="1"/>
  <c r="A176" i="5" a="1"/>
  <c r="A176" i="5" s="1"/>
  <c r="B177" i="5"/>
  <c r="C177" i="5" l="1" a="1"/>
  <c r="C177" i="5" s="1"/>
  <c r="B178" i="5"/>
  <c r="A177" i="5" a="1"/>
  <c r="A177" i="5" s="1"/>
  <c r="B179" i="5" l="1"/>
  <c r="C178" i="5" a="1"/>
  <c r="C178" i="5" s="1"/>
  <c r="A178" i="5" a="1"/>
  <c r="A178" i="5" s="1"/>
  <c r="B180" i="5" l="1"/>
  <c r="A179" i="5" a="1"/>
  <c r="A179" i="5" s="1"/>
  <c r="C179" i="5" a="1"/>
  <c r="C179" i="5" s="1"/>
  <c r="C180" i="5" l="1" a="1"/>
  <c r="C180" i="5" s="1"/>
  <c r="B181" i="5"/>
  <c r="A180" i="5" a="1"/>
  <c r="A180" i="5" s="1"/>
  <c r="A181" i="5" l="1" a="1"/>
  <c r="A181" i="5" s="1"/>
  <c r="B182" i="5"/>
  <c r="C181" i="5" a="1"/>
  <c r="C181" i="5" s="1"/>
  <c r="B183" i="5" l="1"/>
  <c r="C182" i="5" a="1"/>
  <c r="C182" i="5" s="1"/>
  <c r="A182" i="5" a="1"/>
  <c r="A182" i="5" s="1"/>
  <c r="C183" i="5" l="1" a="1"/>
  <c r="C183" i="5" s="1"/>
  <c r="A183" i="5" a="1"/>
  <c r="A183" i="5" s="1"/>
  <c r="B184" i="5"/>
  <c r="C184" i="5" l="1" a="1"/>
  <c r="C184" i="5" s="1"/>
  <c r="B185" i="5"/>
  <c r="A184" i="5" a="1"/>
  <c r="A184" i="5" s="1"/>
  <c r="B186" i="5" l="1"/>
  <c r="C185" i="5" a="1"/>
  <c r="C185" i="5" s="1"/>
  <c r="A185" i="5" a="1"/>
  <c r="A185" i="5" s="1"/>
  <c r="B187" i="5" l="1"/>
  <c r="C186" i="5" a="1"/>
  <c r="C186" i="5" s="1"/>
  <c r="A186" i="5" a="1"/>
  <c r="A186" i="5" s="1"/>
  <c r="C187" i="5" l="1" a="1"/>
  <c r="C187" i="5" s="1"/>
  <c r="A187" i="5" a="1"/>
  <c r="A187" i="5" s="1"/>
  <c r="B188" i="5"/>
  <c r="A188" i="5" l="1" a="1"/>
  <c r="A188" i="5" s="1"/>
  <c r="B189" i="5"/>
  <c r="C188" i="5" a="1"/>
  <c r="C188" i="5" s="1"/>
  <c r="C189" i="5" l="1" a="1"/>
  <c r="C189" i="5" s="1"/>
  <c r="A189" i="5" a="1"/>
  <c r="A189" i="5" s="1"/>
  <c r="B190" i="5"/>
  <c r="A190" i="5" l="1" a="1"/>
  <c r="A190" i="5" s="1"/>
  <c r="B191" i="5"/>
  <c r="C190" i="5" a="1"/>
  <c r="C190" i="5" s="1"/>
  <c r="C191" i="5" l="1" a="1"/>
  <c r="C191" i="5" s="1"/>
  <c r="A191" i="5" a="1"/>
  <c r="A191" i="5" s="1"/>
  <c r="B192" i="5"/>
  <c r="B193" i="5" l="1"/>
  <c r="A192" i="5" a="1"/>
  <c r="A192" i="5" s="1"/>
  <c r="C192" i="5" a="1"/>
  <c r="C192" i="5" s="1"/>
  <c r="B194" i="5" l="1"/>
  <c r="C193" i="5" a="1"/>
  <c r="C193" i="5" s="1"/>
  <c r="A193" i="5" a="1"/>
  <c r="A193" i="5" s="1"/>
  <c r="C194" i="5" l="1" a="1"/>
  <c r="C194" i="5" s="1"/>
  <c r="A194" i="5" a="1"/>
  <c r="A194" i="5" s="1"/>
  <c r="B195" i="5"/>
  <c r="A195" i="5" l="1" a="1"/>
  <c r="A195" i="5" s="1"/>
  <c r="B196" i="5"/>
  <c r="C195" i="5" a="1"/>
  <c r="C195" i="5" s="1"/>
  <c r="C196" i="5" l="1" a="1"/>
  <c r="C196" i="5" s="1"/>
  <c r="A196" i="5" a="1"/>
  <c r="A196" i="5" s="1"/>
  <c r="B197" i="5"/>
  <c r="B198" i="5" l="1"/>
  <c r="C197" i="5" a="1"/>
  <c r="C197" i="5" s="1"/>
  <c r="A197" i="5" a="1"/>
  <c r="A197" i="5" s="1"/>
  <c r="C198" i="5" l="1" a="1"/>
  <c r="C198" i="5" s="1"/>
  <c r="A198" i="5" a="1"/>
  <c r="A198" i="5" s="1"/>
  <c r="B199" i="5"/>
  <c r="B200" i="5" l="1"/>
  <c r="A199" i="5" a="1"/>
  <c r="A199" i="5" s="1"/>
  <c r="C199" i="5" a="1"/>
  <c r="C199" i="5" s="1"/>
  <c r="B201" i="5" l="1"/>
  <c r="C200" i="5" a="1"/>
  <c r="C200" i="5" s="1"/>
  <c r="A200" i="5" a="1"/>
  <c r="A200" i="5" s="1"/>
  <c r="C201" i="5" l="1" a="1"/>
  <c r="C201" i="5" s="1"/>
  <c r="A201" i="5" a="1"/>
  <c r="A201" i="5" s="1"/>
  <c r="B202" i="5"/>
  <c r="A202" i="5" l="1" a="1"/>
  <c r="A202" i="5" s="1"/>
  <c r="B203" i="5"/>
  <c r="C202" i="5" a="1"/>
  <c r="C202" i="5" s="1"/>
  <c r="C203" i="5" l="1" a="1"/>
  <c r="C203" i="5" s="1"/>
  <c r="A203" i="5" a="1"/>
  <c r="A203" i="5" s="1"/>
  <c r="B204" i="5"/>
  <c r="B205" i="5" l="1"/>
  <c r="A204" i="5" a="1"/>
  <c r="A204" i="5" s="1"/>
  <c r="C204" i="5" a="1"/>
  <c r="C204" i="5" s="1"/>
  <c r="C205" i="5" l="1" a="1"/>
  <c r="C205" i="5" s="1"/>
  <c r="B206" i="5"/>
  <c r="A205" i="5" a="1"/>
  <c r="A205" i="5" s="1"/>
  <c r="B207" i="5" l="1"/>
  <c r="A206" i="5" a="1"/>
  <c r="A206" i="5" s="1"/>
  <c r="C206" i="5" a="1"/>
  <c r="C206" i="5" s="1"/>
  <c r="A207" i="5" l="1" a="1"/>
  <c r="A207" i="5" s="1"/>
  <c r="B208" i="5"/>
  <c r="C207" i="5" a="1"/>
  <c r="C207" i="5" s="1"/>
  <c r="C208" i="5" l="1" a="1"/>
  <c r="C208" i="5" s="1"/>
  <c r="B209" i="5"/>
  <c r="A208" i="5" a="1"/>
  <c r="A208" i="5" s="1"/>
  <c r="A209" i="5" l="1" a="1"/>
  <c r="A209" i="5" s="1"/>
  <c r="B210" i="5"/>
  <c r="C209" i="5" a="1"/>
  <c r="C209" i="5" s="1"/>
  <c r="C210" i="5" l="1" a="1"/>
  <c r="C210" i="5" s="1"/>
  <c r="B211" i="5"/>
  <c r="A210" i="5" a="1"/>
  <c r="A210" i="5" s="1"/>
  <c r="B212" i="5" l="1"/>
  <c r="C211" i="5" a="1"/>
  <c r="C211" i="5" s="1"/>
  <c r="A211" i="5" a="1"/>
  <c r="A211" i="5" s="1"/>
  <c r="C212" i="5" l="1" a="1"/>
  <c r="C212" i="5" s="1"/>
  <c r="A212" i="5" a="1"/>
  <c r="A212" i="5" s="1"/>
  <c r="B213" i="5"/>
  <c r="B214" i="5" l="1"/>
  <c r="C213" i="5" a="1"/>
  <c r="C213" i="5" s="1"/>
  <c r="A213" i="5" a="1"/>
  <c r="A213" i="5" s="1"/>
  <c r="A214" i="5" l="1" a="1"/>
  <c r="A214" i="5" s="1"/>
  <c r="B215" i="5"/>
  <c r="C214" i="5" a="1"/>
  <c r="C214" i="5" s="1"/>
  <c r="C215" i="5" l="1" a="1"/>
  <c r="C215" i="5" s="1"/>
  <c r="A215" i="5" a="1"/>
  <c r="A215" i="5" s="1"/>
  <c r="B216" i="5"/>
  <c r="A216" i="5" l="1" a="1"/>
  <c r="A216" i="5" s="1"/>
  <c r="B217" i="5"/>
  <c r="C216" i="5" a="1"/>
  <c r="C216" i="5" s="1"/>
  <c r="C217" i="5" l="1" a="1"/>
  <c r="C217" i="5" s="1"/>
  <c r="B218" i="5"/>
  <c r="A217" i="5" a="1"/>
  <c r="A217" i="5" s="1"/>
  <c r="B219" i="5" l="1"/>
  <c r="C218" i="5" a="1"/>
  <c r="C218" i="5" s="1"/>
  <c r="A218" i="5" a="1"/>
  <c r="A218" i="5" s="1"/>
  <c r="C219" i="5" l="1" a="1"/>
  <c r="C219" i="5" s="1"/>
  <c r="A219" i="5" a="1"/>
  <c r="A219" i="5" s="1"/>
  <c r="B220" i="5"/>
  <c r="B221" i="5" l="1"/>
  <c r="C220" i="5" a="1"/>
  <c r="C220" i="5" s="1"/>
  <c r="A220" i="5" a="1"/>
  <c r="A220" i="5" s="1"/>
  <c r="A221" i="5" l="1" a="1"/>
  <c r="A221" i="5" s="1"/>
  <c r="B222" i="5"/>
  <c r="C221" i="5" a="1"/>
  <c r="C221" i="5" s="1"/>
  <c r="C222" i="5" l="1" a="1"/>
  <c r="C222" i="5" s="1"/>
  <c r="A222" i="5" a="1"/>
  <c r="A222" i="5" s="1"/>
  <c r="B223" i="5"/>
  <c r="A223" i="5" l="1" a="1"/>
  <c r="A223" i="5" s="1"/>
  <c r="B224" i="5"/>
  <c r="C223" i="5" a="1"/>
  <c r="C223" i="5" s="1"/>
  <c r="C224" i="5" l="1" a="1"/>
  <c r="C224" i="5" s="1"/>
  <c r="A224" i="5" a="1"/>
  <c r="A224" i="5" s="1"/>
  <c r="B225" i="5"/>
  <c r="B226" i="5" l="1"/>
  <c r="C225" i="5" a="1"/>
  <c r="C225" i="5" s="1"/>
  <c r="A225" i="5" a="1"/>
  <c r="A225" i="5" s="1"/>
  <c r="C226" i="5" l="1" a="1"/>
  <c r="C226" i="5" s="1"/>
  <c r="A226" i="5" a="1"/>
  <c r="A226" i="5" s="1"/>
  <c r="B227" i="5"/>
  <c r="B228" i="5" l="1"/>
  <c r="C227" i="5" a="1"/>
  <c r="C227" i="5" s="1"/>
  <c r="A227" i="5" a="1"/>
  <c r="A227" i="5" s="1"/>
  <c r="A228" i="5" l="1" a="1"/>
  <c r="A228" i="5" s="1"/>
  <c r="B229" i="5"/>
  <c r="C228" i="5" a="1"/>
  <c r="C228" i="5" s="1"/>
  <c r="C229" i="5" l="1" a="1"/>
  <c r="C229" i="5" s="1"/>
  <c r="A229" i="5" a="1"/>
  <c r="A229" i="5" s="1"/>
  <c r="B230" i="5"/>
  <c r="A230" i="5" l="1" a="1"/>
  <c r="A230" i="5" s="1"/>
  <c r="B231" i="5"/>
  <c r="C230" i="5" a="1"/>
  <c r="C230" i="5" s="1"/>
  <c r="C231" i="5" l="1" a="1"/>
  <c r="C231" i="5" s="1"/>
  <c r="A231" i="5" a="1"/>
  <c r="A231" i="5" s="1"/>
  <c r="B232" i="5"/>
  <c r="B233" i="5" l="1"/>
  <c r="C232" i="5" a="1"/>
  <c r="C232" i="5" s="1"/>
  <c r="A232" i="5" a="1"/>
  <c r="A232" i="5" s="1"/>
  <c r="C233" i="5" l="1" a="1"/>
  <c r="C233" i="5" s="1"/>
  <c r="A233" i="5" a="1"/>
  <c r="A233" i="5" s="1"/>
  <c r="B234" i="5"/>
  <c r="B235" i="5" l="1"/>
  <c r="C234" i="5" a="1"/>
  <c r="C234" i="5" s="1"/>
  <c r="A234" i="5" a="1"/>
  <c r="A234" i="5" s="1"/>
  <c r="A235" i="5" l="1" a="1"/>
  <c r="A235" i="5" s="1"/>
  <c r="B236" i="5"/>
  <c r="C235" i="5" a="1"/>
  <c r="C235" i="5" s="1"/>
  <c r="C236" i="5" l="1" a="1"/>
  <c r="C236" i="5" s="1"/>
  <c r="A236" i="5" a="1"/>
  <c r="A236" i="5" s="1"/>
  <c r="B237" i="5"/>
  <c r="A237" i="5" l="1" a="1"/>
  <c r="A237" i="5" s="1"/>
  <c r="B238" i="5"/>
  <c r="C237" i="5" a="1"/>
  <c r="C237" i="5" s="1"/>
  <c r="C238" i="5" l="1" a="1"/>
  <c r="C238" i="5" s="1"/>
  <c r="A238" i="5" a="1"/>
  <c r="A238" i="5" s="1"/>
  <c r="B239" i="5"/>
  <c r="B240" i="5" l="1"/>
  <c r="C239" i="5" a="1"/>
  <c r="C239" i="5" s="1"/>
  <c r="A239" i="5" a="1"/>
  <c r="A239" i="5" s="1"/>
  <c r="C240" i="5" l="1" a="1"/>
  <c r="C240" i="5" s="1"/>
  <c r="A240" i="5" a="1"/>
  <c r="A240" i="5" s="1"/>
  <c r="B241" i="5"/>
  <c r="B242" i="5" l="1"/>
  <c r="C241" i="5" a="1"/>
  <c r="C241" i="5" s="1"/>
  <c r="A241" i="5" a="1"/>
  <c r="A241" i="5" s="1"/>
  <c r="A242" i="5" l="1" a="1"/>
  <c r="A242" i="5" s="1"/>
  <c r="B243" i="5"/>
  <c r="C242" i="5" a="1"/>
  <c r="C242" i="5" s="1"/>
  <c r="C243" i="5" l="1" a="1"/>
  <c r="C243" i="5" s="1"/>
  <c r="A243" i="5" a="1"/>
  <c r="A243" i="5" s="1"/>
  <c r="B244" i="5"/>
  <c r="A244" i="5" l="1" a="1"/>
  <c r="A244" i="5" s="1"/>
  <c r="B245" i="5"/>
  <c r="C244" i="5" a="1"/>
  <c r="C244" i="5" s="1"/>
  <c r="C245" i="5" l="1" a="1"/>
  <c r="C245" i="5" s="1"/>
  <c r="A245" i="5" a="1"/>
  <c r="A245" i="5" s="1"/>
  <c r="B246" i="5"/>
  <c r="B247" i="5" l="1"/>
  <c r="C246" i="5" a="1"/>
  <c r="C246" i="5" s="1"/>
  <c r="A246" i="5" a="1"/>
  <c r="A246" i="5" s="1"/>
  <c r="C247" i="5" l="1" a="1"/>
  <c r="C247" i="5" s="1"/>
  <c r="A247" i="5" a="1"/>
  <c r="A247" i="5" s="1"/>
  <c r="B248" i="5"/>
  <c r="B249" i="5" l="1"/>
  <c r="C248" i="5" a="1"/>
  <c r="C248" i="5" s="1"/>
  <c r="A248" i="5" a="1"/>
  <c r="A248" i="5" s="1"/>
  <c r="A249" i="5" l="1" a="1"/>
  <c r="A249" i="5" s="1"/>
  <c r="B250" i="5"/>
  <c r="C249" i="5" a="1"/>
  <c r="C249" i="5" s="1"/>
  <c r="C250" i="5" l="1" a="1"/>
  <c r="C250" i="5" s="1"/>
  <c r="A250" i="5" a="1"/>
  <c r="A250" i="5" s="1"/>
  <c r="B251" i="5"/>
  <c r="A251" i="5" l="1" a="1"/>
  <c r="A251" i="5" s="1"/>
  <c r="B252" i="5"/>
  <c r="C251" i="5" a="1"/>
  <c r="C251" i="5" s="1"/>
  <c r="C252" i="5" l="1" a="1"/>
  <c r="C252" i="5" s="1"/>
  <c r="A252" i="5" a="1"/>
  <c r="A252" i="5" s="1"/>
  <c r="B253" i="5"/>
  <c r="B254" i="5" l="1"/>
  <c r="C253" i="5" a="1"/>
  <c r="C253" i="5" s="1"/>
  <c r="A253" i="5" a="1"/>
  <c r="A253" i="5" s="1"/>
  <c r="C254" i="5" l="1" a="1"/>
  <c r="C254" i="5" s="1"/>
  <c r="A254" i="5" a="1"/>
  <c r="A254" i="5" s="1"/>
  <c r="B255" i="5"/>
  <c r="B256" i="5" l="1"/>
  <c r="C255" i="5" a="1"/>
  <c r="C255" i="5" s="1"/>
  <c r="A255" i="5" a="1"/>
  <c r="A255" i="5" s="1"/>
  <c r="A256" i="5" l="1" a="1"/>
  <c r="A256" i="5" s="1"/>
  <c r="B257" i="5"/>
  <c r="C256" i="5" a="1"/>
  <c r="C256" i="5" s="1"/>
  <c r="C257" i="5" l="1" a="1"/>
  <c r="C257" i="5" s="1"/>
  <c r="A257" i="5" a="1"/>
  <c r="A257" i="5" s="1"/>
  <c r="B258" i="5"/>
  <c r="A258" i="5" l="1" a="1"/>
  <c r="A258" i="5" s="1"/>
  <c r="B259" i="5"/>
  <c r="C258" i="5" a="1"/>
  <c r="C258" i="5" s="1"/>
  <c r="C259" i="5" l="1" a="1"/>
  <c r="C259" i="5" s="1"/>
  <c r="A259" i="5" a="1"/>
  <c r="A259" i="5" s="1"/>
  <c r="B260" i="5"/>
  <c r="B261" i="5" l="1"/>
  <c r="C260" i="5" a="1"/>
  <c r="C260" i="5" s="1"/>
  <c r="A260" i="5" a="1"/>
  <c r="A260" i="5" s="1"/>
  <c r="C261" i="5" l="1" a="1"/>
  <c r="C261" i="5" s="1"/>
  <c r="A261" i="5" a="1"/>
  <c r="A261" i="5" s="1"/>
  <c r="B262" i="5"/>
  <c r="B263" i="5" l="1"/>
  <c r="C262" i="5" a="1"/>
  <c r="C262" i="5" s="1"/>
  <c r="A262" i="5" a="1"/>
  <c r="A262" i="5" s="1"/>
  <c r="A263" i="5" l="1" a="1"/>
  <c r="A263" i="5" s="1"/>
  <c r="B264" i="5"/>
  <c r="C263" i="5" a="1"/>
  <c r="C263" i="5" s="1"/>
  <c r="C264" i="5" l="1" a="1"/>
  <c r="C264" i="5" s="1"/>
  <c r="A264" i="5" a="1"/>
  <c r="A264" i="5" s="1"/>
  <c r="B265" i="5"/>
  <c r="A265" i="5" l="1" a="1"/>
  <c r="A265" i="5" s="1"/>
  <c r="B266" i="5"/>
  <c r="C265" i="5" a="1"/>
  <c r="C265" i="5" s="1"/>
  <c r="C266" i="5" l="1" a="1"/>
  <c r="C266" i="5" s="1"/>
  <c r="A266" i="5" a="1"/>
  <c r="A266" i="5" s="1"/>
  <c r="B267" i="5"/>
  <c r="B268" i="5" l="1"/>
  <c r="C267" i="5" a="1"/>
  <c r="C267" i="5" s="1"/>
  <c r="A267" i="5" a="1"/>
  <c r="A267" i="5" s="1"/>
  <c r="C268" i="5" l="1" a="1"/>
  <c r="C268" i="5" s="1"/>
  <c r="A268" i="5" a="1"/>
  <c r="A268" i="5" s="1"/>
  <c r="B269" i="5"/>
  <c r="B270" i="5" l="1"/>
  <c r="C269" i="5" a="1"/>
  <c r="C269" i="5" s="1"/>
  <c r="A269" i="5" a="1"/>
  <c r="A269" i="5" s="1"/>
  <c r="A270" i="5" l="1" a="1"/>
  <c r="A270" i="5" s="1"/>
  <c r="B271" i="5"/>
  <c r="C270" i="5" a="1"/>
  <c r="C270" i="5" s="1"/>
  <c r="C271" i="5" l="1" a="1"/>
  <c r="C271" i="5" s="1"/>
  <c r="A271" i="5" a="1"/>
  <c r="A271" i="5" s="1"/>
  <c r="B272" i="5"/>
  <c r="A272" i="5" l="1" a="1"/>
  <c r="A272" i="5" s="1"/>
  <c r="B273" i="5"/>
  <c r="C272" i="5" a="1"/>
  <c r="C272" i="5" s="1"/>
  <c r="C273" i="5" l="1" a="1"/>
  <c r="C273" i="5" s="1"/>
  <c r="A273" i="5" a="1"/>
  <c r="A273" i="5" s="1"/>
  <c r="B274" i="5"/>
  <c r="B275" i="5" l="1"/>
  <c r="C274" i="5" a="1"/>
  <c r="C274" i="5" s="1"/>
  <c r="A274" i="5" a="1"/>
  <c r="A274" i="5" s="1"/>
  <c r="C275" i="5" l="1" a="1"/>
  <c r="C275" i="5" s="1"/>
  <c r="A275" i="5" a="1"/>
  <c r="A275" i="5" s="1"/>
  <c r="B276" i="5"/>
  <c r="B277" i="5" l="1"/>
  <c r="C276" i="5" a="1"/>
  <c r="C276" i="5" s="1"/>
  <c r="A276" i="5" a="1"/>
  <c r="A276" i="5" s="1"/>
  <c r="A277" i="5" l="1" a="1"/>
  <c r="A277" i="5" s="1"/>
  <c r="B278" i="5"/>
  <c r="C277" i="5" a="1"/>
  <c r="C277" i="5" s="1"/>
  <c r="C278" i="5" l="1" a="1"/>
  <c r="C278" i="5" s="1"/>
  <c r="B279" i="5"/>
  <c r="A278" i="5" a="1"/>
  <c r="A278" i="5" s="1"/>
  <c r="B280" i="5" l="1"/>
  <c r="A279" i="5" a="1"/>
  <c r="A279" i="5" s="1"/>
  <c r="C279" i="5" a="1"/>
  <c r="C279" i="5" s="1"/>
  <c r="C280" i="5" l="1" a="1"/>
  <c r="C280" i="5" s="1"/>
  <c r="A280" i="5" a="1"/>
  <c r="A280" i="5" s="1"/>
  <c r="B281" i="5"/>
  <c r="A281" i="5" l="1" a="1"/>
  <c r="A281" i="5" s="1"/>
  <c r="B282" i="5"/>
  <c r="C281" i="5" a="1"/>
  <c r="C281" i="5" s="1"/>
  <c r="C282" i="5" l="1" a="1"/>
  <c r="C282" i="5" s="1"/>
  <c r="A282" i="5" a="1"/>
  <c r="A282" i="5" s="1"/>
  <c r="B283" i="5"/>
  <c r="B284" i="5" l="1"/>
  <c r="C283" i="5" a="1"/>
  <c r="C283" i="5" s="1"/>
  <c r="A283" i="5" a="1"/>
  <c r="A283" i="5" s="1"/>
  <c r="C284" i="5" l="1" a="1"/>
  <c r="C284" i="5" s="1"/>
  <c r="A284" i="5" a="1"/>
  <c r="A284" i="5" s="1"/>
  <c r="B285" i="5"/>
  <c r="C285" i="5" l="1" a="1"/>
  <c r="C285" i="5" s="1"/>
  <c r="B286" i="5"/>
  <c r="A285" i="5" a="1"/>
  <c r="A285" i="5" s="1"/>
  <c r="B287" i="5" l="1"/>
  <c r="C286" i="5" a="1"/>
  <c r="C286" i="5" s="1"/>
  <c r="A286" i="5" a="1"/>
  <c r="A286" i="5" s="1"/>
  <c r="B288" i="5" l="1"/>
  <c r="C287" i="5" a="1"/>
  <c r="C287" i="5" s="1"/>
  <c r="A287" i="5" a="1"/>
  <c r="A287" i="5" s="1"/>
  <c r="C288" i="5" l="1" a="1"/>
  <c r="C288" i="5" s="1"/>
  <c r="A288" i="5" a="1"/>
  <c r="A288" i="5" s="1"/>
  <c r="B289" i="5"/>
  <c r="B290" i="5" l="1"/>
  <c r="C289" i="5" a="1"/>
  <c r="C289" i="5" s="1"/>
  <c r="A289" i="5" a="1"/>
  <c r="A289" i="5" s="1"/>
  <c r="C290" i="5" l="1" a="1"/>
  <c r="C290" i="5" s="1"/>
  <c r="A290" i="5" a="1"/>
  <c r="A290" i="5" s="1"/>
  <c r="B291" i="5"/>
  <c r="B292" i="5" l="1"/>
  <c r="C291" i="5" a="1"/>
  <c r="C291" i="5" s="1"/>
  <c r="A291" i="5" a="1"/>
  <c r="A291" i="5" s="1"/>
  <c r="C292" i="5" l="1" a="1"/>
  <c r="C292" i="5" s="1"/>
  <c r="A292" i="5" a="1"/>
  <c r="A292" i="5" s="1"/>
  <c r="B293" i="5"/>
  <c r="B294" i="5" l="1"/>
  <c r="C293" i="5" a="1"/>
  <c r="C293" i="5" s="1"/>
  <c r="A293" i="5" a="1"/>
  <c r="A293" i="5" s="1"/>
  <c r="A294" i="5" l="1" a="1"/>
  <c r="A294" i="5" s="1"/>
  <c r="B295" i="5"/>
  <c r="C294" i="5" a="1"/>
  <c r="C294" i="5" s="1"/>
  <c r="B296" i="5" l="1"/>
  <c r="C295" i="5" a="1"/>
  <c r="C295" i="5" s="1"/>
  <c r="A295" i="5" a="1"/>
  <c r="A295" i="5" s="1"/>
  <c r="A296" i="5" l="1" a="1"/>
  <c r="A296" i="5" s="1"/>
  <c r="B297" i="5"/>
  <c r="C296" i="5" a="1"/>
  <c r="C296" i="5" s="1"/>
  <c r="C297" i="5" l="1" a="1"/>
  <c r="C297" i="5" s="1"/>
  <c r="A297" i="5" a="1"/>
  <c r="A297" i="5" s="1"/>
  <c r="B298" i="5"/>
  <c r="A298" i="5" l="1" a="1"/>
  <c r="A298" i="5" s="1"/>
  <c r="B299" i="5"/>
  <c r="C298" i="5" a="1"/>
  <c r="C298" i="5" s="1"/>
  <c r="C299" i="5" l="1" a="1"/>
  <c r="C299" i="5" s="1"/>
  <c r="A299" i="5" a="1"/>
  <c r="A299" i="5" s="1"/>
  <c r="B300" i="5"/>
  <c r="B301" i="5" l="1"/>
  <c r="C300" i="5" a="1"/>
  <c r="C300" i="5" s="1"/>
  <c r="A300" i="5" a="1"/>
  <c r="A300" i="5" s="1"/>
  <c r="C301" i="5" l="1" a="1"/>
  <c r="C301" i="5" s="1"/>
  <c r="A301" i="5" a="1"/>
  <c r="A301" i="5" s="1"/>
  <c r="B302" i="5"/>
  <c r="B303" i="5" l="1"/>
  <c r="C302" i="5" a="1"/>
  <c r="C302" i="5" s="1"/>
  <c r="A302" i="5" a="1"/>
  <c r="A302" i="5" s="1"/>
  <c r="C303" i="5" l="1" a="1"/>
  <c r="C303" i="5" s="1"/>
  <c r="A303" i="5" a="1"/>
  <c r="A303" i="5" s="1"/>
  <c r="B304" i="5"/>
  <c r="B305" i="5" l="1"/>
  <c r="C304" i="5" a="1"/>
  <c r="C304" i="5" s="1"/>
  <c r="A304" i="5" a="1"/>
  <c r="A304" i="5" s="1"/>
  <c r="C305" i="5" l="1" a="1"/>
  <c r="C305" i="5" s="1"/>
  <c r="A305" i="5" a="1"/>
  <c r="A305" i="5" s="1"/>
  <c r="B306" i="5"/>
  <c r="C306" i="5" l="1" a="1"/>
  <c r="C306" i="5" s="1"/>
  <c r="B307" i="5"/>
  <c r="A306" i="5" a="1"/>
  <c r="A306" i="5" s="1"/>
  <c r="B308" i="5" l="1"/>
  <c r="C307" i="5" a="1"/>
  <c r="C307" i="5" s="1"/>
  <c r="A307" i="5" a="1"/>
  <c r="A307" i="5" s="1"/>
  <c r="B309" i="5" l="1"/>
  <c r="C308" i="5" a="1"/>
  <c r="C308" i="5" s="1"/>
  <c r="A308" i="5" a="1"/>
  <c r="A308" i="5" s="1"/>
  <c r="A309" i="5" l="1" a="1"/>
  <c r="A309" i="5" s="1"/>
  <c r="B310" i="5"/>
  <c r="C309" i="5" a="1"/>
  <c r="C309" i="5" s="1"/>
  <c r="B311" i="5" l="1"/>
  <c r="C310" i="5" a="1"/>
  <c r="C310" i="5" s="1"/>
  <c r="A310" i="5" a="1"/>
  <c r="A310" i="5" s="1"/>
  <c r="A311" i="5" l="1" a="1"/>
  <c r="A311" i="5" s="1"/>
  <c r="B312" i="5"/>
  <c r="C311" i="5" a="1"/>
  <c r="C311" i="5" s="1"/>
  <c r="C312" i="5" l="1" a="1"/>
  <c r="C312" i="5" s="1"/>
  <c r="A312" i="5" a="1"/>
  <c r="A312" i="5" s="1"/>
  <c r="B313" i="5"/>
  <c r="C313" i="5" l="1" a="1"/>
  <c r="C313" i="5" s="1"/>
  <c r="A313" i="5" a="1"/>
  <c r="A313" i="5" s="1"/>
  <c r="B314" i="5"/>
  <c r="B315" i="5" l="1"/>
  <c r="C314" i="5" a="1"/>
  <c r="C314" i="5" s="1"/>
  <c r="A314" i="5" a="1"/>
  <c r="A314" i="5" s="1"/>
  <c r="B316" i="5" l="1"/>
  <c r="C315" i="5" a="1"/>
  <c r="C315" i="5" s="1"/>
  <c r="A315" i="5" a="1"/>
  <c r="A315" i="5" s="1"/>
  <c r="C316" i="5" l="1" a="1"/>
  <c r="C316" i="5" s="1"/>
  <c r="A316" i="5" a="1"/>
  <c r="A316" i="5" s="1"/>
  <c r="B317" i="5"/>
  <c r="B318" i="5" l="1"/>
  <c r="C317" i="5" a="1"/>
  <c r="C317" i="5" s="1"/>
  <c r="A317" i="5" a="1"/>
  <c r="A317" i="5" s="1"/>
  <c r="C318" i="5" l="1" a="1"/>
  <c r="C318" i="5" s="1"/>
  <c r="A318" i="5" a="1"/>
  <c r="A318" i="5" s="1"/>
  <c r="B319" i="5"/>
  <c r="B320" i="5" l="1"/>
  <c r="C319" i="5" a="1"/>
  <c r="C319" i="5" s="1"/>
  <c r="A319" i="5" a="1"/>
  <c r="A319" i="5" s="1"/>
  <c r="C320" i="5" l="1" a="1"/>
  <c r="C320" i="5" s="1"/>
  <c r="B321" i="5"/>
  <c r="A320" i="5" a="1"/>
  <c r="A320" i="5" s="1"/>
  <c r="B322" i="5" l="1"/>
  <c r="C321" i="5" a="1"/>
  <c r="C321" i="5" s="1"/>
  <c r="A321" i="5" a="1"/>
  <c r="A321" i="5" s="1"/>
  <c r="C322" i="5" l="1" a="1"/>
  <c r="C322" i="5" s="1"/>
  <c r="A322" i="5" a="1"/>
  <c r="A322" i="5" s="1"/>
  <c r="B323" i="5"/>
  <c r="C323" i="5" l="1" a="1"/>
  <c r="C323" i="5" s="1"/>
  <c r="B324" i="5"/>
  <c r="A323" i="5" a="1"/>
  <c r="A323" i="5" s="1"/>
  <c r="B325" i="5" l="1"/>
  <c r="C324" i="5" a="1"/>
  <c r="C324" i="5" s="1"/>
  <c r="A324" i="5" a="1"/>
  <c r="A324" i="5" s="1"/>
  <c r="A325" i="5" l="1" a="1"/>
  <c r="A325" i="5" s="1"/>
  <c r="B326" i="5"/>
  <c r="C325" i="5" a="1"/>
  <c r="C325" i="5" s="1"/>
  <c r="C326" i="5" l="1" a="1"/>
  <c r="C326" i="5" s="1"/>
  <c r="B327" i="5"/>
  <c r="A326" i="5" a="1"/>
  <c r="A326" i="5" s="1"/>
  <c r="C327" i="5" l="1" a="1"/>
  <c r="C327" i="5" s="1"/>
  <c r="B328" i="5"/>
  <c r="A327" i="5" a="1"/>
  <c r="A327" i="5" s="1"/>
  <c r="B329" i="5" l="1"/>
  <c r="C328" i="5" a="1"/>
  <c r="C328" i="5" s="1"/>
  <c r="A328" i="5" a="1"/>
  <c r="A328" i="5" s="1"/>
  <c r="C329" i="5" l="1" a="1"/>
  <c r="C329" i="5" s="1"/>
  <c r="A329" i="5" a="1"/>
  <c r="A329" i="5" s="1"/>
  <c r="B330" i="5"/>
  <c r="C330" i="5" l="1" a="1"/>
  <c r="C330" i="5" s="1"/>
  <c r="B331" i="5"/>
  <c r="A330" i="5" a="1"/>
  <c r="A330" i="5" s="1"/>
  <c r="B332" i="5" l="1"/>
  <c r="C331" i="5" a="1"/>
  <c r="C331" i="5" s="1"/>
  <c r="A331" i="5" a="1"/>
  <c r="A331" i="5" s="1"/>
  <c r="B333" i="5" l="1"/>
  <c r="C332" i="5" a="1"/>
  <c r="C332" i="5" s="1"/>
  <c r="A332" i="5" a="1"/>
  <c r="A332" i="5" s="1"/>
  <c r="C333" i="5" l="1" a="1"/>
  <c r="C333" i="5" s="1"/>
  <c r="A333" i="5" a="1"/>
  <c r="A333" i="5" s="1"/>
  <c r="B334" i="5"/>
  <c r="C334" i="5" l="1" a="1"/>
  <c r="C334" i="5" s="1"/>
  <c r="B335" i="5"/>
  <c r="A334" i="5" a="1"/>
  <c r="A334" i="5" s="1"/>
  <c r="B336" i="5" l="1"/>
  <c r="C335" i="5" a="1"/>
  <c r="C335" i="5" s="1"/>
  <c r="A335" i="5" a="1"/>
  <c r="A335" i="5" s="1"/>
  <c r="A336" i="5" l="1" a="1"/>
  <c r="A336" i="5" s="1"/>
  <c r="B337" i="5"/>
  <c r="C336" i="5" a="1"/>
  <c r="C336" i="5" s="1"/>
  <c r="C337" i="5" l="1" a="1"/>
  <c r="C337" i="5" s="1"/>
  <c r="B338" i="5"/>
  <c r="A337" i="5" a="1"/>
  <c r="A337" i="5" s="1"/>
  <c r="B339" i="5" l="1"/>
  <c r="C338" i="5" a="1"/>
  <c r="C338" i="5" s="1"/>
  <c r="A338" i="5" a="1"/>
  <c r="A338" i="5" s="1"/>
  <c r="B340" i="5" l="1"/>
  <c r="C339" i="5" a="1"/>
  <c r="C339" i="5" s="1"/>
  <c r="A339" i="5" a="1"/>
  <c r="A339" i="5" s="1"/>
  <c r="C340" i="5" l="1" a="1"/>
  <c r="C340" i="5" s="1"/>
  <c r="A340" i="5" a="1"/>
  <c r="A340" i="5" s="1"/>
  <c r="B341" i="5"/>
  <c r="C341" i="5" l="1" a="1"/>
  <c r="C341" i="5" s="1"/>
  <c r="B342" i="5"/>
  <c r="A341" i="5" a="1"/>
  <c r="A341" i="5" s="1"/>
  <c r="B343" i="5" l="1"/>
  <c r="C342" i="5" a="1"/>
  <c r="C342" i="5" s="1"/>
  <c r="A342" i="5" a="1"/>
  <c r="A342" i="5" s="1"/>
  <c r="B344" i="5" l="1"/>
  <c r="C343" i="5" a="1"/>
  <c r="C343" i="5" s="1"/>
  <c r="A343" i="5" a="1"/>
  <c r="A343" i="5" s="1"/>
  <c r="C344" i="5" l="1" a="1"/>
  <c r="C344" i="5" s="1"/>
  <c r="B345" i="5"/>
  <c r="A344" i="5" a="1"/>
  <c r="A344" i="5" s="1"/>
  <c r="B346" i="5" l="1"/>
  <c r="A345" i="5" a="1"/>
  <c r="A345" i="5" s="1"/>
  <c r="C345" i="5" a="1"/>
  <c r="C345" i="5" s="1"/>
  <c r="B347" i="5" l="1"/>
  <c r="C346" i="5" a="1"/>
  <c r="C346" i="5" s="1"/>
  <c r="A346" i="5" a="1"/>
  <c r="A346" i="5" s="1"/>
  <c r="C347" i="5" l="1" a="1"/>
  <c r="C347" i="5" s="1"/>
  <c r="A347" i="5" a="1"/>
  <c r="A347" i="5" s="1"/>
  <c r="B348" i="5"/>
  <c r="C348" i="5" l="1" a="1"/>
  <c r="C348" i="5" s="1"/>
  <c r="B349" i="5"/>
  <c r="A348" i="5" a="1"/>
  <c r="A348" i="5" s="1"/>
  <c r="B350" i="5" l="1"/>
  <c r="C349" i="5" a="1"/>
  <c r="C349" i="5" s="1"/>
  <c r="A349" i="5" a="1"/>
  <c r="A349" i="5" s="1"/>
  <c r="B351" i="5" l="1"/>
  <c r="C350" i="5" a="1"/>
  <c r="C350" i="5" s="1"/>
  <c r="A350" i="5" a="1"/>
  <c r="A350" i="5" s="1"/>
  <c r="C351" i="5" l="1" a="1"/>
  <c r="C351" i="5" s="1"/>
  <c r="A351" i="5" a="1"/>
  <c r="A351" i="5" s="1"/>
  <c r="B352" i="5"/>
  <c r="B353" i="5" l="1"/>
  <c r="C352" i="5" a="1"/>
  <c r="C352" i="5" s="1"/>
  <c r="A352" i="5" a="1"/>
  <c r="A352" i="5" s="1"/>
  <c r="C353" i="5" l="1" a="1"/>
  <c r="C353" i="5" s="1"/>
  <c r="A353" i="5" a="1"/>
  <c r="A353" i="5" s="1"/>
  <c r="B354" i="5"/>
  <c r="C354" i="5" l="1" a="1"/>
  <c r="C354" i="5" s="1"/>
  <c r="A354" i="5" a="1"/>
  <c r="A354" i="5" s="1"/>
  <c r="B355" i="5"/>
  <c r="C355" i="5" l="1" a="1"/>
  <c r="C355" i="5" s="1"/>
  <c r="B356" i="5"/>
  <c r="A355" i="5" a="1"/>
  <c r="A355" i="5" s="1"/>
  <c r="B357" i="5" l="1"/>
  <c r="A356" i="5" a="1"/>
  <c r="A356" i="5" s="1"/>
  <c r="C356" i="5" a="1"/>
  <c r="C356" i="5" s="1"/>
  <c r="B358" i="5" l="1"/>
  <c r="C357" i="5" a="1"/>
  <c r="C357" i="5" s="1"/>
  <c r="A357" i="5" a="1"/>
  <c r="A357" i="5" s="1"/>
  <c r="C358" i="5" l="1" a="1"/>
  <c r="C358" i="5" s="1"/>
  <c r="A358" i="5" a="1"/>
  <c r="A358" i="5" s="1"/>
  <c r="B359" i="5"/>
  <c r="B360" i="5" l="1"/>
  <c r="C359" i="5" a="1"/>
  <c r="C359" i="5" s="1"/>
  <c r="A359" i="5" a="1"/>
  <c r="A359" i="5" s="1"/>
  <c r="C360" i="5" l="1" a="1"/>
  <c r="C360" i="5" s="1"/>
  <c r="A360" i="5" a="1"/>
  <c r="A360" i="5" s="1"/>
  <c r="B361" i="5"/>
  <c r="C361" i="5" l="1" a="1"/>
  <c r="C361" i="5" s="1"/>
  <c r="B362" i="5"/>
  <c r="A361" i="5" a="1"/>
  <c r="A361" i="5" s="1"/>
  <c r="C362" i="5" l="1" a="1"/>
  <c r="C362" i="5" s="1"/>
  <c r="B363" i="5"/>
  <c r="A362" i="5" a="1"/>
  <c r="A362" i="5" s="1"/>
  <c r="B364" i="5" l="1"/>
  <c r="C363" i="5" a="1"/>
  <c r="C363" i="5" s="1"/>
  <c r="A363" i="5" a="1"/>
  <c r="A363" i="5" s="1"/>
  <c r="B365" i="5" l="1"/>
  <c r="C364" i="5" a="1"/>
  <c r="C364" i="5" s="1"/>
  <c r="A364" i="5" a="1"/>
  <c r="A364" i="5" s="1"/>
  <c r="C365" i="5" l="1" a="1"/>
  <c r="C365" i="5" s="1"/>
  <c r="A365" i="5" a="1"/>
  <c r="A365" i="5" s="1"/>
  <c r="B366" i="5"/>
  <c r="B367" i="5" l="1"/>
  <c r="C366" i="5" a="1"/>
  <c r="C366" i="5" s="1"/>
  <c r="A366" i="5" a="1"/>
  <c r="A366" i="5" s="1"/>
  <c r="C367" i="5" l="1" a="1"/>
  <c r="C367" i="5" s="1"/>
  <c r="A367" i="5" a="1"/>
  <c r="A367" i="5" s="1"/>
  <c r="B368" i="5"/>
  <c r="C368" i="5" l="1" a="1"/>
  <c r="C368" i="5" s="1"/>
  <c r="B369" i="5"/>
  <c r="A368" i="5" a="1"/>
  <c r="A368" i="5" s="1"/>
  <c r="C369" i="5" l="1" a="1"/>
  <c r="C369" i="5" s="1"/>
  <c r="B370" i="5"/>
  <c r="A369" i="5" a="1"/>
  <c r="A369" i="5" s="1"/>
  <c r="B371" i="5" l="1"/>
  <c r="C370" i="5" a="1"/>
  <c r="C370" i="5" s="1"/>
  <c r="A370" i="5" a="1"/>
  <c r="A370" i="5" s="1"/>
  <c r="C371" i="5" l="1" a="1"/>
  <c r="C371" i="5" s="1"/>
  <c r="A371" i="5" a="1"/>
  <c r="A371" i="5" s="1"/>
  <c r="B372" i="5"/>
  <c r="C372" i="5" l="1" a="1"/>
  <c r="C372" i="5" s="1"/>
  <c r="B373" i="5"/>
  <c r="A372" i="5" a="1"/>
  <c r="A372" i="5" s="1"/>
  <c r="B374" i="5" l="1"/>
  <c r="C373" i="5" a="1"/>
  <c r="C373" i="5" s="1"/>
  <c r="A373" i="5" a="1"/>
  <c r="A373" i="5" s="1"/>
  <c r="A374" i="5" l="1" a="1"/>
  <c r="A374" i="5" s="1"/>
  <c r="B375" i="5"/>
  <c r="C374" i="5" a="1"/>
  <c r="C374" i="5" s="1"/>
  <c r="C375" i="5" l="1" a="1"/>
  <c r="C375" i="5" s="1"/>
  <c r="B376" i="5"/>
  <c r="A375" i="5" a="1"/>
  <c r="A375" i="5" s="1"/>
  <c r="C376" i="5" l="1" a="1"/>
  <c r="C376" i="5" s="1"/>
  <c r="B377" i="5"/>
  <c r="A376" i="5" a="1"/>
  <c r="A376" i="5" s="1"/>
  <c r="B378" i="5" l="1"/>
  <c r="C377" i="5" a="1"/>
  <c r="C377" i="5" s="1"/>
  <c r="A377" i="5" a="1"/>
  <c r="A377" i="5" s="1"/>
  <c r="B379" i="5" l="1"/>
  <c r="C378" i="5" a="1"/>
  <c r="C378" i="5" s="1"/>
  <c r="A378" i="5" a="1"/>
  <c r="A378" i="5" s="1"/>
  <c r="C379" i="5" l="1" a="1"/>
  <c r="C379" i="5" s="1"/>
  <c r="B380" i="5"/>
  <c r="A379" i="5" a="1"/>
  <c r="A379" i="5" s="1"/>
  <c r="B381" i="5" l="1"/>
  <c r="C380" i="5" a="1"/>
  <c r="C380" i="5" s="1"/>
  <c r="A380" i="5" a="1"/>
  <c r="A380" i="5" s="1"/>
  <c r="A381" i="5" l="1" a="1"/>
  <c r="A381" i="5" s="1"/>
  <c r="C381" i="5" a="1"/>
  <c r="C381" i="5" s="1"/>
  <c r="B382" i="5"/>
  <c r="C382" i="5" l="1" a="1"/>
  <c r="C382" i="5" s="1"/>
  <c r="B383" i="5"/>
  <c r="A382" i="5" a="1"/>
  <c r="A382" i="5" s="1"/>
  <c r="C383" i="5" l="1" a="1"/>
  <c r="C383" i="5" s="1"/>
  <c r="B384" i="5"/>
  <c r="A383" i="5" a="1"/>
  <c r="A383" i="5" s="1"/>
  <c r="B385" i="5" l="1"/>
  <c r="C384" i="5" a="1"/>
  <c r="C384" i="5" s="1"/>
  <c r="A384" i="5" a="1"/>
  <c r="A384" i="5" s="1"/>
  <c r="B386" i="5" l="1"/>
  <c r="C385" i="5" a="1"/>
  <c r="C385" i="5" s="1"/>
  <c r="A385" i="5" a="1"/>
  <c r="A385" i="5" s="1"/>
  <c r="C386" i="5" l="1" a="1"/>
  <c r="C386" i="5" s="1"/>
  <c r="A386" i="5" a="1"/>
  <c r="A386" i="5" s="1"/>
  <c r="B387" i="5"/>
  <c r="A387" i="5" l="1" a="1"/>
  <c r="A387" i="5" s="1"/>
  <c r="B388" i="5"/>
  <c r="C387" i="5" a="1"/>
  <c r="C387" i="5" s="1"/>
  <c r="A388" i="5" l="1" a="1"/>
  <c r="A388" i="5" s="1"/>
  <c r="B389" i="5"/>
  <c r="C388" i="5" a="1"/>
  <c r="C388" i="5" s="1"/>
  <c r="B390" i="5" l="1"/>
  <c r="C389" i="5" a="1"/>
  <c r="C389" i="5" s="1"/>
  <c r="A389" i="5" a="1"/>
  <c r="A389" i="5" s="1"/>
  <c r="C390" i="5" l="1" a="1"/>
  <c r="C390" i="5" s="1"/>
  <c r="B391" i="5"/>
  <c r="A390" i="5" a="1"/>
  <c r="A390" i="5" s="1"/>
  <c r="B392" i="5" l="1"/>
  <c r="C391" i="5" a="1"/>
  <c r="C391" i="5" s="1"/>
  <c r="A391" i="5" a="1"/>
  <c r="A391" i="5" s="1"/>
  <c r="B393" i="5" l="1"/>
  <c r="C392" i="5" a="1"/>
  <c r="C392" i="5" s="1"/>
  <c r="A392" i="5" a="1"/>
  <c r="A392" i="5" s="1"/>
  <c r="C393" i="5" l="1" a="1"/>
  <c r="C393" i="5" s="1"/>
  <c r="A393" i="5" a="1"/>
  <c r="A393" i="5" s="1"/>
  <c r="B394" i="5"/>
  <c r="A394" i="5" l="1" a="1"/>
  <c r="A394" i="5" s="1"/>
  <c r="B395" i="5"/>
  <c r="C394" i="5" a="1"/>
  <c r="C394" i="5" s="1"/>
  <c r="C395" i="5" l="1" a="1"/>
  <c r="C395" i="5" s="1"/>
  <c r="A395" i="5" a="1"/>
  <c r="A395" i="5" s="1"/>
  <c r="B396" i="5"/>
  <c r="B397" i="5" l="1"/>
  <c r="C396" i="5" a="1"/>
  <c r="C396" i="5" s="1"/>
  <c r="A396" i="5" a="1"/>
  <c r="A396" i="5" s="1"/>
  <c r="C397" i="5" l="1" a="1"/>
  <c r="C397" i="5" s="1"/>
  <c r="A397" i="5" a="1"/>
  <c r="A397" i="5" s="1"/>
  <c r="B398" i="5"/>
  <c r="B399" i="5" l="1"/>
  <c r="C398" i="5" a="1"/>
  <c r="C398" i="5" s="1"/>
  <c r="A398" i="5" a="1"/>
  <c r="A398" i="5" s="1"/>
  <c r="A399" i="5" l="1" a="1"/>
  <c r="A399" i="5" s="1"/>
  <c r="B400" i="5"/>
  <c r="C399" i="5" a="1"/>
  <c r="C399" i="5" s="1"/>
  <c r="C400" i="5" l="1" a="1"/>
  <c r="C400" i="5" s="1"/>
  <c r="A400" i="5" a="1"/>
  <c r="A400" i="5" s="1"/>
  <c r="B401" i="5"/>
  <c r="A401" i="5" l="1" a="1"/>
  <c r="A401" i="5" s="1"/>
  <c r="B402" i="5"/>
  <c r="C401" i="5" a="1"/>
  <c r="C401" i="5" s="1"/>
  <c r="C402" i="5" l="1" a="1"/>
  <c r="C402" i="5" s="1"/>
  <c r="A402" i="5" a="1"/>
  <c r="A402" i="5" s="1"/>
  <c r="B403" i="5"/>
  <c r="B404" i="5" l="1"/>
  <c r="C403" i="5" a="1"/>
  <c r="C403" i="5" s="1"/>
  <c r="A403" i="5" a="1"/>
  <c r="A403" i="5" s="1"/>
  <c r="C404" i="5" l="1" a="1"/>
  <c r="C404" i="5" s="1"/>
  <c r="A404" i="5" a="1"/>
  <c r="A404" i="5" s="1"/>
  <c r="B405" i="5"/>
  <c r="B406" i="5" l="1"/>
  <c r="C405" i="5" a="1"/>
  <c r="C405" i="5" s="1"/>
  <c r="A405" i="5" a="1"/>
  <c r="A405" i="5" s="1"/>
  <c r="A406" i="5" l="1" a="1"/>
  <c r="A406" i="5" s="1"/>
  <c r="B407" i="5"/>
  <c r="C406" i="5" a="1"/>
  <c r="C406" i="5" s="1"/>
  <c r="C407" i="5" l="1" a="1"/>
  <c r="C407" i="5" s="1"/>
  <c r="A407" i="5" a="1"/>
  <c r="A407" i="5" s="1"/>
  <c r="B408" i="5"/>
  <c r="A408" i="5" l="1" a="1"/>
  <c r="A408" i="5" s="1"/>
  <c r="B409" i="5"/>
  <c r="C408" i="5" a="1"/>
  <c r="C408" i="5" s="1"/>
  <c r="C409" i="5" l="1" a="1"/>
  <c r="C409" i="5" s="1"/>
  <c r="A409" i="5" a="1"/>
  <c r="A409" i="5" s="1"/>
  <c r="B410" i="5"/>
  <c r="B411" i="5" l="1"/>
  <c r="C410" i="5" a="1"/>
  <c r="C410" i="5" s="1"/>
  <c r="A410" i="5" a="1"/>
  <c r="A410" i="5" s="1"/>
  <c r="C411" i="5" l="1" a="1"/>
  <c r="C411" i="5" s="1"/>
  <c r="A411" i="5" a="1"/>
  <c r="A411" i="5" s="1"/>
  <c r="B412" i="5"/>
  <c r="B413" i="5" l="1"/>
  <c r="C412" i="5" a="1"/>
  <c r="C412" i="5" s="1"/>
  <c r="A412" i="5" a="1"/>
  <c r="A412" i="5" s="1"/>
  <c r="A413" i="5" l="1" a="1"/>
  <c r="A413" i="5" s="1"/>
  <c r="B414" i="5"/>
  <c r="C413" i="5" a="1"/>
  <c r="C413" i="5" s="1"/>
  <c r="C414" i="5" l="1" a="1"/>
  <c r="C414" i="5" s="1"/>
  <c r="A414" i="5" a="1"/>
  <c r="A414" i="5" s="1"/>
  <c r="B415" i="5"/>
  <c r="A415" i="5" l="1" a="1"/>
  <c r="A415" i="5" s="1"/>
  <c r="B416" i="5"/>
  <c r="C415" i="5" a="1"/>
  <c r="C415" i="5" s="1"/>
  <c r="C416" i="5" l="1" a="1"/>
  <c r="C416" i="5" s="1"/>
  <c r="A416" i="5" a="1"/>
  <c r="A416" i="5" s="1"/>
  <c r="B417" i="5"/>
  <c r="B418" i="5" l="1"/>
  <c r="C417" i="5" a="1"/>
  <c r="C417" i="5" s="1"/>
  <c r="A417" i="5" a="1"/>
  <c r="A417" i="5" s="1"/>
  <c r="C418" i="5" l="1" a="1"/>
  <c r="C418" i="5" s="1"/>
  <c r="A418" i="5" a="1"/>
  <c r="A418" i="5" s="1"/>
  <c r="B419" i="5"/>
  <c r="B420" i="5" l="1"/>
  <c r="C419" i="5" a="1"/>
  <c r="C419" i="5" s="1"/>
  <c r="A419" i="5" a="1"/>
  <c r="A419" i="5" s="1"/>
  <c r="A420" i="5" l="1" a="1"/>
  <c r="A420" i="5" s="1"/>
  <c r="B421" i="5"/>
  <c r="C420" i="5" a="1"/>
  <c r="C420" i="5" s="1"/>
  <c r="C421" i="5" l="1" a="1"/>
  <c r="C421" i="5" s="1"/>
  <c r="A421" i="5" a="1"/>
  <c r="A421" i="5" s="1"/>
  <c r="B422" i="5"/>
  <c r="A422" i="5" l="1" a="1"/>
  <c r="A422" i="5" s="1"/>
  <c r="B423" i="5"/>
  <c r="C422" i="5" a="1"/>
  <c r="C422" i="5" s="1"/>
  <c r="C423" i="5" l="1" a="1"/>
  <c r="C423" i="5" s="1"/>
  <c r="A423" i="5" a="1"/>
  <c r="A423" i="5" s="1"/>
  <c r="B424" i="5"/>
  <c r="B425" i="5" l="1"/>
  <c r="C424" i="5" a="1"/>
  <c r="C424" i="5" s="1"/>
  <c r="A424" i="5" a="1"/>
  <c r="A424" i="5" s="1"/>
  <c r="C425" i="5" l="1" a="1"/>
  <c r="C425" i="5" s="1"/>
  <c r="A425" i="5" a="1"/>
  <c r="A425" i="5" s="1"/>
  <c r="B426" i="5"/>
  <c r="B427" i="5" l="1"/>
  <c r="C426" i="5" a="1"/>
  <c r="C426" i="5" s="1"/>
  <c r="A426" i="5" a="1"/>
  <c r="A426" i="5" s="1"/>
  <c r="A427" i="5" l="1" a="1"/>
  <c r="A427" i="5" s="1"/>
  <c r="B428" i="5"/>
  <c r="C427" i="5" a="1"/>
  <c r="C427" i="5" s="1"/>
  <c r="C428" i="5" l="1" a="1"/>
  <c r="C428" i="5" s="1"/>
  <c r="A428" i="5" a="1"/>
  <c r="A428" i="5" s="1"/>
  <c r="B429" i="5"/>
  <c r="A429" i="5" l="1" a="1"/>
  <c r="A429" i="5" s="1"/>
  <c r="B430" i="5"/>
  <c r="C429" i="5" a="1"/>
  <c r="C429" i="5" s="1"/>
  <c r="C430" i="5" l="1" a="1"/>
  <c r="C430" i="5" s="1"/>
  <c r="A430" i="5" a="1"/>
  <c r="A430" i="5" s="1"/>
  <c r="B431" i="5"/>
  <c r="B432" i="5" l="1"/>
  <c r="C431" i="5" a="1"/>
  <c r="C431" i="5" s="1"/>
  <c r="A431" i="5" a="1"/>
  <c r="A431" i="5" s="1"/>
  <c r="B433" i="5" l="1"/>
  <c r="C432" i="5" a="1"/>
  <c r="C432" i="5" s="1"/>
  <c r="A432" i="5" a="1"/>
  <c r="A432" i="5" s="1"/>
  <c r="B434" i="5" l="1"/>
  <c r="C433" i="5" a="1"/>
  <c r="C433" i="5" s="1"/>
  <c r="A433" i="5" a="1"/>
  <c r="A433" i="5" s="1"/>
  <c r="C434" i="5" l="1" a="1"/>
  <c r="C434" i="5" s="1"/>
  <c r="A434" i="5" a="1"/>
  <c r="A434" i="5" s="1"/>
  <c r="B435" i="5"/>
  <c r="A435" i="5" l="1" a="1"/>
  <c r="A435" i="5" s="1"/>
  <c r="B436" i="5"/>
  <c r="C435" i="5" a="1"/>
  <c r="C435" i="5" s="1"/>
  <c r="C436" i="5" l="1" a="1"/>
  <c r="C436" i="5" s="1"/>
  <c r="A436" i="5" a="1"/>
  <c r="A436" i="5" s="1"/>
  <c r="B437" i="5"/>
  <c r="B438" i="5" l="1"/>
  <c r="C437" i="5" a="1"/>
  <c r="C437" i="5" s="1"/>
  <c r="A437" i="5" a="1"/>
  <c r="A437" i="5" s="1"/>
  <c r="C438" i="5" l="1" a="1"/>
  <c r="C438" i="5" s="1"/>
  <c r="A438" i="5" a="1"/>
  <c r="A438" i="5" s="1"/>
  <c r="B439" i="5"/>
  <c r="B440" i="5" l="1"/>
  <c r="C439" i="5" a="1"/>
  <c r="C439" i="5" s="1"/>
  <c r="A439" i="5" a="1"/>
  <c r="A439" i="5" s="1"/>
  <c r="C440" i="5" l="1" a="1"/>
  <c r="C440" i="5" s="1"/>
  <c r="A440" i="5" a="1"/>
  <c r="A440" i="5" s="1"/>
  <c r="B441" i="5"/>
  <c r="B442" i="5" l="1"/>
  <c r="C441" i="5" a="1"/>
  <c r="C441" i="5" s="1"/>
  <c r="A441" i="5" a="1"/>
  <c r="A441" i="5" s="1"/>
  <c r="A442" i="5" l="1" a="1"/>
  <c r="A442" i="5" s="1"/>
  <c r="C442" i="5" a="1"/>
  <c r="C442" i="5" s="1"/>
  <c r="B443" i="5"/>
  <c r="B444" i="5" l="1"/>
  <c r="C443" i="5" a="1"/>
  <c r="C443" i="5" s="1"/>
  <c r="A443" i="5" a="1"/>
  <c r="A443" i="5" s="1"/>
  <c r="C444" i="5" l="1" a="1"/>
  <c r="C444" i="5" s="1"/>
  <c r="A444" i="5" a="1"/>
  <c r="A444" i="5" s="1"/>
  <c r="B445" i="5"/>
  <c r="C445" i="5" l="1" a="1"/>
  <c r="C445" i="5" s="1"/>
  <c r="B446" i="5"/>
  <c r="A445" i="5" a="1"/>
  <c r="A445" i="5" s="1"/>
  <c r="B447" i="5" l="1"/>
  <c r="C446" i="5" a="1"/>
  <c r="C446" i="5" s="1"/>
  <c r="A446" i="5" a="1"/>
  <c r="A446" i="5" s="1"/>
  <c r="B448" i="5" l="1"/>
  <c r="C447" i="5" a="1"/>
  <c r="C447" i="5" s="1"/>
  <c r="A447" i="5" a="1"/>
  <c r="A447" i="5" s="1"/>
  <c r="C448" i="5" l="1" a="1"/>
  <c r="C448" i="5" s="1"/>
  <c r="A448" i="5" a="1"/>
  <c r="A448" i="5" s="1"/>
  <c r="B449" i="5"/>
  <c r="A449" i="5" l="1" a="1"/>
  <c r="A449" i="5" s="1"/>
  <c r="B450" i="5"/>
  <c r="C449" i="5" a="1"/>
  <c r="C449" i="5" s="1"/>
  <c r="C450" i="5" l="1" a="1"/>
  <c r="C450" i="5" s="1"/>
  <c r="A450" i="5" a="1"/>
  <c r="A450" i="5" s="1"/>
  <c r="B451" i="5"/>
  <c r="B452" i="5" l="1"/>
  <c r="C451" i="5" a="1"/>
  <c r="C451" i="5" s="1"/>
  <c r="A451" i="5" a="1"/>
  <c r="A451" i="5" s="1"/>
  <c r="C452" i="5" l="1" a="1"/>
  <c r="C452" i="5" s="1"/>
  <c r="A452" i="5" a="1"/>
  <c r="A452" i="5" s="1"/>
  <c r="B453" i="5"/>
  <c r="B454" i="5" l="1"/>
  <c r="C453" i="5" a="1"/>
  <c r="C453" i="5" s="1"/>
  <c r="A453" i="5" a="1"/>
  <c r="A453" i="5" s="1"/>
  <c r="C454" i="5" l="1" a="1"/>
  <c r="C454" i="5" s="1"/>
  <c r="A454" i="5" a="1"/>
  <c r="A454" i="5" s="1"/>
  <c r="B455" i="5"/>
  <c r="B456" i="5" l="1"/>
  <c r="C455" i="5" a="1"/>
  <c r="C455" i="5" s="1"/>
  <c r="A455" i="5" a="1"/>
  <c r="A455" i="5" s="1"/>
  <c r="A456" i="5" l="1" a="1"/>
  <c r="A456" i="5" s="1"/>
  <c r="C456" i="5" a="1"/>
  <c r="C456" i="5" s="1"/>
  <c r="B457" i="5"/>
  <c r="B458" i="5" l="1"/>
  <c r="C457" i="5" a="1"/>
  <c r="C457" i="5" s="1"/>
  <c r="A457" i="5" a="1"/>
  <c r="A457" i="5" s="1"/>
  <c r="C458" i="5" l="1" a="1"/>
  <c r="C458" i="5" s="1"/>
  <c r="A458" i="5" a="1"/>
  <c r="A458" i="5" s="1"/>
  <c r="B459" i="5"/>
  <c r="C459" i="5" l="1" a="1"/>
  <c r="C459" i="5" s="1"/>
  <c r="B460" i="5"/>
  <c r="A459" i="5" a="1"/>
  <c r="A459" i="5" s="1"/>
  <c r="B461" i="5" l="1"/>
  <c r="C460" i="5" a="1"/>
  <c r="C460" i="5" s="1"/>
  <c r="A460" i="5" a="1"/>
  <c r="A460" i="5" s="1"/>
  <c r="B462" i="5" l="1"/>
  <c r="C461" i="5" a="1"/>
  <c r="C461" i="5" s="1"/>
  <c r="A461" i="5" a="1"/>
  <c r="A461" i="5" s="1"/>
  <c r="C462" i="5" l="1" a="1"/>
  <c r="C462" i="5" s="1"/>
  <c r="A462" i="5" a="1"/>
  <c r="A462" i="5" s="1"/>
  <c r="B463" i="5"/>
  <c r="A463" i="5" l="1" a="1"/>
  <c r="A463" i="5" s="1"/>
  <c r="B464" i="5"/>
  <c r="C463" i="5" a="1"/>
  <c r="C463" i="5" s="1"/>
  <c r="C464" i="5" l="1" a="1"/>
  <c r="C464" i="5" s="1"/>
  <c r="A464" i="5" a="1"/>
  <c r="A464" i="5" s="1"/>
  <c r="B465" i="5"/>
  <c r="B466" i="5" l="1"/>
  <c r="C465" i="5" a="1"/>
  <c r="C465" i="5" s="1"/>
  <c r="A465" i="5" a="1"/>
  <c r="A465" i="5" s="1"/>
  <c r="C466" i="5" l="1" a="1"/>
  <c r="C466" i="5" s="1"/>
  <c r="A466" i="5" a="1"/>
  <c r="A466" i="5" s="1"/>
  <c r="B467" i="5"/>
  <c r="B468" i="5" l="1"/>
  <c r="C467" i="5" a="1"/>
  <c r="C467" i="5" s="1"/>
  <c r="A467" i="5" a="1"/>
  <c r="A467" i="5" s="1"/>
  <c r="C468" i="5" l="1" a="1"/>
  <c r="C468" i="5" s="1"/>
  <c r="A468" i="5" a="1"/>
  <c r="A468" i="5" s="1"/>
  <c r="B469" i="5"/>
  <c r="B470" i="5" l="1"/>
  <c r="C469" i="5" a="1"/>
  <c r="C469" i="5" s="1"/>
  <c r="A469" i="5" a="1"/>
  <c r="A469" i="5" s="1"/>
  <c r="A470" i="5" l="1" a="1"/>
  <c r="A470" i="5" s="1"/>
  <c r="C470" i="5" a="1"/>
  <c r="C470" i="5" s="1"/>
  <c r="B471" i="5"/>
  <c r="B472" i="5" l="1"/>
  <c r="C471" i="5" a="1"/>
  <c r="C471" i="5" s="1"/>
  <c r="A471" i="5" a="1"/>
  <c r="A471" i="5" s="1"/>
  <c r="C472" i="5" l="1" a="1"/>
  <c r="C472" i="5" s="1"/>
  <c r="A472" i="5" a="1"/>
  <c r="A472" i="5" s="1"/>
  <c r="B473" i="5"/>
  <c r="C473" i="5" l="1" a="1"/>
  <c r="C473" i="5" s="1"/>
  <c r="B474" i="5"/>
  <c r="A473" i="5" a="1"/>
  <c r="A473" i="5" s="1"/>
  <c r="B475" i="5" l="1"/>
  <c r="C474" i="5" a="1"/>
  <c r="C474" i="5" s="1"/>
  <c r="A474" i="5" a="1"/>
  <c r="A474" i="5" s="1"/>
  <c r="B476" i="5" l="1"/>
  <c r="C475" i="5" a="1"/>
  <c r="C475" i="5" s="1"/>
  <c r="A475" i="5" a="1"/>
  <c r="A475" i="5" s="1"/>
  <c r="C476" i="5" l="1" a="1"/>
  <c r="C476" i="5" s="1"/>
  <c r="A476" i="5" a="1"/>
  <c r="A476" i="5" s="1"/>
  <c r="B477" i="5"/>
  <c r="A477" i="5" l="1" a="1"/>
  <c r="A477" i="5" s="1"/>
  <c r="B478" i="5"/>
  <c r="C477" i="5" a="1"/>
  <c r="C477" i="5" s="1"/>
  <c r="A478" i="5" l="1" a="1"/>
  <c r="A478" i="5" s="1"/>
  <c r="C478" i="5" a="1"/>
  <c r="C478" i="5" s="1"/>
  <c r="B479" i="5"/>
  <c r="B480" i="5" l="1"/>
  <c r="C479" i="5" a="1"/>
  <c r="C479" i="5" s="1"/>
  <c r="A479" i="5" a="1"/>
  <c r="A479" i="5" s="1"/>
  <c r="C480" i="5" l="1" a="1"/>
  <c r="C480" i="5" s="1"/>
  <c r="A480" i="5" a="1"/>
  <c r="A480" i="5" s="1"/>
  <c r="B481" i="5"/>
  <c r="B482" i="5" l="1"/>
  <c r="C481" i="5" a="1"/>
  <c r="C481" i="5" s="1"/>
  <c r="A481" i="5" a="1"/>
  <c r="A481" i="5" s="1"/>
  <c r="C482" i="5" l="1" a="1"/>
  <c r="C482" i="5" s="1"/>
  <c r="A482" i="5" a="1"/>
  <c r="A482" i="5" s="1"/>
  <c r="B483" i="5"/>
  <c r="B484" i="5" l="1"/>
  <c r="C483" i="5" a="1"/>
  <c r="C483" i="5" s="1"/>
  <c r="A483" i="5" a="1"/>
  <c r="A483" i="5" s="1"/>
  <c r="A484" i="5" l="1" a="1"/>
  <c r="A484" i="5" s="1"/>
  <c r="C484" i="5" a="1"/>
  <c r="C484" i="5" s="1"/>
  <c r="B485" i="5"/>
  <c r="A485" i="5" l="1" a="1"/>
  <c r="A485" i="5" s="1"/>
  <c r="B486" i="5"/>
  <c r="C485" i="5" a="1"/>
  <c r="C485" i="5" s="1"/>
  <c r="B487" i="5" l="1"/>
  <c r="C486" i="5" a="1"/>
  <c r="C486" i="5" s="1"/>
  <c r="A486" i="5" a="1"/>
  <c r="A486" i="5" s="1"/>
  <c r="C487" i="5" l="1" a="1"/>
  <c r="C487" i="5" s="1"/>
  <c r="A487" i="5" a="1"/>
  <c r="A487" i="5" s="1"/>
  <c r="B488" i="5"/>
  <c r="B489" i="5" l="1"/>
  <c r="C488" i="5" a="1"/>
  <c r="C488" i="5" s="1"/>
  <c r="A488" i="5" a="1"/>
  <c r="A488" i="5" s="1"/>
  <c r="A489" i="5" l="1" a="1"/>
  <c r="A489" i="5" s="1"/>
  <c r="B490" i="5"/>
  <c r="C489" i="5" a="1"/>
  <c r="C489" i="5" s="1"/>
  <c r="B491" i="5" l="1"/>
  <c r="C490" i="5" a="1"/>
  <c r="C490" i="5" s="1"/>
  <c r="A490" i="5" a="1"/>
  <c r="A490" i="5" s="1"/>
  <c r="A491" i="5" l="1" a="1"/>
  <c r="A491" i="5" s="1"/>
  <c r="B492" i="5"/>
  <c r="C491" i="5" a="1"/>
  <c r="C491" i="5" s="1"/>
  <c r="B493" i="5" l="1"/>
  <c r="C492" i="5" a="1"/>
  <c r="C492" i="5" s="1"/>
  <c r="A492" i="5" a="1"/>
  <c r="A492" i="5" s="1"/>
  <c r="C493" i="5" l="1" a="1"/>
  <c r="C493" i="5" s="1"/>
  <c r="A493" i="5" a="1"/>
  <c r="A493" i="5" s="1"/>
  <c r="B494" i="5"/>
  <c r="B495" i="5" l="1"/>
  <c r="C494" i="5" a="1"/>
  <c r="C494" i="5" s="1"/>
  <c r="A494" i="5" a="1"/>
  <c r="A494" i="5" s="1"/>
  <c r="C495" i="5" l="1" a="1"/>
  <c r="C495" i="5" s="1"/>
  <c r="A495" i="5" a="1"/>
  <c r="A495" i="5" s="1"/>
  <c r="B496" i="5"/>
  <c r="C496" i="5" l="1" a="1"/>
  <c r="C496" i="5" s="1"/>
  <c r="B497" i="5"/>
  <c r="A496" i="5" a="1"/>
  <c r="A496" i="5" s="1"/>
  <c r="B498" i="5" l="1"/>
  <c r="C497" i="5" a="1"/>
  <c r="C497" i="5" s="1"/>
  <c r="A497" i="5" a="1"/>
  <c r="A497" i="5" s="1"/>
  <c r="A498" i="5" l="1" a="1"/>
  <c r="A498" i="5" s="1"/>
  <c r="B499" i="5"/>
  <c r="C498" i="5" a="1"/>
  <c r="C498" i="5" s="1"/>
  <c r="B500" i="5" l="1"/>
  <c r="C499" i="5" a="1"/>
  <c r="C499" i="5" s="1"/>
  <c r="A499" i="5" a="1"/>
  <c r="A499" i="5" s="1"/>
  <c r="A500" i="5" l="1" a="1"/>
  <c r="A500" i="5" s="1"/>
  <c r="B501" i="5"/>
  <c r="C500" i="5" a="1"/>
  <c r="C500" i="5" s="1"/>
  <c r="B502" i="5" l="1"/>
  <c r="C501" i="5" a="1"/>
  <c r="C501" i="5" s="1"/>
  <c r="A501" i="5" a="1"/>
  <c r="A501" i="5" s="1"/>
  <c r="A502" i="5" l="1" a="1"/>
  <c r="A502" i="5" s="1"/>
  <c r="B503" i="5"/>
  <c r="C502" i="5" a="1"/>
  <c r="C502" i="5" s="1"/>
  <c r="C503" i="5" l="1" a="1"/>
  <c r="C503" i="5" s="1"/>
  <c r="B504" i="5"/>
  <c r="A503" i="5" a="1"/>
  <c r="A503" i="5" s="1"/>
  <c r="B505" i="5" l="1"/>
  <c r="C504" i="5" a="1"/>
  <c r="C504" i="5" s="1"/>
  <c r="A504" i="5" a="1"/>
  <c r="A504" i="5" s="1"/>
  <c r="A505" i="5" l="1" a="1"/>
  <c r="A505" i="5" s="1"/>
  <c r="B506" i="5"/>
  <c r="C505" i="5" a="1"/>
  <c r="C505" i="5" s="1"/>
  <c r="C506" i="5" l="1" a="1"/>
  <c r="C506" i="5" s="1"/>
  <c r="A506" i="5" a="1"/>
  <c r="A506" i="5" s="1"/>
  <c r="B507" i="5"/>
  <c r="A507" i="5" l="1" a="1"/>
  <c r="A507" i="5" s="1"/>
  <c r="B508" i="5"/>
  <c r="C507" i="5" a="1"/>
  <c r="C507" i="5" s="1"/>
  <c r="A508" i="5" l="1" a="1"/>
  <c r="A508" i="5" s="1"/>
  <c r="B509" i="5"/>
  <c r="C508" i="5" a="1"/>
  <c r="C508" i="5" s="1"/>
  <c r="A509" i="5" l="1" a="1"/>
  <c r="A509" i="5" s="1"/>
  <c r="B510" i="5"/>
  <c r="C509" i="5" a="1"/>
  <c r="C509" i="5" s="1"/>
  <c r="C510" i="5" l="1" a="1"/>
  <c r="C510" i="5" s="1"/>
  <c r="B511" i="5"/>
  <c r="A510" i="5" a="1"/>
  <c r="A510" i="5" s="1"/>
  <c r="B512" i="5" l="1"/>
  <c r="C511" i="5" a="1"/>
  <c r="C511" i="5" s="1"/>
  <c r="A511" i="5" a="1"/>
  <c r="A511" i="5" s="1"/>
  <c r="A512" i="5" l="1" a="1"/>
  <c r="A512" i="5" s="1"/>
  <c r="B513" i="5"/>
  <c r="C512" i="5" a="1"/>
  <c r="C512" i="5" s="1"/>
  <c r="C513" i="5" l="1" a="1"/>
  <c r="C513" i="5" s="1"/>
  <c r="A513" i="5" a="1"/>
  <c r="A513" i="5" s="1"/>
  <c r="B514" i="5"/>
  <c r="A514" i="5" l="1" a="1"/>
  <c r="A514" i="5" s="1"/>
  <c r="B515" i="5"/>
  <c r="C514" i="5" a="1"/>
  <c r="C514" i="5" s="1"/>
  <c r="A515" i="5" l="1" a="1"/>
  <c r="A515" i="5" s="1"/>
  <c r="B516" i="5"/>
  <c r="C515" i="5" a="1"/>
  <c r="C515" i="5" s="1"/>
  <c r="A516" i="5" l="1" a="1"/>
  <c r="A516" i="5" s="1"/>
  <c r="B517" i="5"/>
  <c r="C516" i="5" a="1"/>
  <c r="C516" i="5" s="1"/>
  <c r="C517" i="5" l="1" a="1"/>
  <c r="C517" i="5" s="1"/>
  <c r="B518" i="5"/>
  <c r="A517" i="5" a="1"/>
  <c r="A517" i="5" s="1"/>
  <c r="B519" i="5" l="1"/>
  <c r="C518" i="5" a="1"/>
  <c r="C518" i="5" s="1"/>
  <c r="A518" i="5" a="1"/>
  <c r="A518" i="5" s="1"/>
  <c r="A519" i="5" l="1" a="1"/>
  <c r="A519" i="5" s="1"/>
  <c r="B520" i="5"/>
  <c r="C519" i="5" a="1"/>
  <c r="C519" i="5" s="1"/>
  <c r="C520" i="5" l="1" a="1"/>
  <c r="C520" i="5" s="1"/>
  <c r="A520" i="5" a="1"/>
  <c r="A520" i="5" s="1"/>
  <c r="B521" i="5"/>
  <c r="A521" i="5" l="1" a="1"/>
  <c r="A521" i="5" s="1"/>
  <c r="B522" i="5"/>
  <c r="C521" i="5" a="1"/>
  <c r="C521" i="5" s="1"/>
  <c r="I519" i="5" l="1"/>
  <c r="A522" i="5" a="1"/>
  <c r="A522" i="5" s="1"/>
  <c r="B523" i="5"/>
  <c r="C522" i="5" a="1"/>
  <c r="C522" i="5" s="1"/>
  <c r="A523" i="5" l="1" a="1"/>
  <c r="A523" i="5" s="1"/>
  <c r="B524" i="5"/>
  <c r="C523" i="5" a="1"/>
  <c r="C523" i="5" s="1"/>
  <c r="C524" i="5" l="1" a="1"/>
  <c r="C524" i="5" s="1"/>
  <c r="B525" i="5"/>
  <c r="A524" i="5" a="1"/>
  <c r="A524" i="5" s="1"/>
  <c r="B526" i="5" l="1"/>
  <c r="C525" i="5" a="1"/>
  <c r="C525" i="5" s="1"/>
  <c r="A525" i="5" a="1"/>
  <c r="A525" i="5" s="1"/>
  <c r="A526" i="5" l="1" a="1"/>
  <c r="A526" i="5" s="1"/>
  <c r="B527" i="5"/>
  <c r="C526" i="5" a="1"/>
  <c r="C526" i="5" s="1"/>
  <c r="C527" i="5" l="1" a="1"/>
  <c r="C527" i="5" s="1"/>
  <c r="A527" i="5" a="1"/>
  <c r="A527" i="5" s="1"/>
  <c r="B528" i="5"/>
  <c r="A528" i="5" l="1" a="1"/>
  <c r="A528" i="5" s="1"/>
  <c r="B529" i="5"/>
  <c r="C528" i="5" a="1"/>
  <c r="C528" i="5" s="1"/>
  <c r="A529" i="5" l="1" a="1"/>
  <c r="A529" i="5" s="1"/>
  <c r="B530" i="5"/>
  <c r="C529" i="5" a="1"/>
  <c r="C529" i="5" s="1"/>
  <c r="A530" i="5" l="1" a="1"/>
  <c r="A530" i="5" s="1"/>
  <c r="B531" i="5"/>
  <c r="C530" i="5" a="1"/>
  <c r="C530" i="5" s="1"/>
  <c r="C531" i="5" l="1" a="1"/>
  <c r="C531" i="5" s="1"/>
  <c r="B532" i="5"/>
  <c r="A531" i="5" a="1"/>
  <c r="A531" i="5" s="1"/>
  <c r="B533" i="5" l="1"/>
  <c r="C532" i="5" a="1"/>
  <c r="C532" i="5" s="1"/>
  <c r="A532" i="5" a="1"/>
  <c r="A532" i="5" s="1"/>
  <c r="A533" i="5" l="1" a="1"/>
  <c r="A533" i="5" s="1"/>
  <c r="B534" i="5"/>
  <c r="C533" i="5" a="1"/>
  <c r="C533" i="5" s="1"/>
  <c r="C534" i="5" l="1" a="1"/>
  <c r="C534" i="5" s="1"/>
  <c r="A534" i="5" a="1"/>
  <c r="A534" i="5" s="1"/>
  <c r="B535" i="5"/>
  <c r="A535" i="5" l="1" a="1"/>
  <c r="A535" i="5" s="1"/>
  <c r="B536" i="5"/>
  <c r="C535" i="5" a="1"/>
  <c r="C535" i="5" s="1"/>
  <c r="A536" i="5" l="1" a="1"/>
  <c r="A536" i="5" s="1"/>
  <c r="B537" i="5"/>
  <c r="C536" i="5" a="1"/>
  <c r="C536" i="5" s="1"/>
  <c r="A537" i="5" l="1" a="1"/>
  <c r="A537" i="5" s="1"/>
  <c r="B538" i="5"/>
  <c r="C537" i="5" a="1"/>
  <c r="C537" i="5" s="1"/>
  <c r="C538" i="5" l="1" a="1"/>
  <c r="C538" i="5" s="1"/>
  <c r="B539" i="5"/>
  <c r="A538" i="5" a="1"/>
  <c r="A538" i="5" s="1"/>
  <c r="B540" i="5" l="1"/>
  <c r="C539" i="5" a="1"/>
  <c r="C539" i="5" s="1"/>
  <c r="A539" i="5" a="1"/>
  <c r="A539" i="5" s="1"/>
  <c r="A540" i="5" l="1" a="1"/>
  <c r="A540" i="5" s="1"/>
  <c r="B541" i="5"/>
  <c r="C540" i="5" a="1"/>
  <c r="C540" i="5" s="1"/>
  <c r="C541" i="5" l="1" a="1"/>
  <c r="C541" i="5" s="1"/>
  <c r="A541" i="5" a="1"/>
  <c r="A541" i="5" s="1"/>
  <c r="B542" i="5"/>
  <c r="A542" i="5" l="1" a="1"/>
  <c r="A542" i="5" s="1"/>
  <c r="B543" i="5"/>
  <c r="C542" i="5" a="1"/>
  <c r="C542" i="5" s="1"/>
  <c r="A543" i="5" l="1" a="1"/>
  <c r="A543" i="5" s="1"/>
  <c r="B544" i="5"/>
  <c r="C543" i="5" a="1"/>
  <c r="C543" i="5" s="1"/>
  <c r="A544" i="5" l="1" a="1"/>
  <c r="A544" i="5" s="1"/>
  <c r="B545" i="5"/>
  <c r="C544" i="5" a="1"/>
  <c r="C544" i="5" s="1"/>
  <c r="C545" i="5" l="1" a="1"/>
  <c r="C545" i="5" s="1"/>
  <c r="B546" i="5"/>
  <c r="A545" i="5" a="1"/>
  <c r="A545" i="5" s="1"/>
  <c r="B547" i="5" l="1"/>
  <c r="C546" i="5" a="1"/>
  <c r="C546" i="5" s="1"/>
  <c r="A546" i="5" a="1"/>
  <c r="A546" i="5" s="1"/>
  <c r="A547" i="5" l="1" a="1"/>
  <c r="A547" i="5" s="1"/>
  <c r="B548" i="5"/>
  <c r="C547" i="5" a="1"/>
  <c r="C547" i="5" s="1"/>
  <c r="C548" i="5" l="1" a="1"/>
  <c r="C548" i="5" s="1"/>
  <c r="B549" i="5"/>
  <c r="I548" i="5"/>
  <c r="A548" i="5" a="1"/>
  <c r="A548" i="5" s="1"/>
  <c r="B550" i="5" l="1"/>
  <c r="A549" i="5" a="1"/>
  <c r="A549" i="5" s="1"/>
  <c r="C549" i="5" a="1"/>
  <c r="C549" i="5" s="1"/>
  <c r="A550" i="5" l="1" a="1"/>
  <c r="A550" i="5" s="1"/>
  <c r="C550" i="5" a="1"/>
  <c r="C550" i="5" s="1"/>
  <c r="B551" i="5"/>
  <c r="B552" i="5" l="1"/>
  <c r="I551" i="5"/>
  <c r="C551" i="5" a="1"/>
  <c r="C551" i="5" s="1"/>
  <c r="A551" i="5" a="1"/>
  <c r="A551" i="5" s="1"/>
  <c r="A552" i="5" l="1" a="1"/>
  <c r="A552" i="5" s="1"/>
  <c r="C552" i="5" a="1"/>
  <c r="C552" i="5" s="1"/>
  <c r="B553" i="5"/>
  <c r="B554" i="5" l="1"/>
  <c r="C553" i="5" a="1"/>
  <c r="C553" i="5" s="1"/>
  <c r="A553" i="5" a="1"/>
  <c r="A553" i="5" s="1"/>
  <c r="C554" i="5" l="1" a="1"/>
  <c r="C554" i="5" s="1"/>
  <c r="A554" i="5" a="1"/>
  <c r="A554" i="5" s="1"/>
  <c r="B555" i="5"/>
  <c r="B556" i="5" l="1"/>
  <c r="A555" i="5" a="1"/>
  <c r="A555" i="5" s="1"/>
  <c r="C555" i="5" a="1"/>
  <c r="C555" i="5" s="1"/>
  <c r="B557" i="5" l="1"/>
  <c r="C556" i="5" a="1"/>
  <c r="C556" i="5" s="1"/>
  <c r="A556" i="5" a="1"/>
  <c r="A556" i="5" s="1"/>
  <c r="A557" i="5" l="1" a="1"/>
  <c r="A557" i="5" s="1"/>
  <c r="B558" i="5"/>
  <c r="C557" i="5" a="1"/>
  <c r="C557" i="5" s="1"/>
  <c r="A558" i="5" l="1" a="1"/>
  <c r="A558" i="5" s="1"/>
  <c r="B559" i="5"/>
  <c r="C558" i="5" a="1"/>
  <c r="C558" i="5" s="1"/>
  <c r="C559" i="5" l="1" a="1"/>
  <c r="C559" i="5" s="1"/>
  <c r="B560" i="5"/>
  <c r="A559" i="5" a="1"/>
  <c r="A559" i="5" s="1"/>
  <c r="A560" i="5" l="1" a="1"/>
  <c r="A560" i="5" s="1"/>
  <c r="B561" i="5"/>
  <c r="C560" i="5" a="1"/>
  <c r="C560" i="5" s="1"/>
  <c r="C561" i="5" l="1" a="1"/>
  <c r="C561" i="5" s="1"/>
  <c r="A561" i="5" a="1"/>
  <c r="A561" i="5" s="1"/>
  <c r="B562" i="5"/>
  <c r="B563" i="5" l="1"/>
  <c r="C562" i="5" a="1"/>
  <c r="C562" i="5" s="1"/>
  <c r="A562" i="5" a="1"/>
  <c r="A562" i="5" s="1"/>
  <c r="A563" i="5" l="1" a="1"/>
  <c r="A563" i="5" s="1"/>
  <c r="B564" i="5"/>
  <c r="C563" i="5" a="1"/>
  <c r="C563" i="5" s="1"/>
  <c r="A564" i="5" l="1" a="1"/>
  <c r="A564" i="5" s="1"/>
  <c r="B565" i="5"/>
  <c r="C564" i="5" a="1"/>
  <c r="C564" i="5" s="1"/>
  <c r="C565" i="5" l="1" a="1"/>
  <c r="C565" i="5" s="1"/>
  <c r="A565" i="5" a="1"/>
  <c r="A565" i="5" s="1"/>
  <c r="B566" i="5"/>
  <c r="B567" i="5" l="1"/>
  <c r="C566" i="5" a="1"/>
  <c r="C566" i="5" s="1"/>
  <c r="A566" i="5" a="1"/>
  <c r="A566" i="5" s="1"/>
  <c r="C567" i="5" l="1" a="1"/>
  <c r="C567" i="5" s="1"/>
  <c r="A567" i="5" a="1"/>
  <c r="A567" i="5" s="1"/>
  <c r="B568" i="5"/>
  <c r="B569" i="5" l="1"/>
  <c r="C568" i="5" a="1"/>
  <c r="C568" i="5" s="1"/>
  <c r="A568" i="5" a="1"/>
  <c r="A568" i="5" s="1"/>
  <c r="A569" i="5" l="1" a="1"/>
  <c r="A569" i="5" s="1"/>
  <c r="C569" i="5" a="1"/>
  <c r="C569" i="5" s="1"/>
  <c r="B570" i="5"/>
  <c r="B571" i="5" l="1"/>
  <c r="C570" i="5" a="1"/>
  <c r="C570" i="5" s="1"/>
  <c r="A570" i="5" a="1"/>
  <c r="A570" i="5" s="1"/>
  <c r="A571" i="5" l="1" a="1"/>
  <c r="A571" i="5" s="1"/>
  <c r="B572" i="5"/>
  <c r="C571" i="5" a="1"/>
  <c r="C571" i="5" s="1"/>
  <c r="C572" i="5" l="1" a="1"/>
  <c r="C572" i="5" s="1"/>
  <c r="B573" i="5"/>
  <c r="A572" i="5" a="1"/>
  <c r="A572" i="5" s="1"/>
  <c r="A573" i="5" l="1" a="1"/>
  <c r="A573" i="5" s="1"/>
  <c r="B574" i="5"/>
  <c r="C573" i="5" a="1"/>
  <c r="C573" i="5" s="1"/>
  <c r="C574" i="5" l="1" a="1"/>
  <c r="C574" i="5" s="1"/>
  <c r="A574" i="5" a="1"/>
  <c r="A574" i="5" s="1"/>
  <c r="B575" i="5"/>
  <c r="B576" i="5" l="1"/>
  <c r="C575" i="5" a="1"/>
  <c r="C575" i="5" s="1"/>
  <c r="A575" i="5" a="1"/>
  <c r="A575" i="5" s="1"/>
  <c r="A576" i="5" l="1" a="1"/>
  <c r="A576" i="5" s="1"/>
  <c r="B577" i="5"/>
  <c r="C576" i="5" a="1"/>
  <c r="C576" i="5" s="1"/>
  <c r="B578" i="5" l="1"/>
  <c r="C577" i="5" a="1"/>
  <c r="C577" i="5" s="1"/>
  <c r="A577" i="5" a="1"/>
  <c r="A577" i="5" s="1"/>
  <c r="A578" i="5" l="1" a="1"/>
  <c r="A578" i="5" s="1"/>
  <c r="C578" i="5" a="1"/>
  <c r="C578" i="5" s="1"/>
  <c r="B579" i="5"/>
  <c r="B580" i="5" l="1"/>
  <c r="C579" i="5" a="1"/>
  <c r="C579" i="5" s="1"/>
  <c r="A579" i="5" a="1"/>
  <c r="A579" i="5" s="1"/>
  <c r="C580" i="5" l="1" a="1"/>
  <c r="C580" i="5" s="1"/>
  <c r="A580" i="5" a="1"/>
  <c r="A580" i="5" s="1"/>
  <c r="B581" i="5"/>
  <c r="B582" i="5" l="1"/>
  <c r="C581" i="5" a="1"/>
  <c r="C581" i="5" s="1"/>
  <c r="A581" i="5" a="1"/>
  <c r="A581" i="5" s="1"/>
  <c r="A582" i="5" l="1" a="1"/>
  <c r="A582" i="5" s="1"/>
  <c r="B583" i="5"/>
  <c r="C582" i="5" a="1"/>
  <c r="C582" i="5" s="1"/>
  <c r="C583" i="5" l="1" a="1"/>
  <c r="C583" i="5" s="1"/>
  <c r="B584" i="5"/>
  <c r="A583" i="5" a="1"/>
  <c r="A583" i="5" s="1"/>
  <c r="A584" i="5" l="1" a="1"/>
  <c r="A584" i="5" s="1"/>
  <c r="B585" i="5"/>
  <c r="C584" i="5" a="1"/>
  <c r="C584" i="5" s="1"/>
  <c r="A585" i="5" l="1" a="1"/>
  <c r="A585" i="5" s="1"/>
  <c r="C585" i="5" a="1"/>
  <c r="C585" i="5" s="1"/>
  <c r="B586" i="5"/>
  <c r="B587" i="5" l="1"/>
  <c r="I586" i="5"/>
  <c r="C586" i="5" a="1"/>
  <c r="C586" i="5" s="1"/>
  <c r="A586" i="5" a="1"/>
  <c r="A586" i="5" s="1"/>
  <c r="C587" i="5" l="1" a="1"/>
  <c r="C587" i="5" s="1"/>
  <c r="A587" i="5" a="1"/>
  <c r="A587" i="5" s="1"/>
  <c r="B588" i="5"/>
  <c r="B589" i="5" l="1"/>
  <c r="A588" i="5" a="1"/>
  <c r="A588" i="5" s="1"/>
  <c r="C588" i="5" a="1"/>
  <c r="C588" i="5" s="1"/>
  <c r="C589" i="5" l="1" a="1"/>
  <c r="C589" i="5" s="1"/>
  <c r="A589" i="5" a="1"/>
  <c r="A589" i="5" s="1"/>
  <c r="B590" i="5"/>
  <c r="C590" i="5" l="1" a="1"/>
  <c r="C590" i="5" s="1"/>
  <c r="B591" i="5"/>
  <c r="A590" i="5" a="1"/>
  <c r="A590" i="5" s="1"/>
  <c r="B592" i="5" l="1"/>
  <c r="C591" i="5" a="1"/>
  <c r="C591" i="5" s="1"/>
  <c r="A591" i="5" a="1"/>
  <c r="A591" i="5" s="1"/>
  <c r="A592" i="5" l="1" a="1"/>
  <c r="A592" i="5" s="1"/>
  <c r="B593" i="5"/>
  <c r="C592" i="5" a="1"/>
  <c r="C592" i="5" s="1"/>
  <c r="C593" i="5" l="1" a="1"/>
  <c r="C593" i="5" s="1"/>
  <c r="A593" i="5" a="1"/>
  <c r="A593" i="5" s="1"/>
  <c r="B594" i="5"/>
  <c r="B595" i="5" l="1"/>
  <c r="C594" i="5" a="1"/>
  <c r="C594" i="5" s="1"/>
  <c r="A594" i="5" a="1"/>
  <c r="A594" i="5" s="1"/>
  <c r="C595" i="5" l="1" a="1"/>
  <c r="C595" i="5" s="1"/>
  <c r="A595" i="5" a="1"/>
  <c r="A595" i="5" s="1"/>
  <c r="B596" i="5"/>
  <c r="B597" i="5" l="1"/>
  <c r="C596" i="5" a="1"/>
  <c r="C596" i="5" s="1"/>
  <c r="A596" i="5" a="1"/>
  <c r="A596" i="5" s="1"/>
  <c r="C597" i="5" l="1" a="1"/>
  <c r="C597" i="5" s="1"/>
  <c r="A597" i="5" a="1"/>
  <c r="A597" i="5" s="1"/>
  <c r="B598" i="5"/>
  <c r="B599" i="5" l="1"/>
  <c r="C598" i="5" a="1"/>
  <c r="C598" i="5" s="1"/>
  <c r="A598" i="5" a="1"/>
  <c r="A598" i="5" s="1"/>
  <c r="A599" i="5" l="1" a="1"/>
  <c r="A599" i="5" s="1"/>
  <c r="C599" i="5" a="1"/>
  <c r="C599" i="5" s="1"/>
  <c r="B600" i="5"/>
  <c r="B601" i="5" l="1"/>
  <c r="C600" i="5" a="1"/>
  <c r="C600" i="5" s="1"/>
  <c r="A600" i="5" a="1"/>
  <c r="A600" i="5" s="1"/>
  <c r="C601" i="5" l="1" a="1"/>
  <c r="C601" i="5" s="1"/>
  <c r="A601" i="5" a="1"/>
  <c r="A601" i="5" s="1"/>
  <c r="B602" i="5"/>
  <c r="B603" i="5" l="1"/>
  <c r="C602" i="5" a="1"/>
  <c r="C602" i="5" s="1"/>
  <c r="A602" i="5" a="1"/>
  <c r="A602" i="5" s="1"/>
  <c r="C603" i="5" l="1" a="1"/>
  <c r="C603" i="5" s="1"/>
  <c r="A603" i="5" a="1"/>
  <c r="A603" i="5" s="1"/>
  <c r="B604" i="5"/>
  <c r="C604" i="5" l="1" a="1"/>
  <c r="C604" i="5" s="1"/>
  <c r="B605" i="5"/>
  <c r="A604" i="5" a="1"/>
  <c r="A604" i="5" s="1"/>
  <c r="B606" i="5" l="1"/>
  <c r="C605" i="5" a="1"/>
  <c r="C605" i="5" s="1"/>
  <c r="A605" i="5" a="1"/>
  <c r="A605" i="5" s="1"/>
  <c r="A606" i="5" l="1" a="1"/>
  <c r="A606" i="5" s="1"/>
  <c r="B607" i="5"/>
  <c r="C606" i="5" a="1"/>
  <c r="C606" i="5" s="1"/>
  <c r="C607" i="5" l="1" a="1"/>
  <c r="C607" i="5" s="1"/>
  <c r="A607" i="5" a="1"/>
  <c r="A607" i="5" s="1"/>
  <c r="B608" i="5"/>
  <c r="B609" i="5" l="1"/>
  <c r="C608" i="5" a="1"/>
  <c r="C608" i="5" s="1"/>
  <c r="A608" i="5" a="1"/>
  <c r="A608" i="5" s="1"/>
  <c r="C609" i="5" l="1" a="1"/>
  <c r="C609" i="5" s="1"/>
  <c r="A609" i="5" a="1"/>
  <c r="A609" i="5" s="1"/>
  <c r="B610" i="5"/>
  <c r="B611" i="5" l="1"/>
  <c r="C610" i="5" a="1"/>
  <c r="C610" i="5" s="1"/>
  <c r="A610" i="5" a="1"/>
  <c r="A610" i="5" s="1"/>
  <c r="C611" i="5" l="1" a="1"/>
  <c r="C611" i="5" s="1"/>
  <c r="A611" i="5" a="1"/>
  <c r="A611" i="5" s="1"/>
  <c r="B612" i="5"/>
  <c r="B613" i="5" l="1"/>
  <c r="C612" i="5" a="1"/>
  <c r="C612" i="5" s="1"/>
  <c r="A612" i="5" a="1"/>
  <c r="A612" i="5" s="1"/>
  <c r="A613" i="5" l="1" a="1"/>
  <c r="A613" i="5" s="1"/>
  <c r="I613" i="5"/>
  <c r="C613" i="5" a="1"/>
  <c r="C613" i="5" s="1"/>
  <c r="B614" i="5"/>
  <c r="B615" i="5" l="1"/>
  <c r="C614" i="5" a="1"/>
  <c r="C614" i="5" s="1"/>
  <c r="A614" i="5" a="1"/>
  <c r="A614" i="5" s="1"/>
  <c r="C615" i="5" l="1" a="1"/>
  <c r="C615" i="5" s="1"/>
  <c r="A615" i="5" a="1"/>
  <c r="A615" i="5" s="1"/>
  <c r="B616" i="5"/>
  <c r="B617" i="5" l="1"/>
  <c r="C616" i="5" a="1"/>
  <c r="C616" i="5" s="1"/>
  <c r="A616" i="5" a="1"/>
  <c r="A616" i="5" s="1"/>
  <c r="C617" i="5" l="1" a="1"/>
  <c r="C617" i="5" s="1"/>
  <c r="A617" i="5" a="1"/>
  <c r="A617" i="5" s="1"/>
  <c r="B618" i="5"/>
  <c r="C618" i="5" l="1" a="1"/>
  <c r="C618" i="5" s="1"/>
  <c r="B619" i="5"/>
  <c r="A618" i="5" a="1"/>
  <c r="A618" i="5" s="1"/>
  <c r="B620" i="5" l="1"/>
  <c r="C619" i="5" a="1"/>
  <c r="C619" i="5" s="1"/>
  <c r="A619" i="5" a="1"/>
  <c r="A619" i="5" s="1"/>
  <c r="A620" i="5" l="1" a="1"/>
  <c r="A620" i="5" s="1"/>
  <c r="B621" i="5"/>
  <c r="C620" i="5" a="1"/>
  <c r="C620" i="5" s="1"/>
  <c r="C621" i="5" l="1" a="1"/>
  <c r="C621" i="5" s="1"/>
  <c r="A621" i="5" a="1"/>
  <c r="A621" i="5" s="1"/>
  <c r="B622" i="5"/>
  <c r="B623" i="5" l="1"/>
  <c r="C622" i="5" a="1"/>
  <c r="C622" i="5" s="1"/>
  <c r="A622" i="5" a="1"/>
  <c r="A622" i="5" s="1"/>
  <c r="C623" i="5" l="1" a="1"/>
  <c r="C623" i="5" s="1"/>
  <c r="A623" i="5" a="1"/>
  <c r="A623" i="5" s="1"/>
  <c r="B624" i="5"/>
  <c r="B625" i="5" l="1"/>
  <c r="C624" i="5" a="1"/>
  <c r="C624" i="5" s="1"/>
  <c r="A624" i="5" a="1"/>
  <c r="A624" i="5" s="1"/>
  <c r="C625" i="5" l="1" a="1"/>
  <c r="C625" i="5" s="1"/>
  <c r="I625" i="5"/>
  <c r="A625" i="5" a="1"/>
  <c r="A625" i="5" s="1"/>
  <c r="B626" i="5"/>
  <c r="B627" i="5" l="1"/>
  <c r="C626" i="5" a="1"/>
  <c r="C626" i="5" s="1"/>
  <c r="A626" i="5" a="1"/>
  <c r="A626" i="5" s="1"/>
  <c r="A627" i="5" l="1" a="1"/>
  <c r="A627" i="5" s="1"/>
  <c r="C627" i="5" a="1"/>
  <c r="C627" i="5" s="1"/>
  <c r="B628" i="5"/>
  <c r="B629" i="5" l="1"/>
  <c r="C628" i="5" a="1"/>
  <c r="C628" i="5" s="1"/>
  <c r="A628" i="5" a="1"/>
  <c r="A628" i="5" s="1"/>
  <c r="C629" i="5" l="1" a="1"/>
  <c r="C629" i="5" s="1"/>
  <c r="A629" i="5" a="1"/>
  <c r="A629" i="5" s="1"/>
  <c r="B630" i="5"/>
  <c r="B631" i="5" l="1"/>
  <c r="C630" i="5" a="1"/>
  <c r="C630" i="5" s="1"/>
  <c r="A630" i="5" a="1"/>
  <c r="A630" i="5" s="1"/>
  <c r="C631" i="5" l="1" a="1"/>
  <c r="C631" i="5" s="1"/>
  <c r="A631" i="5" a="1"/>
  <c r="A631" i="5" s="1"/>
  <c r="B632" i="5"/>
  <c r="C632" i="5" l="1" a="1"/>
  <c r="C632" i="5" s="1"/>
  <c r="B633" i="5"/>
  <c r="A632" i="5" a="1"/>
  <c r="A632" i="5" s="1"/>
  <c r="B634" i="5" l="1"/>
  <c r="C633" i="5" a="1"/>
  <c r="C633" i="5" s="1"/>
  <c r="A633" i="5" a="1"/>
  <c r="A633" i="5" s="1"/>
  <c r="A634" i="5" l="1" a="1"/>
  <c r="A634" i="5" s="1"/>
  <c r="B635" i="5"/>
  <c r="C634" i="5" a="1"/>
  <c r="C634" i="5" s="1"/>
  <c r="C635" i="5" l="1" a="1"/>
  <c r="C635" i="5" s="1"/>
  <c r="A635" i="5" a="1"/>
  <c r="A635" i="5" s="1"/>
  <c r="B636" i="5"/>
  <c r="B637" i="5" l="1"/>
  <c r="C636" i="5" a="1"/>
  <c r="C636" i="5" s="1"/>
  <c r="A636" i="5" a="1"/>
  <c r="A636" i="5" s="1"/>
  <c r="C637" i="5" l="1" a="1"/>
  <c r="C637" i="5" s="1"/>
  <c r="A637" i="5" a="1"/>
  <c r="A637" i="5" s="1"/>
  <c r="B638" i="5"/>
  <c r="B639" i="5" l="1"/>
  <c r="C638" i="5" a="1"/>
  <c r="C638" i="5" s="1"/>
  <c r="A638" i="5" a="1"/>
  <c r="A638" i="5" s="1"/>
  <c r="C639" i="5" l="1" a="1"/>
  <c r="C639" i="5" s="1"/>
  <c r="A639" i="5" a="1"/>
  <c r="A639" i="5" s="1"/>
  <c r="B640" i="5"/>
  <c r="B641" i="5" l="1"/>
  <c r="C640" i="5" a="1"/>
  <c r="C640" i="5" s="1"/>
  <c r="A640" i="5" a="1"/>
  <c r="A640" i="5" s="1"/>
  <c r="A641" i="5" l="1" a="1"/>
  <c r="A641" i="5" s="1"/>
  <c r="C641" i="5" a="1"/>
  <c r="C641" i="5" s="1"/>
  <c r="B642" i="5"/>
  <c r="B643" i="5" l="1"/>
  <c r="C642" i="5" a="1"/>
  <c r="C642" i="5" s="1"/>
  <c r="A642" i="5" a="1"/>
  <c r="A642" i="5" s="1"/>
  <c r="C643" i="5" l="1" a="1"/>
  <c r="C643" i="5" s="1"/>
  <c r="A643" i="5" a="1"/>
  <c r="A643" i="5" s="1"/>
  <c r="B644" i="5"/>
  <c r="B645" i="5" l="1"/>
  <c r="C644" i="5" a="1"/>
  <c r="C644" i="5" s="1"/>
  <c r="A644" i="5" a="1"/>
  <c r="A644" i="5" s="1"/>
  <c r="C645" i="5" l="1" a="1"/>
  <c r="C645" i="5" s="1"/>
  <c r="A645" i="5" a="1"/>
  <c r="A645" i="5" s="1"/>
  <c r="B646" i="5"/>
  <c r="C646" i="5" l="1" a="1"/>
  <c r="C646" i="5" s="1"/>
  <c r="B647" i="5"/>
  <c r="A646" i="5" a="1"/>
  <c r="A646" i="5" s="1"/>
  <c r="B648" i="5" l="1"/>
  <c r="C647" i="5" a="1"/>
  <c r="C647" i="5" s="1"/>
  <c r="A647" i="5" a="1"/>
  <c r="A647" i="5" s="1"/>
  <c r="A648" i="5" l="1" a="1"/>
  <c r="A648" i="5" s="1"/>
  <c r="B649" i="5"/>
  <c r="C648" i="5" a="1"/>
  <c r="C648" i="5" s="1"/>
  <c r="C649" i="5" l="1" a="1"/>
  <c r="C649" i="5" s="1"/>
  <c r="A649" i="5" a="1"/>
  <c r="A649" i="5" s="1"/>
  <c r="B650" i="5"/>
  <c r="B651" i="5" l="1"/>
  <c r="C650" i="5" a="1"/>
  <c r="C650" i="5" s="1"/>
  <c r="A650" i="5" a="1"/>
  <c r="A650" i="5" s="1"/>
  <c r="C651" i="5" l="1" a="1"/>
  <c r="C651" i="5" s="1"/>
  <c r="A651" i="5" a="1"/>
  <c r="A651" i="5" s="1"/>
  <c r="B652" i="5"/>
  <c r="B653" i="5" l="1"/>
  <c r="C652" i="5" a="1"/>
  <c r="C652" i="5" s="1"/>
  <c r="A652" i="5" a="1"/>
  <c r="A652" i="5" s="1"/>
  <c r="C653" i="5" l="1" a="1"/>
  <c r="C653" i="5" s="1"/>
  <c r="A653" i="5" a="1"/>
  <c r="A653" i="5" s="1"/>
  <c r="B654" i="5"/>
  <c r="B655" i="5" l="1"/>
  <c r="C654" i="5" a="1"/>
  <c r="C654" i="5" s="1"/>
  <c r="A654" i="5" a="1"/>
  <c r="A654" i="5" s="1"/>
  <c r="A655" i="5" l="1" a="1"/>
  <c r="A655" i="5" s="1"/>
  <c r="C655" i="5" a="1"/>
  <c r="C655" i="5" s="1"/>
  <c r="B656" i="5"/>
  <c r="B657" i="5" l="1"/>
  <c r="C656" i="5" a="1"/>
  <c r="C656" i="5" s="1"/>
  <c r="A656" i="5" a="1"/>
  <c r="A656" i="5" s="1"/>
  <c r="C657" i="5" l="1" a="1"/>
  <c r="C657" i="5" s="1"/>
  <c r="A657" i="5" a="1"/>
  <c r="A657" i="5" s="1"/>
  <c r="B658" i="5"/>
  <c r="B659" i="5" l="1"/>
  <c r="C658" i="5" a="1"/>
  <c r="C658" i="5" s="1"/>
  <c r="A658" i="5" a="1"/>
  <c r="A658" i="5" s="1"/>
  <c r="C659" i="5" l="1" a="1"/>
  <c r="C659" i="5" s="1"/>
  <c r="A659" i="5" a="1"/>
  <c r="A659" i="5" s="1"/>
  <c r="B660" i="5"/>
  <c r="C660" i="5" l="1" a="1"/>
  <c r="C660" i="5" s="1"/>
  <c r="A660" i="5" a="1"/>
  <c r="A660" i="5" s="1"/>
  <c r="B661" i="5"/>
  <c r="B662" i="5" l="1"/>
  <c r="C661" i="5" a="1"/>
  <c r="C661" i="5" s="1"/>
  <c r="A661" i="5" a="1"/>
  <c r="A661" i="5" s="1"/>
  <c r="A662" i="5" l="1" a="1"/>
  <c r="A662" i="5" s="1"/>
  <c r="B663" i="5"/>
  <c r="C662" i="5" a="1"/>
  <c r="C662" i="5" s="1"/>
  <c r="B664" i="5" l="1"/>
  <c r="C663" i="5" a="1"/>
  <c r="C663" i="5" s="1"/>
  <c r="A663" i="5" a="1"/>
  <c r="A663" i="5" s="1"/>
  <c r="A664" i="5" l="1" a="1"/>
  <c r="A664" i="5" s="1"/>
  <c r="B665" i="5"/>
  <c r="C664" i="5" a="1"/>
  <c r="C664" i="5" s="1"/>
  <c r="B666" i="5" l="1"/>
  <c r="C665" i="5" a="1"/>
  <c r="C665" i="5" s="1"/>
  <c r="A665" i="5" a="1"/>
  <c r="A665" i="5" s="1"/>
  <c r="B667" i="5" l="1"/>
  <c r="A666" i="5" a="1"/>
  <c r="A666" i="5" s="1"/>
  <c r="C666" i="5" a="1"/>
  <c r="C666" i="5" s="1"/>
  <c r="C667" i="5" l="1" a="1"/>
  <c r="C667" i="5" s="1"/>
  <c r="A667" i="5" a="1"/>
  <c r="A667" i="5" s="1"/>
  <c r="B668" i="5"/>
  <c r="B669" i="5" l="1"/>
  <c r="C668" i="5" a="1"/>
  <c r="C668" i="5" s="1"/>
  <c r="A668" i="5" a="1"/>
  <c r="A668" i="5" s="1"/>
  <c r="A669" i="5" l="1" a="1"/>
  <c r="A669" i="5" s="1"/>
  <c r="B670" i="5"/>
  <c r="C669" i="5" a="1"/>
  <c r="C669" i="5" s="1"/>
  <c r="B671" i="5" l="1"/>
  <c r="C670" i="5" a="1"/>
  <c r="C670" i="5" s="1"/>
  <c r="A670" i="5" a="1"/>
  <c r="A670" i="5" s="1"/>
  <c r="A671" i="5" l="1" a="1"/>
  <c r="A671" i="5" s="1"/>
  <c r="B672" i="5"/>
  <c r="C671" i="5" a="1"/>
  <c r="C671" i="5" s="1"/>
  <c r="C672" i="5" l="1" a="1"/>
  <c r="C672" i="5" s="1"/>
  <c r="B673" i="5"/>
  <c r="A672" i="5" a="1"/>
  <c r="A672" i="5" s="1"/>
  <c r="B674" i="5" l="1"/>
  <c r="C673" i="5" a="1"/>
  <c r="C673" i="5" s="1"/>
  <c r="A673" i="5" a="1"/>
  <c r="A673" i="5" s="1"/>
  <c r="C674" i="5" l="1" a="1"/>
  <c r="C674" i="5" s="1"/>
  <c r="A674" i="5" a="1"/>
  <c r="A674" i="5" s="1"/>
  <c r="B675" i="5"/>
  <c r="B676" i="5" l="1"/>
  <c r="C675" i="5" a="1"/>
  <c r="C675" i="5" s="1"/>
  <c r="A675" i="5" a="1"/>
  <c r="A675" i="5" s="1"/>
  <c r="A676" i="5" l="1" a="1"/>
  <c r="A676" i="5" s="1"/>
  <c r="C676" i="5" a="1"/>
  <c r="C676" i="5" s="1"/>
  <c r="B677" i="5"/>
  <c r="B678" i="5" l="1"/>
  <c r="A677" i="5" a="1"/>
  <c r="A677" i="5" s="1"/>
  <c r="C677" i="5" a="1"/>
  <c r="C677" i="5" s="1"/>
  <c r="A678" i="5" l="1" a="1"/>
  <c r="A678" i="5" s="1"/>
  <c r="C678" i="5" a="1"/>
  <c r="C678" i="5" s="1"/>
  <c r="B679" i="5"/>
  <c r="C679" i="5" l="1" a="1"/>
  <c r="C679" i="5" s="1"/>
  <c r="A679" i="5" a="1"/>
  <c r="A679" i="5" s="1"/>
  <c r="B680" i="5"/>
  <c r="B681" i="5" l="1"/>
  <c r="C680" i="5" a="1"/>
  <c r="C680" i="5" s="1"/>
  <c r="A680" i="5" a="1"/>
  <c r="A680" i="5" s="1"/>
  <c r="C681" i="5" l="1" a="1"/>
  <c r="C681" i="5" s="1"/>
  <c r="A681" i="5" a="1"/>
  <c r="A681" i="5" s="1"/>
  <c r="B682" i="5"/>
  <c r="B683" i="5" l="1"/>
  <c r="A682" i="5" a="1"/>
  <c r="A682" i="5" s="1"/>
  <c r="C682" i="5" a="1"/>
  <c r="C682" i="5" s="1"/>
  <c r="A683" i="5" l="1" a="1"/>
  <c r="A683" i="5" s="1"/>
  <c r="C683" i="5" a="1"/>
  <c r="C683" i="5" s="1"/>
  <c r="B684" i="5"/>
  <c r="B685" i="5" l="1"/>
  <c r="C684" i="5" a="1"/>
  <c r="C684" i="5" s="1"/>
  <c r="A684" i="5" a="1"/>
  <c r="A684" i="5" s="1"/>
  <c r="A685" i="5" l="1" a="1"/>
  <c r="A685" i="5" s="1"/>
  <c r="B686" i="5"/>
  <c r="I685" i="5"/>
  <c r="C685" i="5" a="1"/>
  <c r="C685" i="5" s="1"/>
  <c r="C686" i="5" l="1" a="1"/>
  <c r="C686" i="5" s="1"/>
  <c r="A686" i="5" a="1"/>
  <c r="A686" i="5" s="1"/>
  <c r="B687" i="5"/>
  <c r="B688" i="5" l="1"/>
  <c r="C687" i="5" a="1"/>
  <c r="C687" i="5" s="1"/>
  <c r="A687" i="5" a="1"/>
  <c r="A687" i="5" s="1"/>
  <c r="C688" i="5" l="1" a="1"/>
  <c r="C688" i="5" s="1"/>
  <c r="A688" i="5" a="1"/>
  <c r="A688" i="5" s="1"/>
  <c r="B689" i="5"/>
  <c r="B690" i="5" l="1"/>
  <c r="C689" i="5" a="1"/>
  <c r="C689" i="5" s="1"/>
  <c r="A689" i="5" a="1"/>
  <c r="A689" i="5" s="1"/>
  <c r="A690" i="5" l="1" a="1"/>
  <c r="A690" i="5" s="1"/>
  <c r="B691" i="5"/>
  <c r="C690" i="5" a="1"/>
  <c r="C690" i="5" s="1"/>
  <c r="A691" i="5" l="1" a="1"/>
  <c r="A691" i="5" s="1"/>
  <c r="C691" i="5" a="1"/>
  <c r="C691" i="5" s="1"/>
  <c r="B692" i="5"/>
  <c r="A692" i="5" l="1" a="1"/>
  <c r="A692" i="5" s="1"/>
  <c r="B693" i="5"/>
  <c r="C692" i="5" a="1"/>
  <c r="C692" i="5" s="1"/>
  <c r="C693" i="5" l="1" a="1"/>
  <c r="C693" i="5" s="1"/>
  <c r="A693" i="5" a="1"/>
  <c r="A693" i="5" s="1"/>
  <c r="B694" i="5"/>
  <c r="B695" i="5" l="1"/>
  <c r="A694" i="5" a="1"/>
  <c r="A694" i="5" s="1"/>
  <c r="C694" i="5" a="1"/>
  <c r="C694" i="5" s="1"/>
  <c r="C695" i="5" l="1" a="1"/>
  <c r="C695" i="5" s="1"/>
  <c r="B696" i="5"/>
  <c r="A695" i="5" a="1"/>
  <c r="A695" i="5" s="1"/>
  <c r="B697" i="5" l="1"/>
  <c r="I696" i="5"/>
  <c r="C696" i="5" a="1"/>
  <c r="C696" i="5" s="1"/>
  <c r="A696" i="5" a="1"/>
  <c r="A696" i="5" s="1"/>
  <c r="A697" i="5" l="1" a="1"/>
  <c r="A697" i="5" s="1"/>
  <c r="B698" i="5"/>
  <c r="C697" i="5" a="1"/>
  <c r="C697" i="5" s="1"/>
  <c r="A698" i="5" l="1" a="1"/>
  <c r="A698" i="5" s="1"/>
  <c r="B699" i="5"/>
  <c r="C698" i="5" a="1"/>
  <c r="C698" i="5" s="1"/>
  <c r="A699" i="5" l="1" a="1"/>
  <c r="A699" i="5" s="1"/>
  <c r="C699" i="5" a="1"/>
  <c r="C699" i="5" s="1"/>
  <c r="B700" i="5"/>
  <c r="C700" i="5" l="1" a="1"/>
  <c r="C700" i="5" s="1"/>
  <c r="A700" i="5" a="1"/>
  <c r="A700" i="5" s="1"/>
  <c r="B701" i="5"/>
  <c r="B702" i="5" l="1"/>
  <c r="C701" i="5" a="1"/>
  <c r="C701" i="5" s="1"/>
  <c r="A701" i="5" a="1"/>
  <c r="A701" i="5" s="1"/>
  <c r="C702" i="5" l="1" a="1"/>
  <c r="C702" i="5" s="1"/>
  <c r="B703" i="5"/>
  <c r="A702" i="5" a="1"/>
  <c r="A702" i="5" s="1"/>
  <c r="B704" i="5" l="1"/>
  <c r="C703" i="5" a="1"/>
  <c r="C703" i="5" s="1"/>
  <c r="A703" i="5" a="1"/>
  <c r="A703" i="5" s="1"/>
  <c r="A704" i="5" l="1" a="1"/>
  <c r="A704" i="5" s="1"/>
  <c r="B705" i="5"/>
  <c r="C704" i="5" a="1"/>
  <c r="C704" i="5" s="1"/>
  <c r="A705" i="5" l="1" a="1"/>
  <c r="A705" i="5" s="1"/>
  <c r="B706" i="5"/>
  <c r="C705" i="5" a="1"/>
  <c r="C705" i="5" s="1"/>
  <c r="A706" i="5" l="1" a="1"/>
  <c r="A706" i="5" s="1"/>
  <c r="B707" i="5"/>
  <c r="C706" i="5" a="1"/>
  <c r="C706" i="5" s="1"/>
  <c r="I707" i="5" l="1"/>
  <c r="C707" i="5" a="1"/>
  <c r="C707" i="5" s="1"/>
  <c r="A707" i="5" a="1"/>
  <c r="A707" i="5" s="1"/>
  <c r="B708" i="5"/>
  <c r="B709" i="5" l="1"/>
  <c r="C708" i="5" a="1"/>
  <c r="C708" i="5" s="1"/>
  <c r="A708" i="5" a="1"/>
  <c r="A708" i="5" s="1"/>
  <c r="C709" i="5" l="1" a="1"/>
  <c r="C709" i="5" s="1"/>
  <c r="B710" i="5"/>
  <c r="A709" i="5" a="1"/>
  <c r="A709" i="5" s="1"/>
  <c r="B711" i="5" l="1"/>
  <c r="A710" i="5" a="1"/>
  <c r="A710" i="5" s="1"/>
  <c r="C710" i="5" a="1"/>
  <c r="C710" i="5" s="1"/>
  <c r="A711" i="5" l="1" a="1"/>
  <c r="A711" i="5" s="1"/>
  <c r="B712" i="5"/>
  <c r="C711" i="5" a="1"/>
  <c r="C711" i="5" s="1"/>
  <c r="A712" i="5" l="1" a="1"/>
  <c r="A712" i="5" s="1"/>
  <c r="B713" i="5"/>
  <c r="C712" i="5" a="1"/>
  <c r="C712" i="5" s="1"/>
  <c r="A713" i="5" l="1" a="1"/>
  <c r="A713" i="5" s="1"/>
  <c r="B714" i="5"/>
  <c r="C713" i="5" a="1"/>
  <c r="C713" i="5" s="1"/>
  <c r="C714" i="5" l="1" a="1"/>
  <c r="C714" i="5" s="1"/>
  <c r="A714" i="5" a="1"/>
  <c r="A714" i="5" s="1"/>
  <c r="B715" i="5"/>
  <c r="B716" i="5" l="1"/>
  <c r="C715" i="5" a="1"/>
  <c r="C715" i="5" s="1"/>
  <c r="A715" i="5" a="1"/>
  <c r="A715" i="5" s="1"/>
  <c r="C716" i="5" l="1" a="1"/>
  <c r="C716" i="5" s="1"/>
  <c r="A716" i="5" a="1"/>
  <c r="A716" i="5" s="1"/>
  <c r="B717" i="5"/>
  <c r="B718" i="5" l="1"/>
  <c r="C717" i="5" a="1"/>
  <c r="C717" i="5" s="1"/>
  <c r="A717" i="5" a="1"/>
  <c r="A717" i="5" s="1"/>
  <c r="A718" i="5" l="1" a="1"/>
  <c r="A718" i="5" s="1"/>
  <c r="C718" i="5" a="1"/>
  <c r="C718" i="5" s="1"/>
  <c r="B719" i="5"/>
  <c r="A719" i="5" l="1" a="1"/>
  <c r="A719" i="5" s="1"/>
  <c r="B720" i="5"/>
  <c r="C719" i="5" a="1"/>
  <c r="C719" i="5" s="1"/>
  <c r="A720" i="5" l="1" a="1"/>
  <c r="A720" i="5" s="1"/>
  <c r="B721" i="5"/>
  <c r="C720" i="5" a="1"/>
  <c r="C720" i="5" s="1"/>
  <c r="C721" i="5" l="1" a="1"/>
  <c r="C721" i="5" s="1"/>
  <c r="A721" i="5" a="1"/>
  <c r="A721" i="5" s="1"/>
  <c r="B722" i="5"/>
  <c r="B723" i="5" l="1"/>
  <c r="C722" i="5" a="1"/>
  <c r="C722" i="5" s="1"/>
  <c r="A722" i="5" a="1"/>
  <c r="A722" i="5" s="1"/>
  <c r="C723" i="5" l="1" a="1"/>
  <c r="C723" i="5" s="1"/>
  <c r="A723" i="5" a="1"/>
  <c r="A723" i="5" s="1"/>
  <c r="B724" i="5"/>
  <c r="C724" i="5" l="1" a="1"/>
  <c r="C724" i="5" s="1"/>
  <c r="B725" i="5"/>
  <c r="A724" i="5" a="1"/>
  <c r="A724" i="5" s="1"/>
  <c r="B726" i="5" l="1"/>
  <c r="C725" i="5" a="1"/>
  <c r="C725" i="5" s="1"/>
  <c r="A725" i="5" a="1"/>
  <c r="A725" i="5" s="1"/>
  <c r="I725" i="5"/>
  <c r="B727" i="5" l="1"/>
  <c r="A726" i="5" a="1"/>
  <c r="A726" i="5" s="1"/>
  <c r="C726" i="5" a="1"/>
  <c r="C726" i="5" s="1"/>
  <c r="A727" i="5" l="1" a="1"/>
  <c r="A727" i="5" s="1"/>
  <c r="B728" i="5"/>
  <c r="C727" i="5" a="1"/>
  <c r="C727" i="5" s="1"/>
  <c r="B729" i="5" l="1"/>
  <c r="C728" i="5" a="1"/>
  <c r="C728" i="5" s="1"/>
  <c r="A728" i="5" a="1"/>
  <c r="A728" i="5" s="1"/>
  <c r="A729" i="5" l="1" a="1"/>
  <c r="A729" i="5" s="1"/>
  <c r="B730" i="5"/>
  <c r="C729" i="5" a="1"/>
  <c r="C729" i="5" s="1"/>
  <c r="A730" i="5" l="1" a="1"/>
  <c r="A730" i="5" s="1"/>
  <c r="B731" i="5"/>
  <c r="C730" i="5" a="1"/>
  <c r="C730" i="5" s="1"/>
  <c r="C731" i="5" l="1" a="1"/>
  <c r="C731" i="5" s="1"/>
  <c r="A731" i="5" a="1"/>
  <c r="A731" i="5" s="1"/>
  <c r="B732" i="5"/>
  <c r="B733" i="5" l="1"/>
  <c r="C732" i="5" a="1"/>
  <c r="C732" i="5" s="1"/>
  <c r="A732" i="5" a="1"/>
  <c r="A732" i="5" s="1"/>
  <c r="B734" i="5" l="1"/>
  <c r="C733" i="5" a="1"/>
  <c r="C733" i="5" s="1"/>
  <c r="A733" i="5" a="1"/>
  <c r="A733" i="5" s="1"/>
  <c r="B735" i="5" l="1"/>
  <c r="C734" i="5" a="1"/>
  <c r="C734" i="5" s="1"/>
  <c r="A734" i="5" a="1"/>
  <c r="A734" i="5" s="1"/>
  <c r="A735" i="5" l="1" a="1"/>
  <c r="A735" i="5" s="1"/>
  <c r="B736" i="5"/>
  <c r="C735" i="5" a="1"/>
  <c r="C735" i="5" s="1"/>
  <c r="B737" i="5" l="1"/>
  <c r="C736" i="5" a="1"/>
  <c r="C736" i="5" s="1"/>
  <c r="A736" i="5" a="1"/>
  <c r="A736" i="5" s="1"/>
  <c r="A737" i="5" l="1" a="1"/>
  <c r="A737" i="5" s="1"/>
  <c r="B738" i="5"/>
  <c r="I737" i="5"/>
  <c r="C737" i="5" a="1"/>
  <c r="C737" i="5" s="1"/>
  <c r="C738" i="5" l="1" a="1"/>
  <c r="C738" i="5" s="1"/>
  <c r="A738" i="5" a="1"/>
  <c r="A738" i="5" s="1"/>
  <c r="B739" i="5"/>
  <c r="B740" i="5" l="1"/>
  <c r="A739" i="5" a="1"/>
  <c r="A739" i="5" s="1"/>
  <c r="C739" i="5" a="1"/>
  <c r="C739" i="5" s="1"/>
  <c r="A740" i="5" l="1" a="1"/>
  <c r="A740" i="5" s="1"/>
  <c r="B741" i="5"/>
  <c r="C740" i="5" a="1"/>
  <c r="C740" i="5" s="1"/>
  <c r="A741" i="5" l="1" a="1"/>
  <c r="A741" i="5" s="1"/>
  <c r="B742" i="5"/>
  <c r="C741" i="5" a="1"/>
  <c r="C741" i="5" s="1"/>
  <c r="A742" i="5" l="1" a="1"/>
  <c r="A742" i="5" s="1"/>
  <c r="B743" i="5"/>
  <c r="C742" i="5" a="1"/>
  <c r="C742" i="5" s="1"/>
  <c r="A743" i="5" l="1" a="1"/>
  <c r="A743" i="5" s="1"/>
  <c r="C743" i="5" a="1"/>
  <c r="C743" i="5" s="1"/>
  <c r="B744" i="5"/>
  <c r="A744" i="5" l="1" a="1"/>
  <c r="A744" i="5" s="1"/>
  <c r="B745" i="5"/>
  <c r="C744" i="5" a="1"/>
  <c r="C744" i="5" s="1"/>
  <c r="C745" i="5" l="1" a="1"/>
  <c r="C745" i="5" s="1"/>
  <c r="A745" i="5" a="1"/>
  <c r="A745" i="5" s="1"/>
  <c r="B746" i="5"/>
  <c r="B747" i="5" l="1"/>
  <c r="C746" i="5" a="1"/>
  <c r="C746" i="5" s="1"/>
  <c r="A746" i="5" a="1"/>
  <c r="A746" i="5" s="1"/>
  <c r="B748" i="5" l="1"/>
  <c r="C747" i="5" a="1"/>
  <c r="C747" i="5" s="1"/>
  <c r="A747" i="5" a="1"/>
  <c r="A747" i="5" s="1"/>
  <c r="B749" i="5" l="1"/>
  <c r="C748" i="5" a="1"/>
  <c r="C748" i="5" s="1"/>
  <c r="A748" i="5" a="1"/>
  <c r="A748" i="5" s="1"/>
  <c r="A749" i="5" l="1" a="1"/>
  <c r="A749" i="5" s="1"/>
  <c r="B750" i="5"/>
  <c r="C749" i="5" a="1"/>
  <c r="C749" i="5" s="1"/>
  <c r="B751" i="5" l="1"/>
  <c r="C750" i="5" a="1"/>
  <c r="C750" i="5" s="1"/>
  <c r="A750" i="5" a="1"/>
  <c r="A750" i="5" s="1"/>
  <c r="A751" i="5" l="1" a="1"/>
  <c r="A751" i="5" s="1"/>
  <c r="B752" i="5"/>
  <c r="C751" i="5" a="1"/>
  <c r="C751" i="5" s="1"/>
  <c r="C752" i="5" l="1" a="1"/>
  <c r="C752" i="5" s="1"/>
  <c r="B753" i="5"/>
  <c r="A752" i="5" a="1"/>
  <c r="A752" i="5" s="1"/>
  <c r="B754" i="5" l="1"/>
  <c r="A753" i="5" a="1"/>
  <c r="A753" i="5" s="1"/>
  <c r="C753" i="5" a="1"/>
  <c r="C753" i="5" s="1"/>
  <c r="A754" i="5" l="1" a="1"/>
  <c r="A754" i="5" s="1"/>
  <c r="B755" i="5"/>
  <c r="C754" i="5" a="1"/>
  <c r="C754" i="5" s="1"/>
  <c r="A755" i="5" l="1" a="1"/>
  <c r="A755" i="5" s="1"/>
  <c r="C755" i="5" a="1"/>
  <c r="C755" i="5" s="1"/>
  <c r="B756" i="5"/>
  <c r="A756" i="5" l="1" a="1"/>
  <c r="A756" i="5" s="1"/>
  <c r="B757" i="5"/>
  <c r="C756" i="5" a="1"/>
  <c r="C756" i="5" s="1"/>
  <c r="A757" i="5" l="1" a="1"/>
  <c r="A757" i="5" s="1"/>
  <c r="B758" i="5"/>
  <c r="C757" i="5" a="1"/>
  <c r="C757" i="5" s="1"/>
  <c r="A758" i="5" l="1" a="1"/>
  <c r="A758" i="5" s="1"/>
  <c r="B759" i="5"/>
  <c r="C758" i="5" a="1"/>
  <c r="C758" i="5" s="1"/>
  <c r="C759" i="5" l="1" a="1"/>
  <c r="C759" i="5" s="1"/>
  <c r="A759" i="5" a="1"/>
  <c r="A759" i="5" s="1"/>
  <c r="B760" i="5"/>
  <c r="B761" i="5" l="1"/>
  <c r="C760" i="5" a="1"/>
  <c r="C760" i="5" s="1"/>
  <c r="A760" i="5" a="1"/>
  <c r="A760" i="5" s="1"/>
  <c r="B762" i="5" l="1"/>
  <c r="C761" i="5" a="1"/>
  <c r="C761" i="5" s="1"/>
  <c r="A761" i="5" a="1"/>
  <c r="A761" i="5" s="1"/>
  <c r="B763" i="5" l="1"/>
  <c r="C762" i="5" a="1"/>
  <c r="C762" i="5" s="1"/>
  <c r="A762" i="5" a="1"/>
  <c r="A762" i="5" s="1"/>
  <c r="A763" i="5" l="1" a="1"/>
  <c r="A763" i="5" s="1"/>
  <c r="B764" i="5"/>
  <c r="C763" i="5" a="1"/>
  <c r="C763" i="5" s="1"/>
  <c r="B765" i="5" l="1"/>
  <c r="C764" i="5" a="1"/>
  <c r="C764" i="5" s="1"/>
  <c r="A764" i="5" a="1"/>
  <c r="A764" i="5" s="1"/>
  <c r="A765" i="5" l="1" a="1"/>
  <c r="A765" i="5" s="1"/>
  <c r="B766" i="5"/>
  <c r="C765" i="5" a="1"/>
  <c r="C765" i="5" s="1"/>
  <c r="C766" i="5" l="1" a="1"/>
  <c r="C766" i="5" s="1"/>
  <c r="A766" i="5" a="1"/>
  <c r="A766" i="5" s="1"/>
  <c r="B767" i="5"/>
  <c r="B768" i="5" l="1"/>
  <c r="A767" i="5" a="1"/>
  <c r="A767" i="5" s="1"/>
  <c r="C767" i="5" a="1"/>
  <c r="C767" i="5" s="1"/>
  <c r="A768" i="5" l="1" a="1"/>
  <c r="A768" i="5" s="1"/>
  <c r="B769" i="5"/>
  <c r="C768" i="5" a="1"/>
  <c r="C768" i="5" s="1"/>
  <c r="A769" i="5" l="1" a="1"/>
  <c r="A769" i="5" s="1"/>
  <c r="B770" i="5"/>
  <c r="C769" i="5" a="1"/>
  <c r="C769" i="5" s="1"/>
  <c r="A770" i="5" l="1" a="1"/>
  <c r="A770" i="5" s="1"/>
  <c r="B771" i="5"/>
  <c r="C770" i="5" a="1"/>
  <c r="C770" i="5" s="1"/>
  <c r="A771" i="5" l="1" a="1"/>
  <c r="A771" i="5" s="1"/>
  <c r="C771" i="5" a="1"/>
  <c r="C771" i="5" s="1"/>
  <c r="B772" i="5"/>
  <c r="A772" i="5" l="1" a="1"/>
  <c r="A772" i="5" s="1"/>
  <c r="B773" i="5"/>
  <c r="C772" i="5" a="1"/>
  <c r="C772" i="5" s="1"/>
  <c r="C773" i="5" l="1" a="1"/>
  <c r="C773" i="5" s="1"/>
  <c r="A773" i="5" a="1"/>
  <c r="A773" i="5" s="1"/>
  <c r="B774" i="5"/>
  <c r="B775" i="5" l="1"/>
  <c r="C774" i="5" a="1"/>
  <c r="C774" i="5" s="1"/>
  <c r="A774" i="5" a="1"/>
  <c r="A774" i="5" s="1"/>
  <c r="C775" i="5" l="1" a="1"/>
  <c r="C775" i="5" s="1"/>
  <c r="A775" i="5" a="1"/>
  <c r="A775" i="5" s="1"/>
  <c r="B776" i="5"/>
  <c r="B777" i="5" l="1"/>
  <c r="C776" i="5" a="1"/>
  <c r="C776" i="5" s="1"/>
  <c r="A776" i="5" a="1"/>
  <c r="A776" i="5" s="1"/>
  <c r="A777" i="5" l="1" a="1"/>
  <c r="A777" i="5" s="1"/>
  <c r="B778" i="5"/>
  <c r="C777" i="5" a="1"/>
  <c r="C777" i="5" s="1"/>
  <c r="C778" i="5" l="1" a="1"/>
  <c r="C778" i="5" s="1"/>
  <c r="A778" i="5" a="1"/>
  <c r="A778" i="5" s="1"/>
  <c r="B779" i="5"/>
  <c r="C779" i="5" l="1" a="1"/>
  <c r="C779" i="5" s="1"/>
  <c r="A779" i="5" a="1"/>
  <c r="A779" i="5" s="1"/>
  <c r="B780" i="5"/>
  <c r="C780" i="5" l="1" a="1"/>
  <c r="C780" i="5" s="1"/>
  <c r="B781" i="5"/>
  <c r="A780" i="5" a="1"/>
  <c r="A780" i="5" s="1"/>
  <c r="B782" i="5" l="1"/>
  <c r="C781" i="5" a="1"/>
  <c r="C781" i="5" s="1"/>
  <c r="A781" i="5" a="1"/>
  <c r="A781" i="5" s="1"/>
  <c r="C782" i="5" l="1" a="1"/>
  <c r="C782" i="5" s="1"/>
  <c r="A782" i="5" a="1"/>
  <c r="A782" i="5" s="1"/>
  <c r="B783" i="5"/>
  <c r="B784" i="5" l="1"/>
  <c r="C783" i="5" a="1"/>
  <c r="C783" i="5" s="1"/>
  <c r="A783" i="5" a="1"/>
  <c r="A783" i="5" s="1"/>
  <c r="A784" i="5" l="1" a="1"/>
  <c r="A784" i="5" s="1"/>
  <c r="B785" i="5"/>
  <c r="C784" i="5" a="1"/>
  <c r="C784" i="5" s="1"/>
  <c r="B786" i="5" l="1"/>
  <c r="C785" i="5" a="1"/>
  <c r="C785" i="5" s="1"/>
  <c r="A785" i="5" a="1"/>
  <c r="A785" i="5" s="1"/>
  <c r="C786" i="5" l="1" a="1"/>
  <c r="C786" i="5" s="1"/>
  <c r="A786" i="5" a="1"/>
  <c r="A786" i="5" s="1"/>
  <c r="B787" i="5"/>
  <c r="C787" i="5" l="1" a="1"/>
  <c r="C787" i="5" s="1"/>
  <c r="A787" i="5" a="1"/>
  <c r="A787" i="5" s="1"/>
  <c r="B788" i="5"/>
  <c r="B789" i="5" l="1"/>
  <c r="A788" i="5" a="1"/>
  <c r="A788" i="5" s="1"/>
  <c r="C788" i="5" a="1"/>
  <c r="C788" i="5" s="1"/>
  <c r="C789" i="5" l="1" a="1"/>
  <c r="C789" i="5" s="1"/>
  <c r="A789" i="5" a="1"/>
  <c r="A789" i="5" s="1"/>
  <c r="B790" i="5"/>
  <c r="B791" i="5" l="1"/>
  <c r="C790" i="5" a="1"/>
  <c r="C790" i="5" s="1"/>
  <c r="A790" i="5" a="1"/>
  <c r="A790" i="5" s="1"/>
  <c r="A791" i="5" l="1" a="1"/>
  <c r="A791" i="5" s="1"/>
  <c r="B792" i="5"/>
  <c r="C791" i="5" a="1"/>
  <c r="C791" i="5" s="1"/>
  <c r="B793" i="5" l="1"/>
  <c r="C792" i="5" a="1"/>
  <c r="C792" i="5" s="1"/>
  <c r="A792" i="5" a="1"/>
  <c r="A792" i="5" s="1"/>
  <c r="B794" i="5" l="1"/>
  <c r="A793" i="5" a="1"/>
  <c r="A793" i="5" s="1"/>
  <c r="C793" i="5" a="1"/>
  <c r="C793" i="5" s="1"/>
  <c r="C794" i="5" l="1" a="1"/>
  <c r="C794" i="5" s="1"/>
  <c r="A794" i="5" a="1"/>
  <c r="A794" i="5" s="1"/>
  <c r="B795" i="5"/>
  <c r="B796" i="5" l="1"/>
  <c r="C795" i="5" a="1"/>
  <c r="C795" i="5" s="1"/>
  <c r="A795" i="5" a="1"/>
  <c r="A795" i="5" s="1"/>
  <c r="C796" i="5" l="1" a="1"/>
  <c r="C796" i="5" s="1"/>
  <c r="A796" i="5" a="1"/>
  <c r="A796" i="5" s="1"/>
  <c r="B797" i="5"/>
  <c r="B798" i="5" l="1"/>
  <c r="C797" i="5" a="1"/>
  <c r="C797" i="5" s="1"/>
  <c r="A797" i="5" a="1"/>
  <c r="A797" i="5" s="1"/>
  <c r="A798" i="5" l="1" a="1"/>
  <c r="A798" i="5" s="1"/>
  <c r="B799" i="5"/>
  <c r="C798" i="5" a="1"/>
  <c r="C798" i="5" s="1"/>
  <c r="B800" i="5" l="1"/>
  <c r="C799" i="5" a="1"/>
  <c r="C799" i="5" s="1"/>
  <c r="A799" i="5" a="1"/>
  <c r="A799" i="5" s="1"/>
  <c r="B801" i="5" l="1"/>
  <c r="C800" i="5" a="1"/>
  <c r="C800" i="5" s="1"/>
  <c r="A800" i="5" a="1"/>
  <c r="A800" i="5" s="1"/>
  <c r="C801" i="5" l="1" a="1"/>
  <c r="C801" i="5" s="1"/>
  <c r="A801" i="5" a="1"/>
  <c r="A801" i="5" s="1"/>
  <c r="B802" i="5"/>
  <c r="B803" i="5" l="1"/>
  <c r="C802" i="5" a="1"/>
  <c r="C802" i="5" s="1"/>
  <c r="A802" i="5" a="1"/>
  <c r="A802" i="5" s="1"/>
  <c r="C803" i="5" l="1" a="1"/>
  <c r="C803" i="5" s="1"/>
  <c r="A803" i="5" a="1"/>
  <c r="A803" i="5" s="1"/>
  <c r="B804" i="5"/>
  <c r="B805" i="5" l="1"/>
  <c r="C804" i="5" a="1"/>
  <c r="C804" i="5" s="1"/>
  <c r="A804" i="5" a="1"/>
  <c r="A804" i="5" s="1"/>
  <c r="A805" i="5" l="1" a="1"/>
  <c r="A805" i="5" s="1"/>
  <c r="B806" i="5"/>
  <c r="C805" i="5" a="1"/>
  <c r="C805" i="5" s="1"/>
  <c r="A806" i="5" l="1" a="1"/>
  <c r="A806" i="5" s="1"/>
  <c r="B807" i="5"/>
  <c r="C806" i="5" a="1"/>
  <c r="C806" i="5" s="1"/>
  <c r="B808" i="5" l="1"/>
  <c r="C807" i="5" a="1"/>
  <c r="C807" i="5" s="1"/>
  <c r="A807" i="5" a="1"/>
  <c r="A807" i="5" s="1"/>
  <c r="C808" i="5" l="1" a="1"/>
  <c r="C808" i="5" s="1"/>
  <c r="A808" i="5" a="1"/>
  <c r="A808" i="5" s="1"/>
  <c r="B809" i="5"/>
  <c r="B810" i="5" l="1"/>
  <c r="C809" i="5" a="1"/>
  <c r="C809" i="5" s="1"/>
  <c r="A809" i="5" a="1"/>
  <c r="A809" i="5" s="1"/>
  <c r="C810" i="5" l="1" a="1"/>
  <c r="C810" i="5" s="1"/>
  <c r="A810" i="5" a="1"/>
  <c r="A810" i="5" s="1"/>
  <c r="B811" i="5"/>
  <c r="B812" i="5" l="1"/>
  <c r="C811" i="5" a="1"/>
  <c r="C811" i="5" s="1"/>
  <c r="A811" i="5" a="1"/>
  <c r="A811" i="5" s="1"/>
  <c r="A812" i="5" l="1" a="1"/>
  <c r="A812" i="5" s="1"/>
  <c r="B813" i="5"/>
  <c r="C812" i="5" a="1"/>
  <c r="C812" i="5" s="1"/>
  <c r="A813" i="5" l="1" a="1"/>
  <c r="A813" i="5" s="1"/>
  <c r="B814" i="5"/>
  <c r="C813" i="5" a="1"/>
  <c r="C813" i="5" s="1"/>
  <c r="B815" i="5" l="1"/>
  <c r="C814" i="5" a="1"/>
  <c r="C814" i="5" s="1"/>
  <c r="A814" i="5" a="1"/>
  <c r="A814" i="5" s="1"/>
  <c r="C815" i="5" l="1" a="1"/>
  <c r="C815" i="5" s="1"/>
  <c r="A815" i="5" a="1"/>
  <c r="A815" i="5" s="1"/>
  <c r="B816" i="5"/>
  <c r="B817" i="5" l="1"/>
  <c r="C816" i="5" a="1"/>
  <c r="C816" i="5" s="1"/>
  <c r="A816" i="5" a="1"/>
  <c r="A816" i="5" s="1"/>
  <c r="C817" i="5" l="1" a="1"/>
  <c r="C817" i="5" s="1"/>
  <c r="B818" i="5"/>
  <c r="A817" i="5" a="1"/>
  <c r="A817" i="5" s="1"/>
  <c r="B819" i="5" l="1"/>
  <c r="C818" i="5" a="1"/>
  <c r="C818" i="5" s="1"/>
  <c r="A818" i="5" a="1"/>
  <c r="A818" i="5" s="1"/>
  <c r="A819" i="5" l="1" a="1"/>
  <c r="A819" i="5" s="1"/>
  <c r="B820" i="5"/>
  <c r="C819" i="5" a="1"/>
  <c r="C819" i="5" s="1"/>
  <c r="C820" i="5" l="1" a="1"/>
  <c r="C820" i="5" s="1"/>
  <c r="A820" i="5" a="1"/>
  <c r="A820" i="5" s="1"/>
  <c r="B821" i="5"/>
  <c r="B822" i="5" l="1"/>
  <c r="C821" i="5" a="1"/>
  <c r="C821" i="5" s="1"/>
  <c r="A821" i="5" a="1"/>
  <c r="A821" i="5" s="1"/>
  <c r="C822" i="5" l="1" a="1"/>
  <c r="C822" i="5" s="1"/>
  <c r="B823" i="5"/>
  <c r="A822" i="5" a="1"/>
  <c r="A822" i="5" s="1"/>
  <c r="B824" i="5" l="1"/>
  <c r="C823" i="5" a="1"/>
  <c r="C823" i="5" s="1"/>
  <c r="A823" i="5" a="1"/>
  <c r="A823" i="5" s="1"/>
  <c r="C824" i="5" l="1" a="1"/>
  <c r="C824" i="5" s="1"/>
  <c r="B825" i="5"/>
  <c r="A824" i="5" a="1"/>
  <c r="A824" i="5" s="1"/>
  <c r="B826" i="5" l="1"/>
  <c r="C825" i="5" a="1"/>
  <c r="C825" i="5" s="1"/>
  <c r="A825" i="5" a="1"/>
  <c r="A825" i="5" s="1"/>
  <c r="A826" i="5" l="1" a="1"/>
  <c r="A826" i="5" s="1"/>
  <c r="B827" i="5"/>
  <c r="C826" i="5" a="1"/>
  <c r="C826" i="5" s="1"/>
  <c r="C827" i="5" l="1" a="1"/>
  <c r="C827" i="5" s="1"/>
  <c r="A827" i="5" a="1"/>
  <c r="A827" i="5" s="1"/>
  <c r="B828" i="5"/>
  <c r="B829" i="5" l="1"/>
  <c r="C828" i="5" a="1"/>
  <c r="C828" i="5" s="1"/>
  <c r="A828" i="5" a="1"/>
  <c r="A828" i="5" s="1"/>
  <c r="C829" i="5" l="1" a="1"/>
  <c r="C829" i="5" s="1"/>
  <c r="A829" i="5" a="1"/>
  <c r="A829" i="5" s="1"/>
  <c r="B830" i="5"/>
  <c r="B831" i="5" l="1"/>
  <c r="A830" i="5" a="1"/>
  <c r="A830" i="5" s="1"/>
  <c r="C830" i="5" a="1"/>
  <c r="C830" i="5" s="1"/>
  <c r="C831" i="5" l="1" a="1"/>
  <c r="C831" i="5" s="1"/>
  <c r="B832" i="5"/>
  <c r="A831" i="5" a="1"/>
  <c r="A831" i="5" s="1"/>
  <c r="B833" i="5" l="1"/>
  <c r="C832" i="5" a="1"/>
  <c r="C832" i="5" s="1"/>
  <c r="A832" i="5" a="1"/>
  <c r="A832" i="5" s="1"/>
  <c r="A833" i="5" l="1" a="1"/>
  <c r="A833" i="5" s="1"/>
  <c r="B834" i="5"/>
  <c r="C833" i="5" a="1"/>
  <c r="C833" i="5" s="1"/>
  <c r="C834" i="5" l="1" a="1"/>
  <c r="C834" i="5" s="1"/>
  <c r="A834" i="5" a="1"/>
  <c r="A834" i="5" s="1"/>
  <c r="B835" i="5"/>
  <c r="A835" i="5" l="1" a="1"/>
  <c r="A835" i="5" s="1"/>
  <c r="B836" i="5"/>
  <c r="C835" i="5" a="1"/>
  <c r="C835" i="5" s="1"/>
  <c r="C836" i="5" l="1" a="1"/>
  <c r="C836" i="5" s="1"/>
  <c r="B837" i="5"/>
  <c r="A836" i="5" a="1"/>
  <c r="A836" i="5" s="1"/>
  <c r="B838" i="5" l="1"/>
  <c r="A837" i="5" a="1"/>
  <c r="A837" i="5" s="1"/>
  <c r="C837" i="5" a="1"/>
  <c r="C837" i="5" s="1"/>
  <c r="C838" i="5" l="1" a="1"/>
  <c r="C838" i="5" s="1"/>
  <c r="B839" i="5"/>
  <c r="A838" i="5" a="1"/>
  <c r="A838" i="5" s="1"/>
  <c r="B840" i="5" l="1"/>
  <c r="C839" i="5" a="1"/>
  <c r="C839" i="5" s="1"/>
  <c r="A839" i="5" a="1"/>
  <c r="A839" i="5" s="1"/>
  <c r="A840" i="5" l="1" a="1"/>
  <c r="A840" i="5" s="1"/>
  <c r="B841" i="5"/>
  <c r="C840" i="5" a="1"/>
  <c r="C840" i="5" s="1"/>
  <c r="B842" i="5" l="1"/>
  <c r="C841" i="5" a="1"/>
  <c r="C841" i="5" s="1"/>
  <c r="A841" i="5" a="1"/>
  <c r="A841" i="5" s="1"/>
  <c r="A842" i="5" l="1" a="1"/>
  <c r="A842" i="5" s="1"/>
  <c r="B843" i="5"/>
  <c r="C842" i="5" a="1"/>
  <c r="C842" i="5" s="1"/>
  <c r="C843" i="5" l="1" a="1"/>
  <c r="C843" i="5" s="1"/>
  <c r="B844" i="5"/>
  <c r="A843" i="5" a="1"/>
  <c r="A843" i="5" s="1"/>
  <c r="B845" i="5" l="1"/>
  <c r="A844" i="5" a="1"/>
  <c r="A844" i="5" s="1"/>
  <c r="C844" i="5" a="1"/>
  <c r="C844" i="5" s="1"/>
  <c r="C845" i="5" l="1" a="1"/>
  <c r="C845" i="5" s="1"/>
  <c r="B846" i="5"/>
  <c r="A845" i="5" a="1"/>
  <c r="A845" i="5" s="1"/>
  <c r="B847" i="5" l="1"/>
  <c r="C846" i="5" a="1"/>
  <c r="C846" i="5" s="1"/>
  <c r="A846" i="5" a="1"/>
  <c r="A846" i="5" s="1"/>
  <c r="A847" i="5" l="1" a="1"/>
  <c r="A847" i="5" s="1"/>
  <c r="B848" i="5"/>
  <c r="C847" i="5" a="1"/>
  <c r="C847" i="5" s="1"/>
  <c r="B849" i="5" l="1"/>
  <c r="C848" i="5" a="1"/>
  <c r="C848" i="5" s="1"/>
  <c r="A848" i="5" a="1"/>
  <c r="A848" i="5" s="1"/>
  <c r="A849" i="5" l="1" a="1"/>
  <c r="A849" i="5" s="1"/>
  <c r="B850" i="5"/>
  <c r="C849" i="5" a="1"/>
  <c r="C849" i="5" s="1"/>
  <c r="C850" i="5" l="1" a="1"/>
  <c r="C850" i="5" s="1"/>
  <c r="B851" i="5"/>
  <c r="A850" i="5" a="1"/>
  <c r="A850" i="5" s="1"/>
  <c r="B852" i="5" l="1"/>
  <c r="C851" i="5" a="1"/>
  <c r="C851" i="5" s="1"/>
  <c r="A851" i="5" a="1"/>
  <c r="A851" i="5" s="1"/>
  <c r="C852" i="5" l="1" a="1"/>
  <c r="C852" i="5" s="1"/>
  <c r="B853" i="5"/>
  <c r="A852" i="5" a="1"/>
  <c r="A852" i="5" s="1"/>
  <c r="B854" i="5" l="1"/>
  <c r="C853" i="5" a="1"/>
  <c r="C853" i="5" s="1"/>
  <c r="A853" i="5" a="1"/>
  <c r="A853" i="5" s="1"/>
  <c r="A854" i="5" l="1" a="1"/>
  <c r="A854" i="5" s="1"/>
  <c r="B855" i="5"/>
  <c r="C854" i="5" a="1"/>
  <c r="C854" i="5" s="1"/>
  <c r="B856" i="5" l="1"/>
  <c r="A855" i="5" a="1"/>
  <c r="A855" i="5" s="1"/>
  <c r="C855" i="5" a="1"/>
  <c r="C855" i="5" s="1"/>
  <c r="C856" i="5" l="1" a="1"/>
  <c r="C856" i="5" s="1"/>
  <c r="A856" i="5" a="1"/>
  <c r="A856" i="5" s="1"/>
  <c r="B857" i="5"/>
  <c r="C857" i="5" l="1" a="1"/>
  <c r="C857" i="5" s="1"/>
  <c r="B858" i="5"/>
  <c r="A857" i="5" a="1"/>
  <c r="A857" i="5" s="1"/>
  <c r="B859" i="5" l="1"/>
  <c r="C858" i="5" a="1"/>
  <c r="C858" i="5" s="1"/>
  <c r="A858" i="5" a="1"/>
  <c r="A858" i="5" s="1"/>
  <c r="C859" i="5" l="1" a="1"/>
  <c r="C859" i="5" s="1"/>
  <c r="B860" i="5"/>
  <c r="A859" i="5" a="1"/>
  <c r="A859" i="5" s="1"/>
  <c r="B861" i="5" l="1"/>
  <c r="C860" i="5" a="1"/>
  <c r="C860" i="5" s="1"/>
  <c r="A860" i="5" a="1"/>
  <c r="A860" i="5" s="1"/>
  <c r="A861" i="5" l="1" a="1"/>
  <c r="A861" i="5" s="1"/>
  <c r="B862" i="5"/>
  <c r="C861" i="5" a="1"/>
  <c r="C861" i="5" s="1"/>
  <c r="B863" i="5" l="1"/>
  <c r="C862" i="5" a="1"/>
  <c r="C862" i="5" s="1"/>
  <c r="A862" i="5" a="1"/>
  <c r="A862" i="5" s="1"/>
  <c r="C863" i="5" l="1" a="1"/>
  <c r="C863" i="5" s="1"/>
  <c r="A863" i="5" a="1"/>
  <c r="A863" i="5" s="1"/>
  <c r="B864" i="5"/>
  <c r="C864" i="5" l="1" a="1"/>
  <c r="C864" i="5" s="1"/>
  <c r="B865" i="5"/>
  <c r="A864" i="5" a="1"/>
  <c r="A864" i="5" s="1"/>
  <c r="B866" i="5" l="1"/>
  <c r="C865" i="5" a="1"/>
  <c r="C865" i="5" s="1"/>
  <c r="A865" i="5" a="1"/>
  <c r="A865" i="5" s="1"/>
  <c r="C866" i="5" l="1" a="1"/>
  <c r="C866" i="5" s="1"/>
  <c r="B867" i="5"/>
  <c r="A866" i="5" a="1"/>
  <c r="A866" i="5" s="1"/>
  <c r="B868" i="5" l="1"/>
  <c r="C867" i="5" a="1"/>
  <c r="C867" i="5" s="1"/>
  <c r="A867" i="5" a="1"/>
  <c r="A867" i="5" s="1"/>
  <c r="A868" i="5" l="1" a="1"/>
  <c r="A868" i="5" s="1"/>
  <c r="B869" i="5"/>
  <c r="C868" i="5" a="1"/>
  <c r="C868" i="5" s="1"/>
  <c r="B870" i="5" l="1"/>
  <c r="C869" i="5" a="1"/>
  <c r="C869" i="5" s="1"/>
  <c r="A869" i="5" a="1"/>
  <c r="A869" i="5" s="1"/>
  <c r="C870" i="5" l="1" a="1"/>
  <c r="C870" i="5" s="1"/>
  <c r="A870" i="5" a="1"/>
  <c r="A870" i="5" s="1"/>
  <c r="B871" i="5"/>
  <c r="C871" i="5" l="1" a="1"/>
  <c r="C871" i="5" s="1"/>
  <c r="B872" i="5"/>
  <c r="A871" i="5" a="1"/>
  <c r="A871" i="5" s="1"/>
  <c r="B873" i="5" l="1"/>
  <c r="C872" i="5" a="1"/>
  <c r="C872" i="5" s="1"/>
  <c r="A872" i="5" a="1"/>
  <c r="A872" i="5" s="1"/>
  <c r="C873" i="5" l="1" a="1"/>
  <c r="C873" i="5" s="1"/>
  <c r="B874" i="5"/>
  <c r="A873" i="5" a="1"/>
  <c r="A873" i="5" s="1"/>
  <c r="B875" i="5" l="1"/>
  <c r="C874" i="5" a="1"/>
  <c r="C874" i="5" s="1"/>
  <c r="A874" i="5" a="1"/>
  <c r="A874" i="5" s="1"/>
  <c r="A875" i="5" l="1" a="1"/>
  <c r="A875" i="5" s="1"/>
  <c r="B876" i="5"/>
  <c r="C875" i="5" a="1"/>
  <c r="C875" i="5" s="1"/>
  <c r="C876" i="5" l="1" a="1"/>
  <c r="C876" i="5" s="1"/>
  <c r="A876" i="5" a="1"/>
  <c r="A876" i="5" s="1"/>
  <c r="B877" i="5"/>
  <c r="C877" i="5" l="1" a="1"/>
  <c r="C877" i="5" s="1"/>
  <c r="A877" i="5" a="1"/>
  <c r="A877" i="5" s="1"/>
  <c r="B878" i="5"/>
  <c r="C878" i="5" l="1" a="1"/>
  <c r="C878" i="5" s="1"/>
  <c r="B879" i="5"/>
  <c r="A878" i="5" a="1"/>
  <c r="A878" i="5" s="1"/>
  <c r="B880" i="5" l="1"/>
  <c r="C879" i="5" a="1"/>
  <c r="C879" i="5" s="1"/>
  <c r="A879" i="5" a="1"/>
  <c r="A879" i="5" s="1"/>
  <c r="C880" i="5" l="1" a="1"/>
  <c r="C880" i="5" s="1"/>
  <c r="A880" i="5" a="1"/>
  <c r="A880" i="5" s="1"/>
  <c r="B881" i="5"/>
  <c r="B882" i="5" l="1"/>
  <c r="C881" i="5" a="1"/>
  <c r="C881" i="5" s="1"/>
  <c r="A881" i="5" a="1"/>
  <c r="A881" i="5" s="1"/>
  <c r="A882" i="5" l="1" a="1"/>
  <c r="A882" i="5" s="1"/>
  <c r="B883" i="5"/>
  <c r="C882" i="5" a="1"/>
  <c r="C882" i="5" s="1"/>
  <c r="B884" i="5" l="1"/>
  <c r="C883" i="5" a="1"/>
  <c r="C883" i="5" s="1"/>
  <c r="A883" i="5" a="1"/>
  <c r="A883" i="5" s="1"/>
  <c r="B885" i="5" l="1"/>
  <c r="C884" i="5" a="1"/>
  <c r="C884" i="5" s="1"/>
  <c r="A884" i="5" a="1"/>
  <c r="A884" i="5" s="1"/>
  <c r="C885" i="5" l="1" a="1"/>
  <c r="C885" i="5" s="1"/>
  <c r="A885" i="5" a="1"/>
  <c r="A885" i="5" s="1"/>
  <c r="B886" i="5"/>
  <c r="B887" i="5" l="1"/>
  <c r="C886" i="5" a="1"/>
  <c r="C886" i="5" s="1"/>
  <c r="A886" i="5" a="1"/>
  <c r="A886" i="5" s="1"/>
  <c r="C887" i="5" l="1" a="1"/>
  <c r="C887" i="5" s="1"/>
  <c r="A887" i="5" a="1"/>
  <c r="A887" i="5" s="1"/>
  <c r="B888" i="5"/>
  <c r="B889" i="5" l="1"/>
  <c r="C888" i="5" a="1"/>
  <c r="C888" i="5" s="1"/>
  <c r="A888" i="5" a="1"/>
  <c r="A888" i="5" s="1"/>
  <c r="A889" i="5" l="1" a="1"/>
  <c r="A889" i="5" s="1"/>
  <c r="B890" i="5"/>
  <c r="C889" i="5" a="1"/>
  <c r="C889" i="5" s="1"/>
  <c r="C890" i="5" l="1" a="1"/>
  <c r="C890" i="5" s="1"/>
  <c r="B891" i="5"/>
  <c r="A890" i="5" a="1"/>
  <c r="A890" i="5" s="1"/>
  <c r="B892" i="5" l="1"/>
  <c r="A891" i="5" a="1"/>
  <c r="A891" i="5" s="1"/>
  <c r="C891" i="5" a="1"/>
  <c r="C891" i="5" s="1"/>
  <c r="C892" i="5" l="1" a="1"/>
  <c r="C892" i="5" s="1"/>
  <c r="A892" i="5" a="1"/>
  <c r="A892" i="5" s="1"/>
  <c r="B893" i="5"/>
  <c r="B894" i="5" l="1"/>
  <c r="C893" i="5" a="1"/>
  <c r="C893" i="5" s="1"/>
  <c r="A893" i="5" a="1"/>
  <c r="A893" i="5" s="1"/>
  <c r="C894" i="5" l="1" a="1"/>
  <c r="C894" i="5" s="1"/>
  <c r="A894" i="5" a="1"/>
  <c r="A894" i="5" s="1"/>
  <c r="B895" i="5"/>
  <c r="B896" i="5" l="1"/>
  <c r="C895" i="5" a="1"/>
  <c r="C895" i="5" s="1"/>
  <c r="A895" i="5" a="1"/>
  <c r="A895" i="5" s="1"/>
  <c r="A896" i="5" l="1" a="1"/>
  <c r="A896" i="5" s="1"/>
  <c r="B897" i="5"/>
  <c r="C896" i="5" a="1"/>
  <c r="C896" i="5" s="1"/>
  <c r="C897" i="5" l="1" a="1"/>
  <c r="C897" i="5" s="1"/>
  <c r="A897" i="5" a="1"/>
  <c r="A897" i="5" s="1"/>
  <c r="B898" i="5"/>
  <c r="B899" i="5" l="1"/>
  <c r="C898" i="5" a="1"/>
  <c r="C898" i="5" s="1"/>
  <c r="A898" i="5" a="1"/>
  <c r="A898" i="5" s="1"/>
  <c r="C899" i="5" l="1" a="1"/>
  <c r="C899" i="5" s="1"/>
  <c r="A899" i="5" a="1"/>
  <c r="A899" i="5" s="1"/>
  <c r="B900" i="5"/>
  <c r="B901" i="5" l="1"/>
  <c r="A900" i="5" a="1"/>
  <c r="A900" i="5" s="1"/>
  <c r="C900" i="5" a="1"/>
  <c r="C900" i="5" s="1"/>
  <c r="C901" i="5" l="1" a="1"/>
  <c r="C901" i="5" s="1"/>
  <c r="A901" i="5" a="1"/>
  <c r="A901" i="5" s="1"/>
  <c r="B902" i="5"/>
  <c r="B903" i="5" l="1"/>
  <c r="C902" i="5" a="1"/>
  <c r="C902" i="5" s="1"/>
  <c r="A902" i="5" a="1"/>
  <c r="A902" i="5" s="1"/>
  <c r="A903" i="5" l="1" a="1"/>
  <c r="A903" i="5" s="1"/>
  <c r="B904" i="5"/>
  <c r="C903" i="5" a="1"/>
  <c r="C903" i="5" s="1"/>
  <c r="C904" i="5" l="1" a="1"/>
  <c r="C904" i="5" s="1"/>
  <c r="B905" i="5"/>
  <c r="A904" i="5" a="1"/>
  <c r="A904" i="5" s="1"/>
  <c r="B906" i="5" l="1"/>
  <c r="C905" i="5" a="1"/>
  <c r="C905" i="5" s="1"/>
  <c r="A905" i="5" a="1"/>
  <c r="A905" i="5" s="1"/>
  <c r="C906" i="5" l="1" a="1"/>
  <c r="C906" i="5" s="1"/>
  <c r="A906" i="5" a="1"/>
  <c r="A906" i="5" s="1"/>
  <c r="B907" i="5"/>
  <c r="B908" i="5" l="1"/>
  <c r="C907" i="5" a="1"/>
  <c r="C907" i="5" s="1"/>
  <c r="A907" i="5" a="1"/>
  <c r="A907" i="5" s="1"/>
  <c r="C908" i="5" l="1" a="1"/>
  <c r="C908" i="5" s="1"/>
  <c r="A908" i="5" a="1"/>
  <c r="A908" i="5" s="1"/>
  <c r="B909" i="5"/>
  <c r="B910" i="5" l="1"/>
  <c r="C909" i="5" a="1"/>
  <c r="C909" i="5" s="1"/>
  <c r="A909" i="5" a="1"/>
  <c r="A909" i="5" s="1"/>
  <c r="A910" i="5" l="1" a="1"/>
  <c r="A910" i="5" s="1"/>
  <c r="B911" i="5"/>
  <c r="C910" i="5" a="1"/>
  <c r="C910" i="5" s="1"/>
  <c r="C911" i="5" l="1" a="1"/>
  <c r="C911" i="5" s="1"/>
  <c r="A911" i="5" a="1"/>
  <c r="A911" i="5" s="1"/>
  <c r="B912" i="5"/>
  <c r="B913" i="5" l="1"/>
  <c r="C912" i="5" a="1"/>
  <c r="C912" i="5" s="1"/>
  <c r="A912" i="5" a="1"/>
  <c r="A912" i="5" s="1"/>
  <c r="C913" i="5" l="1" a="1"/>
  <c r="C913" i="5" s="1"/>
  <c r="A913" i="5" a="1"/>
  <c r="A913" i="5" s="1"/>
  <c r="B914" i="5"/>
  <c r="B915" i="5" l="1"/>
  <c r="C914" i="5" a="1"/>
  <c r="C914" i="5" s="1"/>
  <c r="A914" i="5" a="1"/>
  <c r="A914" i="5" s="1"/>
  <c r="C915" i="5" l="1" a="1"/>
  <c r="C915" i="5" s="1"/>
  <c r="A915" i="5" a="1"/>
  <c r="A915" i="5" s="1"/>
  <c r="B916" i="5"/>
  <c r="B917" i="5" l="1"/>
  <c r="C916" i="5" a="1"/>
  <c r="C916" i="5" s="1"/>
  <c r="A916" i="5" a="1"/>
  <c r="A916" i="5" s="1"/>
  <c r="A917" i="5" l="1" a="1"/>
  <c r="A917" i="5" s="1"/>
  <c r="B918" i="5"/>
  <c r="C917" i="5" a="1"/>
  <c r="C917" i="5" s="1"/>
  <c r="C918" i="5" l="1" a="1"/>
  <c r="C918" i="5" s="1"/>
  <c r="B919" i="5"/>
  <c r="A918" i="5" a="1"/>
  <c r="A918" i="5" s="1"/>
  <c r="B920" i="5" l="1"/>
  <c r="I919" i="5"/>
  <c r="C919" i="5" a="1"/>
  <c r="C919" i="5" s="1"/>
  <c r="A919" i="5" a="1"/>
  <c r="A919" i="5" s="1"/>
  <c r="C920" i="5" l="1" a="1"/>
  <c r="C920" i="5" s="1"/>
  <c r="A920" i="5" a="1"/>
  <c r="A920" i="5" s="1"/>
  <c r="B921" i="5"/>
  <c r="B922" i="5" l="1"/>
  <c r="C921" i="5" a="1"/>
  <c r="C921" i="5" s="1"/>
  <c r="A921" i="5" a="1"/>
  <c r="A921" i="5" s="1"/>
  <c r="C922" i="5" l="1" a="1"/>
  <c r="C922" i="5" s="1"/>
  <c r="A922" i="5" a="1"/>
  <c r="A922" i="5" s="1"/>
  <c r="B923" i="5"/>
  <c r="B924" i="5" l="1"/>
  <c r="C923" i="5" a="1"/>
  <c r="C923" i="5" s="1"/>
  <c r="A923" i="5" a="1"/>
  <c r="A923" i="5" s="1"/>
  <c r="A924" i="5" l="1" a="1"/>
  <c r="A924" i="5" s="1"/>
  <c r="B925" i="5"/>
  <c r="C924" i="5" a="1"/>
  <c r="C924" i="5" s="1"/>
  <c r="C925" i="5" l="1" a="1"/>
  <c r="C925" i="5" s="1"/>
  <c r="B926" i="5"/>
  <c r="A925" i="5" a="1"/>
  <c r="A925" i="5" s="1"/>
  <c r="B927" i="5" l="1"/>
  <c r="C926" i="5" a="1"/>
  <c r="C926" i="5" s="1"/>
  <c r="A926" i="5" a="1"/>
  <c r="A926" i="5" s="1"/>
  <c r="C927" i="5" l="1" a="1"/>
  <c r="C927" i="5" s="1"/>
  <c r="A927" i="5" a="1"/>
  <c r="A927" i="5" s="1"/>
  <c r="B928" i="5"/>
  <c r="B929" i="5" l="1"/>
  <c r="C928" i="5" a="1"/>
  <c r="C928" i="5" s="1"/>
  <c r="A928" i="5" a="1"/>
  <c r="A928" i="5" s="1"/>
  <c r="C929" i="5" l="1" a="1"/>
  <c r="C929" i="5" s="1"/>
  <c r="A929" i="5" a="1"/>
  <c r="A929" i="5" s="1"/>
  <c r="B930" i="5"/>
  <c r="B931" i="5" l="1"/>
  <c r="C930" i="5" a="1"/>
  <c r="C930" i="5" s="1"/>
  <c r="A930" i="5" a="1"/>
  <c r="A930" i="5" s="1"/>
  <c r="C931" i="5" l="1" a="1"/>
  <c r="C931" i="5" s="1"/>
  <c r="A931" i="5" a="1"/>
  <c r="A931" i="5" s="1"/>
  <c r="B932" i="5"/>
  <c r="B933" i="5" l="1"/>
  <c r="C932" i="5" a="1"/>
  <c r="C932" i="5" s="1"/>
  <c r="A932" i="5" a="1"/>
  <c r="A932" i="5" s="1"/>
  <c r="C933" i="5" l="1" a="1"/>
  <c r="C933" i="5" s="1"/>
  <c r="A933" i="5" a="1"/>
  <c r="A933" i="5" s="1"/>
  <c r="B934" i="5"/>
  <c r="B935" i="5" l="1"/>
  <c r="C934" i="5" a="1"/>
  <c r="C934" i="5" s="1"/>
  <c r="A934" i="5" a="1"/>
  <c r="A934" i="5" s="1"/>
  <c r="A935" i="5" l="1" a="1"/>
  <c r="A935" i="5" s="1"/>
  <c r="C935" i="5" a="1"/>
  <c r="C935" i="5" s="1"/>
  <c r="B936" i="5"/>
  <c r="C936" i="5" l="1" a="1"/>
  <c r="C936" i="5" s="1"/>
  <c r="A936" i="5" a="1"/>
  <c r="A936" i="5" s="1"/>
  <c r="B937" i="5"/>
  <c r="C937" i="5" l="1" a="1"/>
  <c r="C937" i="5" s="1"/>
  <c r="A937" i="5" a="1"/>
  <c r="A937" i="5" s="1"/>
  <c r="B938" i="5"/>
  <c r="C938" i="5" l="1" a="1"/>
  <c r="C938" i="5" s="1"/>
  <c r="A938" i="5" a="1"/>
  <c r="A938" i="5" s="1"/>
  <c r="B939" i="5"/>
  <c r="B940" i="5" l="1"/>
  <c r="C939" i="5" a="1"/>
  <c r="C939" i="5" s="1"/>
  <c r="A939" i="5" a="1"/>
  <c r="A939" i="5" s="1"/>
  <c r="C940" i="5" l="1" a="1"/>
  <c r="C940" i="5" s="1"/>
  <c r="A940" i="5" a="1"/>
  <c r="A940" i="5" s="1"/>
  <c r="B941" i="5"/>
  <c r="B942" i="5" l="1"/>
  <c r="C941" i="5" a="1"/>
  <c r="C941" i="5" s="1"/>
  <c r="A941" i="5" a="1"/>
  <c r="A941" i="5" s="1"/>
  <c r="A942" i="5" l="1" a="1"/>
  <c r="A942" i="5" s="1"/>
  <c r="C942" i="5" a="1"/>
  <c r="C942" i="5" s="1"/>
  <c r="B943" i="5"/>
  <c r="B944" i="5" l="1"/>
  <c r="A943" i="5" a="1"/>
  <c r="A943" i="5" s="1"/>
  <c r="C943" i="5" a="1"/>
  <c r="C943" i="5" s="1"/>
  <c r="C944" i="5" l="1" a="1"/>
  <c r="C944" i="5" s="1"/>
  <c r="A944" i="5" a="1"/>
  <c r="A944" i="5" s="1"/>
  <c r="B945" i="5"/>
  <c r="C945" i="5" l="1" a="1"/>
  <c r="C945" i="5" s="1"/>
  <c r="B946" i="5"/>
  <c r="A945" i="5" a="1"/>
  <c r="A945" i="5" s="1"/>
  <c r="B947" i="5" l="1"/>
  <c r="C946" i="5" a="1"/>
  <c r="C946" i="5" s="1"/>
  <c r="A946" i="5" a="1"/>
  <c r="A946" i="5" s="1"/>
  <c r="C947" i="5" l="1" a="1"/>
  <c r="C947" i="5" s="1"/>
  <c r="B948" i="5"/>
  <c r="A947" i="5" a="1"/>
  <c r="A947" i="5" s="1"/>
  <c r="B949" i="5" l="1"/>
  <c r="C948" i="5" a="1"/>
  <c r="C948" i="5" s="1"/>
  <c r="A948" i="5" a="1"/>
  <c r="A948" i="5" s="1"/>
  <c r="A949" i="5" l="1" a="1"/>
  <c r="A949" i="5" s="1"/>
  <c r="B950" i="5"/>
  <c r="C949" i="5" a="1"/>
  <c r="C949" i="5" s="1"/>
  <c r="B951" i="5" l="1"/>
  <c r="C950" i="5" a="1"/>
  <c r="C950" i="5" s="1"/>
  <c r="A950" i="5" a="1"/>
  <c r="A950" i="5" s="1"/>
  <c r="C951" i="5" l="1" a="1"/>
  <c r="C951" i="5" s="1"/>
  <c r="A951" i="5" a="1"/>
  <c r="A951" i="5" s="1"/>
  <c r="B952" i="5"/>
  <c r="C952" i="5" l="1" a="1"/>
  <c r="C952" i="5" s="1"/>
  <c r="A952" i="5" a="1"/>
  <c r="A952" i="5" s="1"/>
  <c r="B953" i="5"/>
  <c r="B954" i="5" l="1"/>
  <c r="C953" i="5" a="1"/>
  <c r="C953" i="5" s="1"/>
  <c r="A953" i="5" a="1"/>
  <c r="A953" i="5" s="1"/>
  <c r="C954" i="5" l="1" a="1"/>
  <c r="C954" i="5" s="1"/>
  <c r="B955" i="5"/>
  <c r="A954" i="5" a="1"/>
  <c r="A954" i="5" s="1"/>
  <c r="B956" i="5" l="1"/>
  <c r="C955" i="5" a="1"/>
  <c r="C955" i="5" s="1"/>
  <c r="A955" i="5" a="1"/>
  <c r="A955" i="5" s="1"/>
  <c r="A956" i="5" l="1" a="1"/>
  <c r="A956" i="5" s="1"/>
  <c r="B957" i="5"/>
  <c r="C956" i="5" a="1"/>
  <c r="C956" i="5" s="1"/>
  <c r="B958" i="5" l="1"/>
  <c r="C957" i="5" a="1"/>
  <c r="C957" i="5" s="1"/>
  <c r="A957" i="5" a="1"/>
  <c r="A957" i="5" s="1"/>
  <c r="C958" i="5" l="1" a="1"/>
  <c r="C958" i="5" s="1"/>
  <c r="A958" i="5" a="1"/>
  <c r="A958" i="5" s="1"/>
  <c r="B959" i="5"/>
  <c r="C959" i="5" l="1" a="1"/>
  <c r="C959" i="5" s="1"/>
  <c r="A959" i="5" a="1"/>
  <c r="A959" i="5" s="1"/>
  <c r="B960" i="5"/>
  <c r="B961" i="5" l="1"/>
  <c r="C960" i="5" a="1"/>
  <c r="C960" i="5" s="1"/>
  <c r="A960" i="5" a="1"/>
  <c r="A960" i="5" s="1"/>
  <c r="C961" i="5" l="1" a="1"/>
  <c r="C961" i="5" s="1"/>
  <c r="B962" i="5"/>
  <c r="A961" i="5" a="1"/>
  <c r="A961" i="5" s="1"/>
  <c r="B963" i="5" l="1"/>
  <c r="C962" i="5" a="1"/>
  <c r="C962" i="5" s="1"/>
  <c r="A962" i="5" a="1"/>
  <c r="A962" i="5" s="1"/>
  <c r="A963" i="5" l="1" a="1"/>
  <c r="A963" i="5" s="1"/>
  <c r="B964" i="5"/>
  <c r="C963" i="5" a="1"/>
  <c r="C963" i="5" s="1"/>
  <c r="B965" i="5" l="1"/>
  <c r="C964" i="5" a="1"/>
  <c r="C964" i="5" s="1"/>
  <c r="A964" i="5" a="1"/>
  <c r="A964" i="5" s="1"/>
  <c r="C965" i="5" l="1" a="1"/>
  <c r="C965" i="5" s="1"/>
  <c r="A965" i="5" a="1"/>
  <c r="A965" i="5" s="1"/>
  <c r="B966" i="5"/>
  <c r="C966" i="5" l="1" a="1"/>
  <c r="C966" i="5" s="1"/>
  <c r="A966" i="5" a="1"/>
  <c r="A966" i="5" s="1"/>
  <c r="B967" i="5"/>
  <c r="B968" i="5" l="1"/>
  <c r="C967" i="5" a="1"/>
  <c r="C967" i="5" s="1"/>
  <c r="A967" i="5" a="1"/>
  <c r="A967" i="5" s="1"/>
  <c r="C968" i="5" l="1" a="1"/>
  <c r="C968" i="5" s="1"/>
  <c r="B969" i="5"/>
  <c r="A968" i="5" a="1"/>
  <c r="A968" i="5" s="1"/>
  <c r="B970" i="5" l="1"/>
  <c r="C969" i="5" a="1"/>
  <c r="C969" i="5" s="1"/>
  <c r="A969" i="5" a="1"/>
  <c r="A969" i="5" s="1"/>
  <c r="A970" i="5" l="1" a="1"/>
  <c r="A970" i="5" s="1"/>
  <c r="B971" i="5"/>
  <c r="C970" i="5" a="1"/>
  <c r="C970" i="5" s="1"/>
  <c r="B972" i="5" l="1"/>
  <c r="C971" i="5" a="1"/>
  <c r="C971" i="5" s="1"/>
  <c r="A971" i="5" a="1"/>
  <c r="A971" i="5" s="1"/>
  <c r="C972" i="5" l="1" a="1"/>
  <c r="C972" i="5" s="1"/>
  <c r="A972" i="5" a="1"/>
  <c r="A972" i="5" s="1"/>
  <c r="B973" i="5"/>
  <c r="C973" i="5" l="1" a="1"/>
  <c r="C973" i="5" s="1"/>
  <c r="A973" i="5" a="1"/>
  <c r="A973" i="5" s="1"/>
  <c r="B974" i="5"/>
  <c r="B975" i="5" l="1"/>
  <c r="C974" i="5" a="1"/>
  <c r="C974" i="5" s="1"/>
  <c r="A974" i="5" a="1"/>
  <c r="A974" i="5" s="1"/>
  <c r="C975" i="5" l="1" a="1"/>
  <c r="C975" i="5" s="1"/>
  <c r="B976" i="5"/>
  <c r="A975" i="5" a="1"/>
  <c r="A975" i="5" s="1"/>
  <c r="B977" i="5" l="1"/>
  <c r="C976" i="5" a="1"/>
  <c r="C976" i="5" s="1"/>
  <c r="A976" i="5" a="1"/>
  <c r="A976" i="5" s="1"/>
  <c r="A977" i="5" l="1" a="1"/>
  <c r="A977" i="5" s="1"/>
  <c r="B978" i="5"/>
  <c r="C977" i="5" a="1"/>
  <c r="C977" i="5" s="1"/>
  <c r="B979" i="5" l="1"/>
  <c r="C978" i="5" a="1"/>
  <c r="C978" i="5" s="1"/>
  <c r="A978" i="5" a="1"/>
  <c r="A978" i="5" s="1"/>
  <c r="C979" i="5" l="1" a="1"/>
  <c r="C979" i="5" s="1"/>
  <c r="A979" i="5" a="1"/>
  <c r="A979" i="5" s="1"/>
  <c r="B980" i="5"/>
  <c r="C980" i="5" l="1" a="1"/>
  <c r="C980" i="5" s="1"/>
  <c r="A980" i="5" a="1"/>
  <c r="A980" i="5" s="1"/>
  <c r="B981" i="5"/>
  <c r="B982" i="5" l="1"/>
  <c r="C981" i="5" a="1"/>
  <c r="C981" i="5" s="1"/>
  <c r="A981" i="5" a="1"/>
  <c r="A981" i="5" s="1"/>
  <c r="C982" i="5" l="1" a="1"/>
  <c r="C982" i="5" s="1"/>
  <c r="B983" i="5"/>
  <c r="A982" i="5" a="1"/>
  <c r="A982" i="5" s="1"/>
  <c r="B984" i="5" l="1"/>
  <c r="C983" i="5" a="1"/>
  <c r="C983" i="5" s="1"/>
  <c r="A983" i="5" a="1"/>
  <c r="A983" i="5" s="1"/>
  <c r="A984" i="5" l="1" a="1"/>
  <c r="A984" i="5" s="1"/>
  <c r="B985" i="5"/>
  <c r="C984" i="5" a="1"/>
  <c r="C984" i="5" s="1"/>
  <c r="B986" i="5" l="1"/>
  <c r="C985" i="5" a="1"/>
  <c r="C985" i="5" s="1"/>
  <c r="A985" i="5" a="1"/>
  <c r="A985" i="5" s="1"/>
  <c r="A986" i="5" l="1" a="1"/>
  <c r="A986" i="5" s="1"/>
  <c r="C986" i="5" a="1"/>
  <c r="C986" i="5" s="1"/>
  <c r="B987" i="5"/>
  <c r="C987" i="5" l="1" a="1"/>
  <c r="C987" i="5" s="1"/>
  <c r="A987" i="5" a="1"/>
  <c r="A987" i="5" s="1"/>
  <c r="B988" i="5"/>
  <c r="B989" i="5" l="1"/>
  <c r="C988" i="5" a="1"/>
  <c r="C988" i="5" s="1"/>
  <c r="A988" i="5" a="1"/>
  <c r="A988" i="5" s="1"/>
  <c r="C989" i="5" l="1" a="1"/>
  <c r="C989" i="5" s="1"/>
  <c r="A989" i="5" a="1"/>
  <c r="A989" i="5" s="1"/>
  <c r="B990" i="5"/>
  <c r="B991" i="5" l="1"/>
  <c r="C990" i="5" a="1"/>
  <c r="C990" i="5" s="1"/>
  <c r="A990" i="5" a="1"/>
  <c r="A990" i="5" s="1"/>
  <c r="A991" i="5" l="1" a="1"/>
  <c r="A991" i="5" s="1"/>
  <c r="C991" i="5" a="1"/>
  <c r="C991" i="5" s="1"/>
  <c r="B992" i="5"/>
  <c r="B993" i="5" l="1"/>
  <c r="C992" i="5" a="1"/>
  <c r="C992" i="5" s="1"/>
  <c r="A992" i="5" a="1"/>
  <c r="A992" i="5" s="1"/>
  <c r="A993" i="5" l="1" a="1"/>
  <c r="A993" i="5" s="1"/>
  <c r="C993" i="5" a="1"/>
  <c r="C993" i="5" s="1"/>
  <c r="B994" i="5"/>
  <c r="C994" i="5" l="1" a="1"/>
  <c r="C994" i="5" s="1"/>
  <c r="A994" i="5" a="1"/>
  <c r="A994" i="5" s="1"/>
  <c r="B995" i="5"/>
  <c r="B996" i="5" l="1"/>
  <c r="C995" i="5" a="1"/>
  <c r="C995" i="5" s="1"/>
  <c r="A995" i="5" a="1"/>
  <c r="A995" i="5" s="1"/>
  <c r="C996" i="5" l="1" a="1"/>
  <c r="C996" i="5" s="1"/>
  <c r="A996" i="5" a="1"/>
  <c r="A996" i="5" s="1"/>
  <c r="B997" i="5"/>
  <c r="B998" i="5" l="1"/>
  <c r="I997" i="5"/>
  <c r="C997" i="5" a="1"/>
  <c r="C997" i="5" s="1"/>
  <c r="A997" i="5" a="1"/>
  <c r="A997" i="5" s="1"/>
  <c r="I752" i="5"/>
  <c r="I811" i="5"/>
  <c r="I880" i="5"/>
  <c r="I754" i="5"/>
  <c r="I817" i="5"/>
  <c r="I882" i="5"/>
  <c r="I758" i="5"/>
  <c r="I824" i="5"/>
  <c r="I886" i="5"/>
  <c r="I874" i="5"/>
  <c r="I765" i="5"/>
  <c r="I826" i="5"/>
  <c r="I894" i="5"/>
  <c r="I841" i="5"/>
  <c r="I768" i="5"/>
  <c r="I830" i="5"/>
  <c r="I898" i="5"/>
  <c r="I905" i="5"/>
  <c r="I863" i="5"/>
  <c r="I732" i="5"/>
  <c r="I773" i="5"/>
  <c r="I834" i="5"/>
  <c r="I902" i="5"/>
  <c r="I800" i="5"/>
  <c r="I801" i="5"/>
  <c r="I733" i="5"/>
  <c r="I780" i="5"/>
  <c r="I716" i="5"/>
  <c r="I782" i="5"/>
  <c r="I844" i="5"/>
  <c r="I914" i="5"/>
  <c r="I787" i="5"/>
  <c r="I846" i="5"/>
  <c r="I719" i="5"/>
  <c r="I742" i="5"/>
  <c r="I791" i="5"/>
  <c r="I854" i="5"/>
  <c r="I713" i="5"/>
  <c r="I795" i="5"/>
  <c r="I858" i="5"/>
  <c r="I867" i="5"/>
  <c r="I746" i="5"/>
  <c r="I808" i="5"/>
  <c r="I920" i="5"/>
  <c r="I924" i="5"/>
  <c r="I930" i="5"/>
  <c r="I934" i="5"/>
  <c r="I938" i="5"/>
  <c r="I944" i="5"/>
  <c r="I946" i="5"/>
  <c r="I952" i="5"/>
  <c r="I954" i="5"/>
  <c r="I959" i="5"/>
  <c r="I963" i="5"/>
  <c r="I968" i="5"/>
  <c r="I969" i="5"/>
  <c r="I976" i="5"/>
  <c r="I982" i="5"/>
  <c r="I984" i="5"/>
  <c r="I988" i="5"/>
  <c r="I993" i="5"/>
  <c r="A998" i="5" l="1" a="1"/>
  <c r="A998" i="5" s="1"/>
  <c r="C998" i="5" a="1"/>
  <c r="C998" i="5" s="1"/>
  <c r="B999" i="5"/>
  <c r="I999" i="5" l="1"/>
  <c r="B1000" i="5"/>
  <c r="A999" i="5" a="1"/>
  <c r="A999" i="5" s="1"/>
  <c r="C999" i="5" a="1"/>
  <c r="C999" i="5" s="1"/>
  <c r="A1000" i="5" l="1" a="1"/>
  <c r="A1000" i="5" s="1"/>
  <c r="B1001" i="5"/>
  <c r="C1000" i="5" a="1"/>
  <c r="C1000" i="5" s="1"/>
  <c r="C1001" i="5" l="1" a="1"/>
  <c r="C1001" i="5" s="1"/>
  <c r="A1001" i="5" a="1"/>
  <c r="A1001" i="5" s="1"/>
  <c r="B1002" i="5"/>
  <c r="B1003" i="5" l="1"/>
  <c r="C1002" i="5" a="1"/>
  <c r="C1002" i="5" s="1"/>
  <c r="A1002" i="5" a="1"/>
  <c r="A1002" i="5" s="1"/>
  <c r="C1003" i="5" l="1" a="1"/>
  <c r="C1003" i="5" s="1"/>
  <c r="A1003" i="5" a="1"/>
  <c r="A1003" i="5" s="1"/>
  <c r="B1004" i="5"/>
  <c r="B1005" i="5" l="1"/>
  <c r="A1004" i="5" a="1"/>
  <c r="A1004" i="5" s="1"/>
  <c r="C1004" i="5" a="1"/>
  <c r="C1004" i="5" s="1"/>
  <c r="A1005" i="5" l="1" a="1"/>
  <c r="A1005" i="5" s="1"/>
  <c r="B1006" i="5"/>
  <c r="C1005" i="5" a="1"/>
  <c r="C1005" i="5" s="1"/>
  <c r="I1006" i="5" l="1"/>
  <c r="C1006" i="5" a="1"/>
  <c r="C1006" i="5" s="1"/>
  <c r="A1006" i="5" a="1"/>
  <c r="A1006" i="5" s="1"/>
  <c r="B1007" i="5"/>
  <c r="A1007" i="5" l="1" a="1"/>
  <c r="A1007" i="5" s="1"/>
  <c r="B1008" i="5"/>
  <c r="C1007" i="5" a="1"/>
  <c r="C1007" i="5" s="1"/>
  <c r="C1008" i="5" l="1" a="1"/>
  <c r="C1008" i="5" s="1"/>
  <c r="A1008" i="5" a="1"/>
  <c r="A1008" i="5" s="1"/>
  <c r="B1009" i="5"/>
  <c r="A1009" i="5" l="1" a="1"/>
  <c r="A1009" i="5" s="1"/>
  <c r="B1010" i="5"/>
  <c r="C1009" i="5" a="1"/>
  <c r="C1009" i="5" s="1"/>
  <c r="C1010" i="5" l="1" a="1"/>
  <c r="C1010" i="5" s="1"/>
  <c r="B1011" i="5"/>
  <c r="A1010" i="5" a="1"/>
  <c r="A1010" i="5" s="1"/>
  <c r="B1012" i="5" l="1"/>
  <c r="C1011" i="5" a="1"/>
  <c r="C1011" i="5" s="1"/>
  <c r="A1011" i="5" a="1"/>
  <c r="A1011" i="5" s="1"/>
  <c r="C1012" i="5" l="1" a="1"/>
  <c r="C1012" i="5" s="1"/>
  <c r="A1012" i="5" a="1"/>
  <c r="A1012" i="5" s="1"/>
  <c r="B1013" i="5"/>
  <c r="B1014" i="5" l="1"/>
  <c r="C1013" i="5" a="1"/>
  <c r="C1013" i="5" s="1"/>
  <c r="I1013" i="5"/>
  <c r="A1013" i="5" a="1"/>
  <c r="A1013" i="5" s="1"/>
  <c r="A1014" i="5" l="1" a="1"/>
  <c r="A1014" i="5" s="1"/>
  <c r="B1015" i="5"/>
  <c r="C1014" i="5" a="1"/>
  <c r="C1014" i="5" s="1"/>
  <c r="B1016" i="5" l="1"/>
  <c r="C1015" i="5" a="1"/>
  <c r="C1015" i="5" s="1"/>
  <c r="A1015" i="5" a="1"/>
  <c r="A1015" i="5" s="1"/>
  <c r="B1017" i="5" l="1"/>
  <c r="C1016" i="5" a="1"/>
  <c r="C1016" i="5" s="1"/>
  <c r="A1016" i="5" a="1"/>
  <c r="A1016" i="5" s="1"/>
  <c r="I1017" i="5" l="1"/>
  <c r="C1017" i="5" a="1"/>
  <c r="C1017" i="5" s="1"/>
  <c r="A1017" i="5" a="1"/>
  <c r="A1017" i="5" s="1"/>
  <c r="B1018" i="5"/>
  <c r="B1019" i="5" l="1"/>
  <c r="A1018" i="5" a="1"/>
  <c r="A1018" i="5" s="1"/>
  <c r="C1018" i="5" a="1"/>
  <c r="C1018" i="5" s="1"/>
  <c r="C1019" i="5" l="1" a="1"/>
  <c r="C1019" i="5" s="1"/>
  <c r="A1019" i="5" a="1"/>
  <c r="A1019" i="5" s="1"/>
  <c r="B1020" i="5"/>
  <c r="B1021" i="5" l="1"/>
  <c r="I1020" i="5"/>
  <c r="C1020" i="5" a="1"/>
  <c r="C1020" i="5" s="1"/>
  <c r="A1020" i="5" a="1"/>
  <c r="A1020" i="5" s="1"/>
  <c r="A1021" i="5" l="1" a="1"/>
  <c r="A1021" i="5" s="1"/>
  <c r="B1022" i="5"/>
  <c r="C1021" i="5" a="1"/>
  <c r="C1021" i="5" s="1"/>
  <c r="C1022" i="5" l="1" a="1"/>
  <c r="C1022" i="5" s="1"/>
  <c r="B1023" i="5"/>
  <c r="A1022" i="5" a="1"/>
  <c r="A1022" i="5" s="1"/>
  <c r="B1024" i="5" l="1"/>
  <c r="C1023" i="5" a="1"/>
  <c r="C1023" i="5" s="1"/>
  <c r="A1023" i="5" a="1"/>
  <c r="A1023" i="5" s="1"/>
  <c r="C1024" i="5" l="1" a="1"/>
  <c r="C1024" i="5" s="1"/>
  <c r="A1024" i="5" a="1"/>
  <c r="A1024" i="5" s="1"/>
  <c r="B1025" i="5"/>
  <c r="B1026" i="5" l="1"/>
  <c r="I1025" i="5"/>
  <c r="C1025" i="5" a="1"/>
  <c r="C1025" i="5" s="1"/>
  <c r="A1025" i="5" a="1"/>
  <c r="A1025" i="5" s="1"/>
  <c r="C1026" i="5" l="1" a="1"/>
  <c r="C1026" i="5" s="1"/>
  <c r="A1026" i="5" a="1"/>
  <c r="A1026" i="5" s="1"/>
  <c r="B1027" i="5"/>
  <c r="B1028" i="5" l="1"/>
  <c r="C1027" i="5" a="1"/>
  <c r="C1027" i="5" s="1"/>
  <c r="A1027" i="5" a="1"/>
  <c r="A1027" i="5" s="1"/>
  <c r="A1028" i="5" l="1" a="1"/>
  <c r="A1028" i="5" s="1"/>
  <c r="B1029" i="5"/>
  <c r="I1028" i="5"/>
  <c r="C1028" i="5" a="1"/>
  <c r="C1028" i="5" s="1"/>
  <c r="C1029" i="5" l="1" a="1"/>
  <c r="C1029" i="5" s="1"/>
  <c r="A1029" i="5" a="1"/>
  <c r="A1029" i="5" s="1"/>
  <c r="B1030" i="5"/>
  <c r="B1031" i="5" l="1"/>
  <c r="A1030" i="5" a="1"/>
  <c r="A1030" i="5" s="1"/>
  <c r="C1030" i="5" a="1"/>
  <c r="C1030" i="5" s="1"/>
  <c r="C1031" i="5" l="1" a="1"/>
  <c r="C1031" i="5" s="1"/>
  <c r="A1031" i="5" a="1"/>
  <c r="A1031" i="5" s="1"/>
  <c r="B1032" i="5"/>
  <c r="B1033" i="5" l="1"/>
  <c r="C1032" i="5" a="1"/>
  <c r="C1032" i="5" s="1"/>
  <c r="A1032" i="5" a="1"/>
  <c r="A1032" i="5" s="1"/>
  <c r="C1033" i="5" l="1" a="1"/>
  <c r="C1033" i="5" s="1"/>
  <c r="A1033" i="5" a="1"/>
  <c r="A1033" i="5" s="1"/>
  <c r="B1034" i="5"/>
  <c r="B1035" i="5" l="1"/>
  <c r="C1034" i="5" a="1"/>
  <c r="C1034" i="5" s="1"/>
  <c r="A1034" i="5" a="1"/>
  <c r="A1034" i="5" s="1"/>
  <c r="A1035" i="5" l="1" a="1"/>
  <c r="A1035" i="5" s="1"/>
  <c r="B1036" i="5"/>
  <c r="C1035" i="5" a="1"/>
  <c r="C1035" i="5" s="1"/>
  <c r="I1036" i="5" l="1"/>
  <c r="C1036" i="5" a="1"/>
  <c r="C1036" i="5" s="1"/>
  <c r="B1037" i="5"/>
  <c r="A1036" i="5" a="1"/>
  <c r="A1036" i="5" s="1"/>
  <c r="B1038" i="5" l="1"/>
  <c r="C1037" i="5" a="1"/>
  <c r="C1037" i="5" s="1"/>
  <c r="A1037" i="5" a="1"/>
  <c r="A1037" i="5" s="1"/>
  <c r="C1038" i="5" l="1" a="1"/>
  <c r="C1038" i="5" s="1"/>
  <c r="A1038" i="5" a="1"/>
  <c r="A1038" i="5" s="1"/>
  <c r="B1039" i="5"/>
  <c r="B1040" i="5" l="1"/>
  <c r="I1039" i="5"/>
  <c r="A1039" i="5" a="1"/>
  <c r="A1039" i="5" s="1"/>
  <c r="C1039" i="5" a="1"/>
  <c r="C1039" i="5" s="1"/>
  <c r="C1040" i="5" l="1" a="1"/>
  <c r="C1040" i="5" s="1"/>
  <c r="A1040" i="5" a="1"/>
  <c r="A1040" i="5" s="1"/>
  <c r="B1041" i="5"/>
  <c r="B1042" i="5" l="1"/>
  <c r="C1041" i="5" a="1"/>
  <c r="C1041" i="5" s="1"/>
  <c r="A1041" i="5" a="1"/>
  <c r="A1041" i="5" s="1"/>
  <c r="A1042" i="5" l="1" a="1"/>
  <c r="A1042" i="5" s="1"/>
  <c r="B1043" i="5"/>
  <c r="C1042" i="5" a="1"/>
  <c r="C1042" i="5" s="1"/>
  <c r="C1043" i="5" l="1" a="1"/>
  <c r="C1043" i="5" s="1"/>
  <c r="A1043" i="5" a="1"/>
  <c r="A1043" i="5" s="1"/>
  <c r="B1044" i="5"/>
  <c r="B1045" i="5" l="1"/>
  <c r="C1044" i="5" a="1"/>
  <c r="C1044" i="5" s="1"/>
  <c r="A1044" i="5" a="1"/>
  <c r="A1044" i="5" s="1"/>
  <c r="C1045" i="5" l="1" a="1"/>
  <c r="C1045" i="5" s="1"/>
  <c r="A1045" i="5" a="1"/>
  <c r="A1045" i="5" s="1"/>
  <c r="B1046" i="5"/>
  <c r="B1047" i="5" l="1"/>
  <c r="C1046" i="5" a="1"/>
  <c r="C1046" i="5" s="1"/>
  <c r="A1046" i="5" a="1"/>
  <c r="A1046" i="5" s="1"/>
  <c r="C1047" i="5" l="1" a="1"/>
  <c r="C1047" i="5" s="1"/>
  <c r="A1047" i="5" a="1"/>
  <c r="A1047" i="5" s="1"/>
  <c r="B1048" i="5"/>
  <c r="B1049" i="5" l="1"/>
  <c r="I1048" i="5"/>
  <c r="C1048" i="5" a="1"/>
  <c r="C1048" i="5" s="1"/>
  <c r="A1048" i="5" a="1"/>
  <c r="A1048" i="5" s="1"/>
  <c r="A1049" i="5" l="1" a="1"/>
  <c r="A1049" i="5" s="1"/>
  <c r="B1050" i="5"/>
  <c r="C1049" i="5" a="1"/>
  <c r="C1049" i="5" s="1"/>
  <c r="C1050" i="5" l="1" a="1"/>
  <c r="C1050" i="5" s="1"/>
  <c r="B1051" i="5"/>
  <c r="A1050" i="5" a="1"/>
  <c r="A1050" i="5" s="1"/>
  <c r="B1052" i="5" l="1"/>
  <c r="C1051" i="5" a="1"/>
  <c r="C1051" i="5" s="1"/>
  <c r="A1051" i="5" a="1"/>
  <c r="A1051" i="5" s="1"/>
  <c r="I1052" i="5" l="1"/>
  <c r="C1052" i="5" a="1"/>
  <c r="C1052" i="5" s="1"/>
  <c r="A1052" i="5" a="1"/>
  <c r="A1052" i="5" s="1"/>
  <c r="B1053" i="5"/>
  <c r="B1054" i="5" l="1"/>
  <c r="C1053" i="5" a="1"/>
  <c r="C1053" i="5" s="1"/>
  <c r="A1053" i="5" a="1"/>
  <c r="A1053" i="5" s="1"/>
  <c r="C1054" i="5" l="1" a="1"/>
  <c r="C1054" i="5" s="1"/>
  <c r="A1054" i="5" a="1"/>
  <c r="A1054" i="5" s="1"/>
  <c r="B1055" i="5"/>
  <c r="B1056" i="5" l="1"/>
  <c r="C1055" i="5" a="1"/>
  <c r="C1055" i="5" s="1"/>
  <c r="A1055" i="5" a="1"/>
  <c r="A1055" i="5" s="1"/>
  <c r="A1056" i="5" l="1" a="1"/>
  <c r="A1056" i="5" s="1"/>
  <c r="B1057" i="5"/>
  <c r="C1056" i="5" a="1"/>
  <c r="C1056" i="5" s="1"/>
  <c r="C1057" i="5" l="1" a="1"/>
  <c r="C1057" i="5" s="1"/>
  <c r="A1057" i="5" a="1"/>
  <c r="A1057" i="5" s="1"/>
  <c r="B1058" i="5"/>
  <c r="B1059" i="5" l="1"/>
  <c r="A1058" i="5" a="1"/>
  <c r="A1058" i="5" s="1"/>
  <c r="C1058" i="5" a="1"/>
  <c r="C1058" i="5" s="1"/>
  <c r="C1059" i="5" l="1" a="1"/>
  <c r="C1059" i="5" s="1"/>
  <c r="A1059" i="5" a="1"/>
  <c r="A1059" i="5" s="1"/>
  <c r="B1060" i="5"/>
  <c r="B1061" i="5" l="1"/>
  <c r="C1060" i="5" a="1"/>
  <c r="C1060" i="5" s="1"/>
  <c r="A1060" i="5" a="1"/>
  <c r="A1060" i="5" s="1"/>
  <c r="C1061" i="5" l="1" a="1"/>
  <c r="C1061" i="5" s="1"/>
  <c r="A1061" i="5" a="1"/>
  <c r="A1061" i="5" s="1"/>
  <c r="B1062" i="5"/>
  <c r="B1063" i="5" l="1"/>
  <c r="C1062" i="5" a="1"/>
  <c r="C1062" i="5" s="1"/>
  <c r="A1062" i="5" a="1"/>
  <c r="A1062" i="5" s="1"/>
  <c r="A1063" i="5" l="1" a="1"/>
  <c r="A1063" i="5" s="1"/>
  <c r="B1064" i="5"/>
  <c r="C1063" i="5" a="1"/>
  <c r="C1063" i="5" s="1"/>
  <c r="C1064" i="5" l="1" a="1"/>
  <c r="C1064" i="5" s="1"/>
  <c r="B1065" i="5"/>
  <c r="A1064" i="5" a="1"/>
  <c r="A1064" i="5" s="1"/>
  <c r="B1066" i="5" l="1"/>
  <c r="C1065" i="5" a="1"/>
  <c r="C1065" i="5" s="1"/>
  <c r="A1065" i="5" a="1"/>
  <c r="A1065" i="5" s="1"/>
  <c r="C1066" i="5" l="1" a="1"/>
  <c r="C1066" i="5" s="1"/>
  <c r="A1066" i="5" a="1"/>
  <c r="A1066" i="5" s="1"/>
  <c r="B1067" i="5"/>
  <c r="B1068" i="5" l="1"/>
  <c r="C1067" i="5" a="1"/>
  <c r="C1067" i="5" s="1"/>
  <c r="A1067" i="5" a="1"/>
  <c r="A1067" i="5" s="1"/>
  <c r="C1068" i="5" l="1" a="1"/>
  <c r="C1068" i="5" s="1"/>
  <c r="A1068" i="5" a="1"/>
  <c r="A1068" i="5" s="1"/>
  <c r="B1069" i="5"/>
  <c r="B1070" i="5" l="1"/>
  <c r="C1069" i="5" a="1"/>
  <c r="C1069" i="5" s="1"/>
  <c r="A1069" i="5" a="1"/>
  <c r="A1069" i="5" s="1"/>
  <c r="A1070" i="5" l="1" a="1"/>
  <c r="A1070" i="5" s="1"/>
  <c r="B1071" i="5"/>
  <c r="C1070" i="5" a="1"/>
  <c r="C1070" i="5" s="1"/>
  <c r="C1071" i="5" l="1" a="1"/>
  <c r="C1071" i="5" s="1"/>
  <c r="B1072" i="5"/>
  <c r="A1071" i="5" a="1"/>
  <c r="A1071" i="5" s="1"/>
  <c r="B1073" i="5" l="1"/>
  <c r="C1072" i="5" a="1"/>
  <c r="C1072" i="5" s="1"/>
  <c r="A1072" i="5" a="1"/>
  <c r="A1072" i="5" s="1"/>
  <c r="C1073" i="5" l="1" a="1"/>
  <c r="C1073" i="5" s="1"/>
  <c r="A1073" i="5" a="1"/>
  <c r="A1073" i="5" s="1"/>
  <c r="B1074" i="5"/>
  <c r="B1075" i="5" l="1"/>
  <c r="I362" i="5" s="1"/>
  <c r="C1074" i="5" a="1"/>
  <c r="C1074" i="5" s="1"/>
  <c r="A1074" i="5" a="1"/>
  <c r="A1074" i="5" s="1"/>
  <c r="I156" i="5" l="1"/>
  <c r="I186" i="5"/>
  <c r="C1075" i="5" a="1"/>
  <c r="C1075" i="5" s="1"/>
  <c r="A1075" i="5" a="1"/>
  <c r="A1075" i="5" s="1"/>
  <c r="B1076" i="5"/>
  <c r="I14" i="5"/>
  <c r="I28" i="5"/>
  <c r="I19" i="5"/>
  <c r="I33" i="5"/>
  <c r="I22" i="5"/>
  <c r="I2" i="5"/>
  <c r="I9" i="5"/>
  <c r="I11" i="5"/>
  <c r="I37" i="5"/>
  <c r="I20" i="5"/>
  <c r="I23" i="5"/>
  <c r="I31" i="5"/>
  <c r="I3" i="5"/>
  <c r="I34" i="5"/>
  <c r="I30" i="5"/>
  <c r="I17" i="5"/>
  <c r="I7" i="5"/>
  <c r="I24" i="5"/>
  <c r="I38" i="5"/>
  <c r="I5" i="5"/>
  <c r="I32" i="5"/>
  <c r="I26" i="5"/>
  <c r="I18" i="5"/>
  <c r="I4" i="5"/>
  <c r="I36" i="5"/>
  <c r="I15" i="5"/>
  <c r="I40" i="5"/>
  <c r="I42" i="5"/>
  <c r="I44" i="5"/>
  <c r="I39" i="5"/>
  <c r="I13" i="5"/>
  <c r="I27" i="5"/>
  <c r="I47" i="5"/>
  <c r="I50" i="5"/>
  <c r="I10" i="5"/>
  <c r="I43" i="5"/>
  <c r="I48" i="5"/>
  <c r="I45" i="5"/>
  <c r="I56" i="5"/>
  <c r="I52" i="5"/>
  <c r="I57" i="5"/>
  <c r="I58" i="5"/>
  <c r="I51" i="5"/>
  <c r="I61" i="5"/>
  <c r="I54" i="5"/>
  <c r="I53" i="5"/>
  <c r="I63" i="5"/>
  <c r="I65" i="5"/>
  <c r="I68" i="5"/>
  <c r="I62" i="5"/>
  <c r="I59" i="5"/>
  <c r="I66" i="5"/>
  <c r="I64" i="5"/>
  <c r="I71" i="5"/>
  <c r="I70" i="5"/>
  <c r="I69" i="5"/>
  <c r="I72" i="5"/>
  <c r="I75" i="5"/>
  <c r="I74" i="5"/>
  <c r="I77" i="5"/>
  <c r="I84" i="5"/>
  <c r="I82" i="5"/>
  <c r="I83" i="5"/>
  <c r="I88" i="5"/>
  <c r="I78" i="5"/>
  <c r="I87" i="5"/>
  <c r="I89" i="5"/>
  <c r="I91" i="5"/>
  <c r="I93" i="5"/>
  <c r="I79" i="5"/>
  <c r="I81" i="5"/>
  <c r="I94" i="5"/>
  <c r="I92" i="5"/>
  <c r="I90" i="5"/>
  <c r="I97" i="5"/>
  <c r="I96" i="5"/>
  <c r="I100" i="5"/>
  <c r="I98" i="5"/>
  <c r="I102" i="5"/>
  <c r="I107" i="5"/>
  <c r="I103" i="5"/>
  <c r="I106" i="5"/>
  <c r="I110" i="5"/>
  <c r="I109" i="5"/>
  <c r="I108" i="5"/>
  <c r="I111" i="5"/>
  <c r="I104" i="5"/>
  <c r="I118" i="5"/>
  <c r="I115" i="5"/>
  <c r="I119" i="5"/>
  <c r="I121" i="5"/>
  <c r="I122" i="5"/>
  <c r="I120" i="5"/>
  <c r="I114" i="5"/>
  <c r="I116" i="5"/>
  <c r="I125" i="5"/>
  <c r="I124" i="5"/>
  <c r="I136" i="5"/>
  <c r="I135" i="5"/>
  <c r="I130" i="5"/>
  <c r="I128" i="5"/>
  <c r="I131" i="5"/>
  <c r="I129" i="5"/>
  <c r="I127" i="5"/>
  <c r="I138" i="5"/>
  <c r="I137" i="5"/>
  <c r="I141" i="5"/>
  <c r="I143" i="5"/>
  <c r="I142" i="5"/>
  <c r="I139" i="5"/>
  <c r="I146" i="5"/>
  <c r="I144" i="5"/>
  <c r="I133" i="5"/>
  <c r="I148" i="5"/>
  <c r="I145" i="5"/>
  <c r="I152" i="5"/>
  <c r="I154" i="5"/>
  <c r="I153" i="5"/>
  <c r="I150" i="5"/>
  <c r="I151" i="5"/>
  <c r="I159" i="5"/>
  <c r="I161" i="5"/>
  <c r="I160" i="5"/>
  <c r="I163" i="5"/>
  <c r="I155" i="5"/>
  <c r="I162" i="5"/>
  <c r="I157" i="5"/>
  <c r="I164" i="5"/>
  <c r="I170" i="5"/>
  <c r="I174" i="5"/>
  <c r="I168" i="5"/>
  <c r="I169" i="5"/>
  <c r="I175" i="5"/>
  <c r="I176" i="5"/>
  <c r="I173" i="5"/>
  <c r="I172" i="5"/>
  <c r="I166" i="5"/>
  <c r="I180" i="5"/>
  <c r="I178" i="5"/>
  <c r="I185" i="5"/>
  <c r="I183" i="5"/>
  <c r="I179" i="5"/>
  <c r="I182" i="5"/>
  <c r="I184" i="5"/>
  <c r="I187" i="5"/>
  <c r="I189" i="5"/>
  <c r="I194" i="5"/>
  <c r="I192" i="5"/>
  <c r="I190" i="5"/>
  <c r="I196" i="5"/>
  <c r="I191" i="5"/>
  <c r="I195" i="5"/>
  <c r="I199" i="5"/>
  <c r="I200" i="5"/>
  <c r="I198" i="5"/>
  <c r="I212" i="5"/>
  <c r="I209" i="5"/>
  <c r="I204" i="5"/>
  <c r="I201" i="5"/>
  <c r="I207" i="5"/>
  <c r="I206" i="5"/>
  <c r="I215" i="5"/>
  <c r="I211" i="5"/>
  <c r="I205" i="5"/>
  <c r="I202" i="5"/>
  <c r="I210" i="5"/>
  <c r="I216" i="5"/>
  <c r="I214" i="5"/>
  <c r="I217" i="5"/>
  <c r="I225" i="5"/>
  <c r="I220" i="5"/>
  <c r="I221" i="5"/>
  <c r="I218" i="5"/>
  <c r="I223" i="5"/>
  <c r="I229" i="5"/>
  <c r="I228" i="5"/>
  <c r="I227" i="5"/>
  <c r="I222" i="5"/>
  <c r="I230" i="5"/>
  <c r="I234" i="5"/>
  <c r="I236" i="5"/>
  <c r="I240" i="5"/>
  <c r="I232" i="5"/>
  <c r="I226" i="5"/>
  <c r="I241" i="5"/>
  <c r="I239" i="5"/>
  <c r="I237" i="5"/>
  <c r="I238" i="5"/>
  <c r="I233" i="5"/>
  <c r="I242" i="5"/>
  <c r="I244" i="5"/>
  <c r="I247" i="5"/>
  <c r="I245" i="5"/>
  <c r="I250" i="5"/>
  <c r="I246" i="5"/>
  <c r="I253" i="5"/>
  <c r="I254" i="5"/>
  <c r="I248" i="5"/>
  <c r="I252" i="5"/>
  <c r="I261" i="5"/>
  <c r="I259" i="5"/>
  <c r="I257" i="5"/>
  <c r="I255" i="5"/>
  <c r="I260" i="5"/>
  <c r="I262" i="5"/>
  <c r="I265" i="5"/>
  <c r="I268" i="5"/>
  <c r="I269" i="5"/>
  <c r="I274" i="5"/>
  <c r="I273" i="5"/>
  <c r="I263" i="5"/>
  <c r="I272" i="5"/>
  <c r="I275" i="5"/>
  <c r="I277" i="5"/>
  <c r="I267" i="5"/>
  <c r="I278" i="5"/>
  <c r="I271" i="5"/>
  <c r="I285" i="5"/>
  <c r="I282" i="5"/>
  <c r="I280" i="5"/>
  <c r="I279" i="5"/>
  <c r="I281" i="5"/>
  <c r="I284" i="5"/>
  <c r="I288" i="5"/>
  <c r="I289" i="5"/>
  <c r="I294" i="5"/>
  <c r="I291" i="5"/>
  <c r="I290" i="5"/>
  <c r="I287" i="5"/>
  <c r="I293" i="5"/>
  <c r="I297" i="5"/>
  <c r="I301" i="5"/>
  <c r="I302" i="5"/>
  <c r="I303" i="5"/>
  <c r="I306" i="5"/>
  <c r="I296" i="5"/>
  <c r="I305" i="5"/>
  <c r="I312" i="5"/>
  <c r="I311" i="5"/>
  <c r="I308" i="5"/>
  <c r="I304" i="5"/>
  <c r="I299" i="5"/>
  <c r="I300" i="5"/>
  <c r="I309" i="5"/>
  <c r="I313" i="5"/>
  <c r="I315" i="5"/>
  <c r="I314" i="5"/>
  <c r="I319" i="5"/>
  <c r="I318" i="5"/>
  <c r="I317" i="5"/>
  <c r="I323" i="5"/>
  <c r="I324" i="5"/>
  <c r="I326" i="5"/>
  <c r="I327" i="5"/>
  <c r="I321" i="5"/>
  <c r="I328" i="5"/>
  <c r="I330" i="5"/>
  <c r="I329" i="5"/>
  <c r="I333" i="5"/>
  <c r="I334" i="5"/>
  <c r="I332" i="5"/>
  <c r="I336" i="5"/>
  <c r="I338" i="5"/>
  <c r="I335" i="5"/>
  <c r="I341" i="5"/>
  <c r="I339" i="5"/>
  <c r="I342" i="5"/>
  <c r="I346" i="5"/>
  <c r="I349" i="5"/>
  <c r="I352" i="5"/>
  <c r="I353" i="5"/>
  <c r="I344" i="5"/>
  <c r="I29" i="5"/>
  <c r="I35" i="5"/>
  <c r="I16" i="5"/>
  <c r="I351" i="5"/>
  <c r="I8" i="5"/>
  <c r="I6" i="5"/>
  <c r="I21" i="5"/>
  <c r="I343" i="5"/>
  <c r="I359" i="5"/>
  <c r="I354" i="5"/>
  <c r="I348" i="5"/>
  <c r="I347" i="5"/>
  <c r="I361" i="5"/>
  <c r="I365" i="5"/>
  <c r="I358" i="5"/>
  <c r="I364" i="5"/>
  <c r="I370" i="5"/>
  <c r="I367" i="5"/>
  <c r="I363" i="5"/>
  <c r="I366" i="5"/>
  <c r="I372" i="5"/>
  <c r="I373" i="5"/>
  <c r="I357" i="5"/>
  <c r="I360" i="5"/>
  <c r="I374" i="5"/>
  <c r="I375" i="5"/>
  <c r="I376" i="5"/>
  <c r="I379" i="5"/>
  <c r="I380" i="5"/>
  <c r="I378" i="5"/>
  <c r="I386" i="5"/>
  <c r="I384" i="5"/>
  <c r="I385" i="5"/>
  <c r="I371" i="5"/>
  <c r="I368" i="5"/>
  <c r="I381" i="5"/>
  <c r="I391" i="5"/>
  <c r="I394" i="5"/>
  <c r="I392" i="5"/>
  <c r="I387" i="5"/>
  <c r="I388" i="5"/>
  <c r="I396" i="5"/>
  <c r="I393" i="5"/>
  <c r="I389" i="5"/>
  <c r="I401" i="5"/>
  <c r="I404" i="5"/>
  <c r="I405" i="5"/>
  <c r="I403" i="5"/>
  <c r="I406" i="5"/>
  <c r="I398" i="5"/>
  <c r="I399" i="5"/>
  <c r="I400" i="5"/>
  <c r="I410" i="5"/>
  <c r="I413" i="5"/>
  <c r="I407" i="5"/>
  <c r="I408" i="5"/>
  <c r="I412" i="5"/>
  <c r="I418" i="5"/>
  <c r="I419" i="5"/>
  <c r="I416" i="5"/>
  <c r="I414" i="5"/>
  <c r="I417" i="5"/>
  <c r="I424" i="5"/>
  <c r="I422" i="5"/>
  <c r="I427" i="5"/>
  <c r="I423" i="5"/>
  <c r="I426" i="5"/>
  <c r="I421" i="5"/>
  <c r="I428" i="5"/>
  <c r="I432" i="5"/>
  <c r="I435" i="5"/>
  <c r="I433" i="5"/>
  <c r="I436" i="5"/>
  <c r="I438" i="5"/>
  <c r="I439" i="5"/>
  <c r="I430" i="5"/>
  <c r="I440" i="5"/>
  <c r="I441" i="5"/>
  <c r="I434" i="5"/>
  <c r="I442" i="5"/>
  <c r="I443" i="5"/>
  <c r="I447" i="5"/>
  <c r="I449" i="5"/>
  <c r="I446" i="5"/>
  <c r="I454" i="5"/>
  <c r="I452" i="5"/>
  <c r="I455" i="5"/>
  <c r="I451" i="5"/>
  <c r="I448" i="5"/>
  <c r="I457" i="5"/>
  <c r="I456" i="5"/>
  <c r="I459" i="5"/>
  <c r="I462" i="5"/>
  <c r="I465" i="5"/>
  <c r="I460" i="5"/>
  <c r="I461" i="5"/>
  <c r="I466" i="5"/>
  <c r="I464" i="5"/>
  <c r="I468" i="5"/>
  <c r="I470" i="5"/>
  <c r="I474" i="5"/>
  <c r="I476" i="5"/>
  <c r="I477" i="5"/>
  <c r="I469" i="5"/>
  <c r="I473" i="5"/>
  <c r="I472" i="5"/>
  <c r="I485" i="5"/>
  <c r="I478" i="5"/>
  <c r="I481" i="5"/>
  <c r="I480" i="5"/>
  <c r="I487" i="5"/>
  <c r="I482" i="5"/>
  <c r="I486" i="5"/>
  <c r="I483" i="5"/>
  <c r="I494" i="5"/>
  <c r="I490" i="5"/>
  <c r="I489" i="5"/>
  <c r="I493" i="5"/>
  <c r="I496" i="5"/>
  <c r="I499" i="5"/>
  <c r="I502" i="5"/>
  <c r="I500" i="5"/>
  <c r="I507" i="5"/>
  <c r="I505" i="5"/>
  <c r="I508" i="5"/>
  <c r="I497" i="5"/>
  <c r="I501" i="5"/>
  <c r="I113" i="5"/>
  <c r="I117" i="5"/>
  <c r="I25" i="5"/>
  <c r="I132" i="5"/>
  <c r="I509" i="5"/>
  <c r="I101" i="5"/>
  <c r="I67" i="5"/>
  <c r="I99" i="5"/>
  <c r="I73" i="5"/>
  <c r="I76" i="5"/>
  <c r="I85" i="5"/>
  <c r="I134" i="5"/>
  <c r="I123" i="5"/>
  <c r="I80" i="5"/>
  <c r="I46" i="5"/>
  <c r="I126" i="5"/>
  <c r="I49" i="5"/>
  <c r="I60" i="5"/>
  <c r="I95" i="5"/>
  <c r="I149" i="5"/>
  <c r="I504" i="5"/>
  <c r="I86" i="5"/>
  <c r="I105" i="5"/>
  <c r="I55" i="5"/>
  <c r="I513" i="5"/>
  <c r="I112" i="5"/>
  <c r="I140" i="5"/>
  <c r="I147" i="5"/>
  <c r="I41" i="5"/>
  <c r="I12" i="5"/>
  <c r="I512" i="5"/>
  <c r="I514" i="5"/>
  <c r="I518" i="5"/>
  <c r="I515" i="5"/>
  <c r="I510" i="5"/>
  <c r="I516" i="5"/>
  <c r="I520" i="5"/>
  <c r="I524" i="5"/>
  <c r="I522" i="5"/>
  <c r="I521" i="5"/>
  <c r="I526" i="5"/>
  <c r="I523" i="5"/>
  <c r="I531" i="5"/>
  <c r="I528" i="5"/>
  <c r="I529" i="5"/>
  <c r="I534" i="5"/>
  <c r="I535" i="5"/>
  <c r="I537" i="5"/>
  <c r="I533" i="5"/>
  <c r="I171" i="5"/>
  <c r="I158" i="5"/>
  <c r="I532" i="5"/>
  <c r="I542" i="5"/>
  <c r="I165" i="5"/>
  <c r="I181" i="5"/>
  <c r="I167" i="5"/>
  <c r="I539" i="5"/>
  <c r="I177" i="5"/>
  <c r="I546" i="5"/>
  <c r="I251" i="5"/>
  <c r="I249" i="5"/>
  <c r="I350" i="5"/>
  <c r="I243" i="5"/>
  <c r="I224" i="5"/>
  <c r="I203" i="5"/>
  <c r="I541" i="5"/>
  <c r="I270" i="5"/>
  <c r="I295" i="5"/>
  <c r="I356" i="5"/>
  <c r="I544" i="5"/>
  <c r="I345" i="5"/>
  <c r="I307" i="5"/>
  <c r="I208" i="5"/>
  <c r="I538" i="5"/>
  <c r="I266" i="5"/>
  <c r="I331" i="5"/>
  <c r="I337" i="5"/>
  <c r="I320" i="5"/>
  <c r="I276" i="5"/>
  <c r="I256" i="5"/>
  <c r="I310" i="5"/>
  <c r="I219" i="5"/>
  <c r="I258" i="5"/>
  <c r="I340" i="5"/>
  <c r="I283" i="5"/>
  <c r="I231" i="5"/>
  <c r="I298" i="5"/>
  <c r="I292" i="5"/>
  <c r="I193" i="5"/>
  <c r="I325" i="5"/>
  <c r="I355" i="5"/>
  <c r="I213" i="5"/>
  <c r="I316" i="5"/>
  <c r="I264" i="5"/>
  <c r="I286" i="5"/>
  <c r="I197" i="5"/>
  <c r="I322" i="5"/>
  <c r="I235" i="5"/>
  <c r="I188" i="5"/>
  <c r="I547" i="5"/>
  <c r="I543" i="5"/>
  <c r="I554" i="5"/>
  <c r="I559" i="5"/>
  <c r="I550" i="5"/>
  <c r="I549" i="5"/>
  <c r="I553" i="5"/>
  <c r="I556" i="5"/>
  <c r="I557" i="5"/>
  <c r="I562" i="5"/>
  <c r="I560" i="5"/>
  <c r="I552" i="5"/>
  <c r="I561" i="5"/>
  <c r="I564" i="5"/>
  <c r="I563" i="5"/>
  <c r="I566" i="5"/>
  <c r="I568" i="5"/>
  <c r="I573" i="5"/>
  <c r="I570" i="5"/>
  <c r="I572" i="5"/>
  <c r="I580" i="5"/>
  <c r="I576" i="5"/>
  <c r="I577" i="5"/>
  <c r="I569" i="5"/>
  <c r="I581" i="5"/>
  <c r="I463" i="5"/>
  <c r="I467" i="5"/>
  <c r="I458" i="5"/>
  <c r="I411" i="5"/>
  <c r="I579" i="5"/>
  <c r="I445" i="5"/>
  <c r="I511" i="5"/>
  <c r="I415" i="5"/>
  <c r="I377" i="5"/>
  <c r="I402" i="5"/>
  <c r="I484" i="5"/>
  <c r="I503" i="5"/>
  <c r="I498" i="5"/>
  <c r="I495" i="5"/>
  <c r="I471" i="5"/>
  <c r="I420" i="5"/>
  <c r="I488" i="5"/>
  <c r="I506" i="5"/>
  <c r="I409" i="5"/>
  <c r="I437" i="5"/>
  <c r="I429" i="5"/>
  <c r="I453" i="5"/>
  <c r="I395" i="5"/>
  <c r="I517" i="5"/>
  <c r="I397" i="5"/>
  <c r="I479" i="5"/>
  <c r="I450" i="5"/>
  <c r="I383" i="5"/>
  <c r="I492" i="5"/>
  <c r="I390" i="5"/>
  <c r="I444" i="5"/>
  <c r="I425" i="5"/>
  <c r="I369" i="5"/>
  <c r="I382" i="5"/>
  <c r="I475" i="5"/>
  <c r="I574" i="5"/>
  <c r="I431" i="5"/>
  <c r="I583" i="5"/>
  <c r="I582" i="5"/>
  <c r="I584" i="5"/>
  <c r="I588" i="5"/>
  <c r="I589" i="5"/>
  <c r="I594" i="5"/>
  <c r="I590" i="5"/>
  <c r="I593" i="5"/>
  <c r="I592" i="5"/>
  <c r="I587" i="5"/>
  <c r="I597" i="5"/>
  <c r="I596" i="5"/>
  <c r="I600" i="5"/>
  <c r="I602" i="5"/>
  <c r="I601" i="5"/>
  <c r="I603" i="5"/>
  <c r="I599" i="5"/>
  <c r="I606" i="5"/>
  <c r="I545" i="5"/>
  <c r="I604" i="5"/>
  <c r="I536" i="5"/>
  <c r="I530" i="5"/>
  <c r="I527" i="5"/>
  <c r="I540" i="5"/>
  <c r="I525" i="5"/>
  <c r="I608" i="5"/>
  <c r="I611" i="5"/>
  <c r="I615" i="5"/>
  <c r="I614" i="5"/>
  <c r="I612" i="5"/>
  <c r="I619" i="5"/>
  <c r="I617" i="5"/>
  <c r="I610" i="5"/>
  <c r="I609" i="5"/>
  <c r="I622" i="5"/>
  <c r="I618" i="5"/>
  <c r="I620" i="5"/>
  <c r="I627" i="5"/>
  <c r="I623" i="5"/>
  <c r="I626" i="5"/>
  <c r="I624" i="5"/>
  <c r="I630" i="5"/>
  <c r="I628" i="5"/>
  <c r="I634" i="5"/>
  <c r="I631" i="5"/>
  <c r="I639" i="5"/>
  <c r="I638" i="5"/>
  <c r="I636" i="5"/>
  <c r="I633" i="5"/>
  <c r="I637" i="5"/>
  <c r="I643" i="5"/>
  <c r="I647" i="5"/>
  <c r="I642" i="5"/>
  <c r="I641" i="5"/>
  <c r="I650" i="5"/>
  <c r="I651" i="5"/>
  <c r="I652" i="5"/>
  <c r="I649" i="5"/>
  <c r="I645" i="5"/>
  <c r="I659" i="5"/>
  <c r="I655" i="5"/>
  <c r="I653" i="5"/>
  <c r="I662" i="5"/>
  <c r="I664" i="5"/>
  <c r="I665" i="5"/>
  <c r="I656" i="5"/>
  <c r="I648" i="5"/>
  <c r="I657" i="5"/>
  <c r="I660" i="5"/>
  <c r="I661" i="5"/>
  <c r="I666" i="5"/>
  <c r="I669" i="5"/>
  <c r="I672" i="5"/>
  <c r="I673" i="5"/>
  <c r="I668" i="5"/>
  <c r="I667" i="5"/>
  <c r="I675" i="5"/>
  <c r="I677" i="5"/>
  <c r="I678" i="5"/>
  <c r="I671" i="5"/>
  <c r="I567" i="5"/>
  <c r="I565" i="5"/>
  <c r="I575" i="5"/>
  <c r="I555" i="5"/>
  <c r="I558" i="5"/>
  <c r="I571" i="5"/>
  <c r="I578" i="5"/>
  <c r="I585" i="5"/>
  <c r="I686" i="5"/>
  <c r="I682" i="5"/>
  <c r="I684" i="5"/>
  <c r="I681" i="5"/>
  <c r="I680" i="5"/>
  <c r="I688" i="5"/>
  <c r="I689" i="5"/>
  <c r="I591" i="5"/>
  <c r="I607" i="5"/>
  <c r="I598" i="5"/>
  <c r="I605" i="5"/>
  <c r="I595" i="5"/>
  <c r="I694" i="5"/>
  <c r="I693" i="5"/>
  <c r="I687" i="5"/>
  <c r="I683" i="5"/>
  <c r="I695" i="5"/>
  <c r="I692" i="5"/>
  <c r="I621" i="5"/>
  <c r="I616" i="5"/>
  <c r="I691" i="5"/>
  <c r="I700" i="5"/>
  <c r="I701" i="5"/>
  <c r="I705" i="5"/>
  <c r="I697" i="5"/>
  <c r="I703" i="5"/>
  <c r="I699" i="5"/>
  <c r="I706" i="5"/>
  <c r="I708" i="5"/>
  <c r="I704" i="5"/>
  <c r="I712" i="5"/>
  <c r="I710" i="5"/>
  <c r="I711" i="5"/>
  <c r="I715" i="5"/>
  <c r="I714" i="5"/>
  <c r="I709" i="5"/>
  <c r="I718" i="5"/>
  <c r="I720" i="5"/>
  <c r="I629" i="5"/>
  <c r="I663" i="5"/>
  <c r="I676" i="5"/>
  <c r="I632" i="5"/>
  <c r="I635" i="5"/>
  <c r="I646" i="5"/>
  <c r="I654" i="5"/>
  <c r="I640" i="5"/>
  <c r="I679" i="5"/>
  <c r="I658" i="5"/>
  <c r="I670" i="5"/>
  <c r="I644" i="5"/>
  <c r="I722" i="5"/>
  <c r="I724" i="5"/>
  <c r="I717" i="5"/>
  <c r="I690" i="5"/>
  <c r="I736" i="5"/>
  <c r="I730" i="5"/>
  <c r="I728" i="5"/>
  <c r="I731" i="5"/>
  <c r="I735" i="5"/>
  <c r="I723" i="5"/>
  <c r="I734" i="5"/>
  <c r="I729" i="5"/>
  <c r="I727" i="5"/>
  <c r="I721" i="5"/>
  <c r="I726" i="5"/>
  <c r="I740" i="5"/>
  <c r="I741" i="5"/>
  <c r="I739" i="5"/>
  <c r="I738" i="5"/>
  <c r="I751" i="5"/>
  <c r="I747" i="5"/>
  <c r="I743" i="5"/>
  <c r="I745" i="5"/>
  <c r="I749" i="5"/>
  <c r="I750" i="5"/>
  <c r="I744" i="5"/>
  <c r="I753" i="5"/>
  <c r="I748" i="5"/>
  <c r="I755" i="5"/>
  <c r="I757" i="5"/>
  <c r="I759" i="5"/>
  <c r="I760" i="5"/>
  <c r="I756" i="5"/>
  <c r="I762" i="5"/>
  <c r="I763" i="5"/>
  <c r="I764" i="5"/>
  <c r="I761" i="5"/>
  <c r="I769" i="5"/>
  <c r="I766" i="5"/>
  <c r="I770" i="5"/>
  <c r="I767" i="5"/>
  <c r="I784" i="5"/>
  <c r="I778" i="5"/>
  <c r="I771" i="5"/>
  <c r="I774" i="5"/>
  <c r="I772" i="5"/>
  <c r="I775" i="5"/>
  <c r="I781" i="5"/>
  <c r="I779" i="5"/>
  <c r="I783" i="5"/>
  <c r="I776" i="5"/>
  <c r="I777" i="5"/>
  <c r="I790" i="5"/>
  <c r="I786" i="5"/>
  <c r="I785" i="5"/>
  <c r="I789" i="5"/>
  <c r="I794" i="5"/>
  <c r="I793" i="5"/>
  <c r="I788" i="5"/>
  <c r="I797" i="5"/>
  <c r="I799" i="5"/>
  <c r="I802" i="5"/>
  <c r="I796" i="5"/>
  <c r="I792" i="5"/>
  <c r="I807" i="5"/>
  <c r="I805" i="5"/>
  <c r="I798" i="5"/>
  <c r="I803" i="5"/>
  <c r="I804" i="5"/>
  <c r="I812" i="5"/>
  <c r="I813" i="5"/>
  <c r="I810" i="5"/>
  <c r="I814" i="5"/>
  <c r="I806" i="5"/>
  <c r="I809" i="5"/>
  <c r="I815" i="5"/>
  <c r="I816" i="5"/>
  <c r="I821" i="5"/>
  <c r="I819" i="5"/>
  <c r="I823" i="5"/>
  <c r="I820" i="5"/>
  <c r="I818" i="5"/>
  <c r="I822" i="5"/>
  <c r="I829" i="5"/>
  <c r="I825" i="5"/>
  <c r="I832" i="5"/>
  <c r="I833" i="5"/>
  <c r="I828" i="5"/>
  <c r="I837" i="5"/>
  <c r="I831" i="5"/>
  <c r="I838" i="5"/>
  <c r="I836" i="5"/>
  <c r="I835" i="5"/>
  <c r="I827" i="5"/>
  <c r="I840" i="5"/>
  <c r="I845" i="5"/>
  <c r="I843" i="5"/>
  <c r="I839" i="5"/>
  <c r="I850" i="5"/>
  <c r="I842" i="5"/>
  <c r="I853" i="5"/>
  <c r="I849" i="5"/>
  <c r="I851" i="5"/>
  <c r="I852" i="5"/>
  <c r="I857" i="5"/>
  <c r="I855" i="5"/>
  <c r="I856" i="5"/>
  <c r="I859" i="5"/>
  <c r="I847" i="5"/>
  <c r="I848" i="5"/>
  <c r="I866" i="5"/>
  <c r="I862" i="5"/>
  <c r="I860" i="5"/>
  <c r="I870" i="5"/>
  <c r="I871" i="5"/>
  <c r="I873" i="5"/>
  <c r="I864" i="5"/>
  <c r="I861" i="5"/>
  <c r="I865" i="5"/>
  <c r="I872" i="5"/>
  <c r="I869" i="5"/>
  <c r="I868" i="5"/>
  <c r="I876" i="5"/>
  <c r="I881" i="5"/>
  <c r="I878" i="5"/>
  <c r="I883" i="5"/>
  <c r="I877" i="5"/>
  <c r="I875" i="5"/>
  <c r="I879" i="5"/>
  <c r="I884" i="5"/>
  <c r="I885" i="5"/>
  <c r="I892" i="5"/>
  <c r="I893" i="5"/>
  <c r="I887" i="5"/>
  <c r="I890" i="5"/>
  <c r="I888" i="5"/>
  <c r="I889" i="5"/>
  <c r="I895" i="5"/>
  <c r="I896" i="5"/>
  <c r="I899" i="5"/>
  <c r="I900" i="5"/>
  <c r="I891" i="5"/>
  <c r="I907" i="5"/>
  <c r="I901" i="5"/>
  <c r="I897" i="5"/>
  <c r="I906" i="5"/>
  <c r="I911" i="5"/>
  <c r="I910" i="5"/>
  <c r="I698" i="5"/>
  <c r="I702" i="5"/>
  <c r="I912" i="5"/>
  <c r="I913" i="5"/>
  <c r="I917" i="5"/>
  <c r="I904" i="5"/>
  <c r="I915" i="5"/>
  <c r="I903" i="5"/>
  <c r="I918" i="5"/>
  <c r="I923" i="5"/>
  <c r="I909" i="5"/>
  <c r="I908" i="5"/>
  <c r="I921" i="5"/>
  <c r="I922" i="5"/>
  <c r="I928" i="5"/>
  <c r="I926" i="5"/>
  <c r="I925" i="5"/>
  <c r="I927" i="5"/>
  <c r="I916" i="5"/>
  <c r="I933" i="5"/>
  <c r="I935" i="5"/>
  <c r="I936" i="5"/>
  <c r="I929" i="5"/>
  <c r="I940" i="5"/>
  <c r="I937" i="5"/>
  <c r="I931" i="5"/>
  <c r="I932" i="5"/>
  <c r="I939" i="5"/>
  <c r="I941" i="5"/>
  <c r="I942" i="5"/>
  <c r="I943" i="5"/>
  <c r="I947" i="5"/>
  <c r="I950" i="5"/>
  <c r="I953" i="5"/>
  <c r="I945" i="5"/>
  <c r="I951" i="5"/>
  <c r="I955" i="5"/>
  <c r="I956" i="5"/>
  <c r="I957" i="5"/>
  <c r="I949" i="5"/>
  <c r="I948" i="5"/>
  <c r="I961" i="5"/>
  <c r="I960" i="5"/>
  <c r="I965" i="5"/>
  <c r="I962" i="5"/>
  <c r="I958" i="5"/>
  <c r="I964" i="5"/>
  <c r="I970" i="5"/>
  <c r="I971" i="5"/>
  <c r="I972" i="5"/>
  <c r="I966" i="5"/>
  <c r="I967" i="5"/>
  <c r="I975" i="5"/>
  <c r="I973" i="5"/>
  <c r="I977" i="5"/>
  <c r="I981" i="5"/>
  <c r="I980" i="5"/>
  <c r="I983" i="5"/>
  <c r="I974" i="5"/>
  <c r="I979" i="5"/>
  <c r="I985" i="5"/>
  <c r="I987" i="5"/>
  <c r="I978" i="5"/>
  <c r="I986" i="5"/>
  <c r="I991" i="5"/>
  <c r="I995" i="5"/>
  <c r="I992" i="5"/>
  <c r="I990" i="5"/>
  <c r="I989" i="5"/>
  <c r="I994" i="5"/>
  <c r="I1001" i="5"/>
  <c r="I996" i="5"/>
  <c r="I998" i="5"/>
  <c r="I1005" i="5"/>
  <c r="I1000" i="5"/>
  <c r="I1003" i="5"/>
  <c r="I1007" i="5"/>
  <c r="I1002" i="5"/>
  <c r="I1004" i="5"/>
  <c r="I1012" i="5"/>
  <c r="I1010" i="5"/>
  <c r="I1011" i="5"/>
  <c r="I1016" i="5"/>
  <c r="I1019" i="5"/>
  <c r="I1014" i="5"/>
  <c r="I1009" i="5"/>
  <c r="I1015" i="5"/>
  <c r="I1021" i="5"/>
  <c r="I1018" i="5"/>
  <c r="I1024" i="5"/>
  <c r="I1022" i="5"/>
  <c r="I1031" i="5"/>
  <c r="I1032" i="5"/>
  <c r="I1027" i="5"/>
  <c r="I1023" i="5"/>
  <c r="I1035" i="5"/>
  <c r="I1037" i="5"/>
  <c r="I1038" i="5"/>
  <c r="I1040" i="5"/>
  <c r="I1026" i="5"/>
  <c r="I1034" i="5"/>
  <c r="I1030" i="5"/>
  <c r="I1033" i="5"/>
  <c r="I1043" i="5"/>
  <c r="I1045" i="5"/>
  <c r="I1029" i="5"/>
  <c r="I1044" i="5"/>
  <c r="I1042" i="5"/>
  <c r="I1051" i="5"/>
  <c r="I1053" i="5"/>
  <c r="I1050" i="5"/>
  <c r="I1047" i="5"/>
  <c r="I1041" i="5"/>
  <c r="I1049" i="5"/>
  <c r="I1046" i="5"/>
  <c r="I1057" i="5"/>
  <c r="I1056" i="5"/>
  <c r="I1055" i="5"/>
  <c r="I1054" i="5"/>
  <c r="B1077" i="5" l="1"/>
  <c r="C1076" i="5" a="1"/>
  <c r="C1076" i="5" s="1"/>
  <c r="A1076" i="5" a="1"/>
  <c r="A1076" i="5" s="1"/>
  <c r="A1077" i="5" l="1" a="1"/>
  <c r="A1077" i="5" s="1"/>
  <c r="B1078" i="5"/>
  <c r="C1077" i="5" a="1"/>
  <c r="C1077" i="5" s="1"/>
  <c r="C1078" i="5" l="1" a="1"/>
  <c r="C1078" i="5" s="1"/>
  <c r="B1079" i="5"/>
  <c r="A1078" i="5" a="1"/>
  <c r="A1078" i="5" s="1"/>
  <c r="B1080" i="5" l="1"/>
  <c r="C1079" i="5" a="1"/>
  <c r="C1079" i="5" s="1"/>
  <c r="A1079" i="5" a="1"/>
  <c r="A1079" i="5" s="1"/>
  <c r="C1080" i="5" l="1" a="1"/>
  <c r="C1080" i="5" s="1"/>
  <c r="A1080" i="5" a="1"/>
  <c r="A1080" i="5" s="1"/>
  <c r="B1081" i="5"/>
  <c r="B1082" i="5" l="1"/>
  <c r="C1081" i="5" a="1"/>
  <c r="C1081" i="5" s="1"/>
  <c r="A1081" i="5" a="1"/>
  <c r="A1081" i="5" s="1"/>
  <c r="C1082" i="5" l="1" a="1"/>
  <c r="C1082" i="5" s="1"/>
  <c r="A1082" i="5" a="1"/>
  <c r="A1082" i="5" s="1"/>
  <c r="B1083" i="5"/>
  <c r="B1084" i="5" l="1"/>
  <c r="C1083" i="5" a="1"/>
  <c r="C1083" i="5" s="1"/>
  <c r="A1083" i="5" a="1"/>
  <c r="A1083" i="5" s="1"/>
  <c r="A1084" i="5" l="1" a="1"/>
  <c r="A1084" i="5" s="1"/>
  <c r="B1085" i="5"/>
  <c r="C1084" i="5" a="1"/>
  <c r="C1084" i="5" s="1"/>
  <c r="C1085" i="5" l="1" a="1"/>
  <c r="C1085" i="5" s="1"/>
  <c r="A1085" i="5" a="1"/>
  <c r="A1085" i="5" s="1"/>
  <c r="B1086" i="5"/>
  <c r="B1087" i="5" l="1"/>
  <c r="C1086" i="5" a="1"/>
  <c r="C1086" i="5" s="1"/>
  <c r="A1086" i="5" a="1"/>
  <c r="A1086" i="5" s="1"/>
  <c r="C1087" i="5" l="1" a="1"/>
  <c r="C1087" i="5" s="1"/>
  <c r="A1087" i="5" a="1"/>
  <c r="A1087" i="5" s="1"/>
  <c r="B1088" i="5"/>
  <c r="B1089" i="5" l="1"/>
  <c r="C1088" i="5" a="1"/>
  <c r="C1088" i="5" s="1"/>
  <c r="A1088" i="5" a="1"/>
  <c r="A1088" i="5" s="1"/>
  <c r="C1089" i="5" l="1" a="1"/>
  <c r="C1089" i="5" s="1"/>
  <c r="A1089" i="5" a="1"/>
  <c r="A1089" i="5" s="1"/>
  <c r="B1090" i="5"/>
  <c r="B1091" i="5" l="1"/>
  <c r="C1090" i="5" a="1"/>
  <c r="C1090" i="5" s="1"/>
  <c r="A1090" i="5" a="1"/>
  <c r="A1090" i="5" s="1"/>
  <c r="A1091" i="5" l="1" a="1"/>
  <c r="A1091" i="5" s="1"/>
  <c r="B1092" i="5"/>
  <c r="C1091" i="5" a="1"/>
  <c r="C1091" i="5" s="1"/>
  <c r="C1092" i="5" l="1" a="1"/>
  <c r="C1092" i="5" s="1"/>
  <c r="B1093" i="5"/>
  <c r="A1092" i="5" a="1"/>
  <c r="A1092" i="5" s="1"/>
  <c r="B1094" i="5" l="1"/>
  <c r="C1093" i="5" a="1"/>
  <c r="C1093" i="5" s="1"/>
  <c r="A1093" i="5" a="1"/>
  <c r="A1093" i="5" s="1"/>
  <c r="C1094" i="5" l="1" a="1"/>
  <c r="C1094" i="5" s="1"/>
  <c r="A1094" i="5" a="1"/>
  <c r="A1094" i="5" s="1"/>
  <c r="B1095" i="5"/>
  <c r="B1096" i="5" l="1"/>
  <c r="C1095" i="5" a="1"/>
  <c r="C1095" i="5" s="1"/>
  <c r="A1095" i="5" a="1"/>
  <c r="A1095" i="5" s="1"/>
  <c r="C1096" i="5" l="1" a="1"/>
  <c r="C1096" i="5" s="1"/>
  <c r="A1096" i="5" a="1"/>
  <c r="A1096" i="5" s="1"/>
  <c r="B1097" i="5"/>
  <c r="B1098" i="5" l="1"/>
  <c r="C1097" i="5" a="1"/>
  <c r="C1097" i="5" s="1"/>
  <c r="A1097" i="5" a="1"/>
  <c r="A1097" i="5" s="1"/>
  <c r="A1098" i="5" l="1" a="1"/>
  <c r="A1098" i="5" s="1"/>
  <c r="B1099" i="5"/>
  <c r="C1098" i="5" a="1"/>
  <c r="C1098" i="5" s="1"/>
  <c r="C1099" i="5" l="1" a="1"/>
  <c r="C1099" i="5" s="1"/>
  <c r="B1100" i="5"/>
  <c r="A1099" i="5" a="1"/>
  <c r="A1099" i="5" s="1"/>
  <c r="B1101" i="5" l="1"/>
  <c r="C1100" i="5" a="1"/>
  <c r="C1100" i="5" s="1"/>
  <c r="A1100" i="5" a="1"/>
  <c r="A1100" i="5" s="1"/>
  <c r="C1101" i="5" l="1" a="1"/>
  <c r="C1101" i="5" s="1"/>
  <c r="A1101" i="5" a="1"/>
  <c r="A1101" i="5" s="1"/>
  <c r="B1102" i="5"/>
  <c r="B1103" i="5" l="1"/>
  <c r="C1102" i="5" a="1"/>
  <c r="C1102" i="5" s="1"/>
  <c r="A1102" i="5" a="1"/>
  <c r="A1102" i="5" s="1"/>
  <c r="C1103" i="5" l="1" a="1"/>
  <c r="C1103" i="5" s="1"/>
  <c r="A1103" i="5" a="1"/>
  <c r="A1103" i="5" s="1"/>
  <c r="B1104" i="5"/>
  <c r="B1105" i="5" l="1"/>
  <c r="C1104" i="5" a="1"/>
  <c r="C1104" i="5" s="1"/>
  <c r="A1104" i="5" a="1"/>
  <c r="A1104" i="5" s="1"/>
  <c r="A1105" i="5" l="1" a="1"/>
  <c r="A1105" i="5" s="1"/>
  <c r="B1106" i="5"/>
  <c r="C1105" i="5" a="1"/>
  <c r="C1105" i="5" s="1"/>
  <c r="C1106" i="5" l="1" a="1"/>
  <c r="C1106" i="5" s="1"/>
  <c r="B1107" i="5"/>
  <c r="A1106" i="5" a="1"/>
  <c r="A1106" i="5" s="1"/>
  <c r="B1108" i="5" l="1"/>
  <c r="C1107" i="5" a="1"/>
  <c r="C1107" i="5" s="1"/>
  <c r="A1107" i="5" a="1"/>
  <c r="A1107" i="5" s="1"/>
  <c r="C1108" i="5" l="1" a="1"/>
  <c r="C1108" i="5" s="1"/>
  <c r="A1108" i="5" a="1"/>
  <c r="A1108" i="5" s="1"/>
  <c r="B1109" i="5"/>
  <c r="B1110" i="5" l="1"/>
  <c r="C1109" i="5" a="1"/>
  <c r="C1109" i="5" s="1"/>
  <c r="A1109" i="5" a="1"/>
  <c r="A1109" i="5" s="1"/>
  <c r="C1110" i="5" l="1" a="1"/>
  <c r="C1110" i="5" s="1"/>
  <c r="A1110" i="5" a="1"/>
  <c r="A1110" i="5" s="1"/>
  <c r="B1111" i="5"/>
  <c r="B1112" i="5" l="1"/>
  <c r="C1111" i="5" a="1"/>
  <c r="C1111" i="5" s="1"/>
  <c r="A1111" i="5" a="1"/>
  <c r="A1111" i="5" s="1"/>
  <c r="A1112" i="5" l="1" a="1"/>
  <c r="A1112" i="5" s="1"/>
  <c r="B1113" i="5"/>
  <c r="C1112" i="5" a="1"/>
  <c r="C1112" i="5" s="1"/>
  <c r="C1113" i="5" l="1" a="1"/>
  <c r="C1113" i="5" s="1"/>
  <c r="A1113" i="5" a="1"/>
  <c r="A1113" i="5" s="1"/>
  <c r="B1114" i="5"/>
  <c r="B1115" i="5" l="1"/>
  <c r="C1114" i="5" a="1"/>
  <c r="C1114" i="5" s="1"/>
  <c r="A1114" i="5" a="1"/>
  <c r="A1114" i="5" s="1"/>
  <c r="C1115" i="5" l="1" a="1"/>
  <c r="C1115" i="5" s="1"/>
  <c r="A1115" i="5" a="1"/>
  <c r="A1115" i="5" s="1"/>
  <c r="B1116" i="5"/>
  <c r="B1117" i="5" l="1"/>
  <c r="C1116" i="5" a="1"/>
  <c r="C1116" i="5" s="1"/>
  <c r="A1116" i="5" a="1"/>
  <c r="A1116" i="5" s="1"/>
  <c r="C1117" i="5" l="1" a="1"/>
  <c r="C1117" i="5" s="1"/>
  <c r="A1117" i="5" a="1"/>
  <c r="A1117" i="5" s="1"/>
  <c r="B1118" i="5"/>
  <c r="B1119" i="5" l="1"/>
  <c r="C1118" i="5" a="1"/>
  <c r="C1118" i="5" s="1"/>
  <c r="A1118" i="5" a="1"/>
  <c r="A1118" i="5" s="1"/>
  <c r="A1119" i="5" l="1" a="1"/>
  <c r="A1119" i="5" s="1"/>
  <c r="C1119" i="5" a="1"/>
  <c r="C1119" i="5" s="1"/>
  <c r="B1120" i="5"/>
  <c r="C1120" i="5" l="1" a="1"/>
  <c r="C1120" i="5" s="1"/>
  <c r="A1120" i="5" a="1"/>
  <c r="A1120" i="5" s="1"/>
  <c r="B1121" i="5"/>
  <c r="A1121" i="5" l="1" a="1"/>
  <c r="A1121" i="5" s="1"/>
  <c r="B1122" i="5"/>
  <c r="C1121" i="5" a="1"/>
  <c r="C1121" i="5" s="1"/>
  <c r="C1122" i="5" l="1" a="1"/>
  <c r="C1122" i="5" s="1"/>
  <c r="B1123" i="5"/>
  <c r="A1122" i="5" a="1"/>
  <c r="A1122" i="5" s="1"/>
  <c r="B1124" i="5" l="1"/>
  <c r="C1123" i="5" a="1"/>
  <c r="C1123" i="5" s="1"/>
  <c r="A1123" i="5" a="1"/>
  <c r="A1123" i="5" s="1"/>
  <c r="B1125" i="5" l="1"/>
  <c r="C1124" i="5" a="1"/>
  <c r="C1124" i="5" s="1"/>
  <c r="A1124" i="5" a="1"/>
  <c r="A1124" i="5" s="1"/>
  <c r="A1125" i="5" l="1" a="1"/>
  <c r="A1125" i="5" s="1"/>
  <c r="B1126" i="5"/>
  <c r="C1125" i="5" a="1"/>
  <c r="C1125" i="5" s="1"/>
  <c r="B1127" i="5" l="1"/>
  <c r="A1126" i="5" a="1"/>
  <c r="A1126" i="5" s="1"/>
  <c r="C1126" i="5" a="1"/>
  <c r="C1126" i="5" s="1"/>
  <c r="C1127" i="5" l="1" a="1"/>
  <c r="C1127" i="5" s="1"/>
  <c r="A1127" i="5" a="1"/>
  <c r="A1127" i="5" s="1"/>
  <c r="B1128" i="5"/>
  <c r="B1129" i="5" l="1"/>
  <c r="C1128" i="5" a="1"/>
  <c r="C1128" i="5" s="1"/>
  <c r="A1128" i="5" a="1"/>
  <c r="A1128" i="5" s="1"/>
  <c r="C1129" i="5" l="1" a="1"/>
  <c r="C1129" i="5" s="1"/>
  <c r="A1129" i="5" a="1"/>
  <c r="A1129" i="5" s="1"/>
  <c r="B1130" i="5"/>
  <c r="B1131" i="5" l="1"/>
  <c r="C1130" i="5" a="1"/>
  <c r="C1130" i="5" s="1"/>
  <c r="A1130" i="5" a="1"/>
  <c r="A1130" i="5" s="1"/>
  <c r="A1131" i="5" l="1" a="1"/>
  <c r="A1131" i="5" s="1"/>
  <c r="B1132" i="5"/>
  <c r="C1131" i="5" a="1"/>
  <c r="C1131" i="5" s="1"/>
  <c r="C1132" i="5" l="1" a="1"/>
  <c r="C1132" i="5" s="1"/>
  <c r="A1132" i="5" a="1"/>
  <c r="A1132" i="5" s="1"/>
  <c r="B1133" i="5"/>
  <c r="A1133" i="5" l="1" a="1"/>
  <c r="A1133" i="5" s="1"/>
  <c r="B1134" i="5"/>
  <c r="C1133" i="5" a="1"/>
  <c r="C1133" i="5" s="1"/>
  <c r="C1134" i="5" l="1" a="1"/>
  <c r="C1134" i="5" s="1"/>
  <c r="B1135" i="5"/>
  <c r="A1134" i="5" a="1"/>
  <c r="A1134" i="5" s="1"/>
  <c r="B1136" i="5" l="1"/>
  <c r="A1135" i="5" a="1"/>
  <c r="A1135" i="5" s="1"/>
  <c r="C1135" i="5" a="1"/>
  <c r="C1135" i="5" s="1"/>
  <c r="C1136" i="5" l="1" a="1"/>
  <c r="C1136" i="5" s="1"/>
  <c r="B1137" i="5"/>
  <c r="A1136" i="5" a="1"/>
  <c r="A1136" i="5" s="1"/>
  <c r="B1138" i="5" l="1"/>
  <c r="C1137" i="5" a="1"/>
  <c r="C1137" i="5" s="1"/>
  <c r="A1137" i="5" a="1"/>
  <c r="A1137" i="5" s="1"/>
  <c r="A1138" i="5" l="1" a="1"/>
  <c r="A1138" i="5" s="1"/>
  <c r="B1139" i="5"/>
  <c r="C1138" i="5" a="1"/>
  <c r="C1138" i="5" s="1"/>
  <c r="B1140" i="5" l="1"/>
  <c r="C1139" i="5" a="1"/>
  <c r="C1139" i="5" s="1"/>
  <c r="A1139" i="5" a="1"/>
  <c r="A1139" i="5" s="1"/>
  <c r="A1140" i="5" l="1" a="1"/>
  <c r="A1140" i="5" s="1"/>
  <c r="C1140" i="5" a="1"/>
  <c r="C1140" i="5" s="1"/>
  <c r="B1141" i="5"/>
  <c r="C1141" i="5" l="1" a="1"/>
  <c r="C1141" i="5" s="1"/>
  <c r="B1142" i="5"/>
  <c r="A1141" i="5" a="1"/>
  <c r="A1141" i="5" s="1"/>
  <c r="B1143" i="5" l="1"/>
  <c r="C1142" i="5" a="1"/>
  <c r="C1142" i="5" s="1"/>
  <c r="A1142" i="5" a="1"/>
  <c r="A1142" i="5" s="1"/>
  <c r="C1143" i="5" l="1" a="1"/>
  <c r="C1143" i="5" s="1"/>
  <c r="B1144" i="5"/>
  <c r="A1143" i="5" a="1"/>
  <c r="A1143" i="5" s="1"/>
  <c r="B1145" i="5" l="1"/>
  <c r="C1144" i="5" a="1"/>
  <c r="C1144" i="5" s="1"/>
  <c r="A1144" i="5" a="1"/>
  <c r="A1144" i="5" s="1"/>
  <c r="A1145" i="5" l="1" a="1"/>
  <c r="A1145" i="5" s="1"/>
  <c r="B1146" i="5"/>
  <c r="C1145" i="5" a="1"/>
  <c r="C1145" i="5" s="1"/>
  <c r="B1147" i="5" l="1"/>
  <c r="C1146" i="5" a="1"/>
  <c r="C1146" i="5" s="1"/>
  <c r="A1146" i="5" a="1"/>
  <c r="A1146" i="5" s="1"/>
  <c r="A1147" i="5" l="1" a="1"/>
  <c r="A1147" i="5" s="1"/>
  <c r="B1148" i="5"/>
  <c r="C1147" i="5" a="1"/>
  <c r="C1147" i="5" s="1"/>
  <c r="C1148" i="5" l="1" a="1"/>
  <c r="C1148" i="5" s="1"/>
  <c r="A1148" i="5" a="1"/>
  <c r="A1148" i="5" s="1"/>
  <c r="B1149" i="5"/>
  <c r="B1150" i="5" l="1"/>
  <c r="C1149" i="5" a="1"/>
  <c r="C1149" i="5" s="1"/>
  <c r="A1149" i="5" a="1"/>
  <c r="A1149" i="5" s="1"/>
  <c r="C1150" i="5" l="1" a="1"/>
  <c r="C1150" i="5" s="1"/>
  <c r="B1151" i="5"/>
  <c r="A1150" i="5" a="1"/>
  <c r="A1150" i="5" s="1"/>
  <c r="B1152" i="5" l="1"/>
  <c r="C1151" i="5" a="1"/>
  <c r="C1151" i="5" s="1"/>
  <c r="A1151" i="5" a="1"/>
  <c r="A1151" i="5" s="1"/>
  <c r="A1152" i="5" l="1" a="1"/>
  <c r="A1152" i="5" s="1"/>
  <c r="B1153" i="5"/>
  <c r="C1152" i="5" a="1"/>
  <c r="C1152" i="5" s="1"/>
  <c r="B1154" i="5" l="1"/>
  <c r="C1153" i="5" a="1"/>
  <c r="C1153" i="5" s="1"/>
  <c r="A1153" i="5" a="1"/>
  <c r="A1153" i="5" s="1"/>
  <c r="A1154" i="5" l="1" a="1"/>
  <c r="A1154" i="5" s="1"/>
  <c r="C1154" i="5" a="1"/>
  <c r="C1154" i="5" s="1"/>
  <c r="B1155" i="5"/>
  <c r="C1155" i="5" l="1" a="1"/>
  <c r="C1155" i="5" s="1"/>
  <c r="B1156" i="5"/>
  <c r="A1155" i="5" a="1"/>
  <c r="A1155" i="5" s="1"/>
  <c r="B1157" i="5" l="1"/>
  <c r="C1156" i="5" a="1"/>
  <c r="C1156" i="5" s="1"/>
  <c r="A1156" i="5" a="1"/>
  <c r="A1156" i="5" s="1"/>
  <c r="C1157" i="5" l="1" a="1"/>
  <c r="C1157" i="5" s="1"/>
  <c r="B1158" i="5"/>
  <c r="A1157" i="5" a="1"/>
  <c r="A1157" i="5" s="1"/>
  <c r="B1159" i="5" l="1"/>
  <c r="C1158" i="5" a="1"/>
  <c r="C1158" i="5" s="1"/>
  <c r="A1158" i="5" a="1"/>
  <c r="A1158" i="5" s="1"/>
  <c r="A1159" i="5" l="1" a="1"/>
  <c r="A1159" i="5" s="1"/>
  <c r="B1160" i="5"/>
  <c r="C1159" i="5" a="1"/>
  <c r="C1159" i="5" s="1"/>
  <c r="A1160" i="5" l="1" a="1"/>
  <c r="A1160" i="5" s="1"/>
  <c r="B1161" i="5"/>
  <c r="C1160" i="5" a="1"/>
  <c r="C1160" i="5" s="1"/>
  <c r="A1161" i="5" l="1" a="1"/>
  <c r="A1161" i="5" s="1"/>
  <c r="C1161" i="5" a="1"/>
  <c r="C1161" i="5" s="1"/>
  <c r="B1162" i="5"/>
  <c r="C1162" i="5" l="1" a="1"/>
  <c r="C1162" i="5" s="1"/>
  <c r="B1163" i="5"/>
  <c r="A1162" i="5" a="1"/>
  <c r="A1162" i="5" s="1"/>
  <c r="B1164" i="5" l="1"/>
  <c r="C1163" i="5" a="1"/>
  <c r="C1163" i="5" s="1"/>
  <c r="A1163" i="5" a="1"/>
  <c r="A1163" i="5" s="1"/>
  <c r="C1164" i="5" l="1" a="1"/>
  <c r="C1164" i="5" s="1"/>
  <c r="B1165" i="5"/>
  <c r="A1164" i="5" a="1"/>
  <c r="A1164" i="5" s="1"/>
  <c r="B1166" i="5" l="1"/>
  <c r="C1165" i="5" a="1"/>
  <c r="C1165" i="5" s="1"/>
  <c r="A1165" i="5" a="1"/>
  <c r="A1165" i="5" s="1"/>
  <c r="A1166" i="5" l="1" a="1"/>
  <c r="A1166" i="5" s="1"/>
  <c r="B1167" i="5"/>
  <c r="C1166" i="5" a="1"/>
  <c r="C1166" i="5" s="1"/>
  <c r="A1167" i="5" l="1" a="1"/>
  <c r="A1167" i="5" s="1"/>
  <c r="B1168" i="5"/>
  <c r="C1167" i="5" a="1"/>
  <c r="C1167" i="5" s="1"/>
  <c r="A1168" i="5" l="1" a="1"/>
  <c r="A1168" i="5" s="1"/>
  <c r="C1168" i="5" a="1"/>
  <c r="C1168" i="5" s="1"/>
  <c r="B1169" i="5"/>
  <c r="C1169" i="5" l="1" a="1"/>
  <c r="C1169" i="5" s="1"/>
  <c r="B1170" i="5"/>
  <c r="A1169" i="5" a="1"/>
  <c r="A1169" i="5" s="1"/>
  <c r="B1171" i="5" l="1"/>
  <c r="C1170" i="5" a="1"/>
  <c r="C1170" i="5" s="1"/>
  <c r="A1170" i="5" a="1"/>
  <c r="A1170" i="5" s="1"/>
  <c r="C1171" i="5" l="1" a="1"/>
  <c r="C1171" i="5" s="1"/>
  <c r="B1172" i="5"/>
  <c r="A1171" i="5" a="1"/>
  <c r="A1171" i="5" s="1"/>
  <c r="B1173" i="5" l="1"/>
  <c r="C1172" i="5" a="1"/>
  <c r="C1172" i="5" s="1"/>
  <c r="A1172" i="5" a="1"/>
  <c r="A1172" i="5" s="1"/>
  <c r="A1173" i="5" l="1" a="1"/>
  <c r="A1173" i="5" s="1"/>
  <c r="B1174" i="5"/>
  <c r="C1173" i="5" a="1"/>
  <c r="C1173" i="5" s="1"/>
  <c r="A1174" i="5" l="1" a="1"/>
  <c r="A1174" i="5" s="1"/>
  <c r="B1175" i="5"/>
  <c r="C1174" i="5" a="1"/>
  <c r="C1174" i="5" s="1"/>
  <c r="A1175" i="5" l="1" a="1"/>
  <c r="A1175" i="5" s="1"/>
  <c r="C1175" i="5" a="1"/>
  <c r="C1175" i="5" s="1"/>
  <c r="B1176" i="5"/>
  <c r="C1176" i="5" l="1" a="1"/>
  <c r="C1176" i="5" s="1"/>
  <c r="B1177" i="5"/>
  <c r="A1176" i="5" a="1"/>
  <c r="A1176" i="5" s="1"/>
  <c r="B1178" i="5" l="1"/>
  <c r="C1177" i="5" a="1"/>
  <c r="C1177" i="5" s="1"/>
  <c r="A1177" i="5" a="1"/>
  <c r="A1177" i="5" s="1"/>
  <c r="C1178" i="5" l="1" a="1"/>
  <c r="C1178" i="5" s="1"/>
  <c r="B1179" i="5"/>
  <c r="A1178" i="5" a="1"/>
  <c r="A1178" i="5" s="1"/>
  <c r="B1180" i="5" l="1"/>
  <c r="C1179" i="5" a="1"/>
  <c r="C1179" i="5" s="1"/>
  <c r="A1179" i="5" a="1"/>
  <c r="A1179" i="5" s="1"/>
  <c r="A1180" i="5" l="1" a="1"/>
  <c r="A1180" i="5" s="1"/>
  <c r="B1181" i="5"/>
  <c r="C1180" i="5" a="1"/>
  <c r="C1180" i="5" s="1"/>
  <c r="A1181" i="5" l="1" a="1"/>
  <c r="A1181" i="5" s="1"/>
  <c r="B1182" i="5"/>
  <c r="C1181" i="5" a="1"/>
  <c r="C1181" i="5" s="1"/>
  <c r="A1182" i="5" l="1" a="1"/>
  <c r="A1182" i="5" s="1"/>
  <c r="C1182" i="5" a="1"/>
  <c r="C1182" i="5" s="1"/>
  <c r="B1183" i="5"/>
  <c r="C1183" i="5" l="1" a="1"/>
  <c r="C1183" i="5" s="1"/>
  <c r="B1184" i="5"/>
  <c r="A1183" i="5" a="1"/>
  <c r="A1183" i="5" s="1"/>
  <c r="B1185" i="5" l="1"/>
  <c r="C1184" i="5" a="1"/>
  <c r="C1184" i="5" s="1"/>
  <c r="A1184" i="5" a="1"/>
  <c r="A1184" i="5" s="1"/>
  <c r="C1185" i="5" l="1" a="1"/>
  <c r="C1185" i="5" s="1"/>
  <c r="B1186" i="5"/>
  <c r="A1185" i="5" a="1"/>
  <c r="A1185" i="5" s="1"/>
  <c r="B1187" i="5" l="1"/>
  <c r="C1186" i="5" a="1"/>
  <c r="C1186" i="5" s="1"/>
  <c r="A1186" i="5" a="1"/>
  <c r="A1186" i="5" s="1"/>
  <c r="A1187" i="5" l="1" a="1"/>
  <c r="A1187" i="5" s="1"/>
  <c r="B1188" i="5"/>
  <c r="C1187" i="5" a="1"/>
  <c r="C1187" i="5" s="1"/>
  <c r="A1188" i="5" l="1" a="1"/>
  <c r="A1188" i="5" s="1"/>
  <c r="C1188" i="5" a="1"/>
  <c r="C1188" i="5" s="1"/>
  <c r="B1189" i="5"/>
  <c r="A1189" i="5" l="1" a="1"/>
  <c r="A1189" i="5" s="1"/>
  <c r="C1189" i="5" a="1"/>
  <c r="C1189" i="5" s="1"/>
  <c r="B1190" i="5"/>
  <c r="C1190" i="5" l="1" a="1"/>
  <c r="C1190" i="5" s="1"/>
  <c r="B1191" i="5"/>
  <c r="A1190" i="5" a="1"/>
  <c r="A1190" i="5" s="1"/>
  <c r="B1192" i="5" l="1"/>
  <c r="C1191" i="5" a="1"/>
  <c r="C1191" i="5" s="1"/>
  <c r="A1191" i="5" a="1"/>
  <c r="A1191" i="5" s="1"/>
  <c r="C1192" i="5" l="1" a="1"/>
  <c r="C1192" i="5" s="1"/>
  <c r="B1193" i="5"/>
  <c r="A1192" i="5" a="1"/>
  <c r="A1192" i="5" s="1"/>
  <c r="B1194" i="5" l="1"/>
  <c r="C1193" i="5" a="1"/>
  <c r="C1193" i="5" s="1"/>
  <c r="A1193" i="5" a="1"/>
  <c r="A1193" i="5" s="1"/>
  <c r="A1194" i="5" l="1" a="1"/>
  <c r="A1194" i="5" s="1"/>
  <c r="B1195" i="5"/>
  <c r="C1194" i="5" a="1"/>
  <c r="C1194" i="5" s="1"/>
  <c r="A1195" i="5" l="1" a="1"/>
  <c r="A1195" i="5" s="1"/>
  <c r="B1196" i="5"/>
  <c r="C1195" i="5" a="1"/>
  <c r="C1195" i="5" s="1"/>
  <c r="A1196" i="5" l="1" a="1"/>
  <c r="A1196" i="5" s="1"/>
  <c r="C1196" i="5" a="1"/>
  <c r="C1196" i="5" s="1"/>
  <c r="B1197" i="5"/>
  <c r="C1197" i="5" l="1" a="1"/>
  <c r="C1197" i="5" s="1"/>
  <c r="B1198" i="5"/>
  <c r="A1197" i="5" a="1"/>
  <c r="A1197" i="5" s="1"/>
  <c r="B1199" i="5" l="1"/>
  <c r="C1198" i="5" a="1"/>
  <c r="C1198" i="5" s="1"/>
  <c r="A1198" i="5" a="1"/>
  <c r="A1198" i="5" s="1"/>
  <c r="C1199" i="5" l="1" a="1"/>
  <c r="C1199" i="5" s="1"/>
  <c r="B1200" i="5"/>
  <c r="A1199" i="5" a="1"/>
  <c r="A1199" i="5" s="1"/>
  <c r="B1201" i="5" l="1"/>
  <c r="C1200" i="5" a="1"/>
  <c r="C1200" i="5" s="1"/>
  <c r="A1200" i="5" a="1"/>
  <c r="A1200" i="5" s="1"/>
  <c r="A1201" i="5" l="1" a="1"/>
  <c r="A1201" i="5" s="1"/>
  <c r="B1202" i="5"/>
  <c r="C1201" i="5" a="1"/>
  <c r="C1201" i="5" s="1"/>
  <c r="A1202" i="5" l="1" a="1"/>
  <c r="A1202" i="5" s="1"/>
  <c r="C1202" i="5" a="1"/>
  <c r="C1202" i="5" s="1"/>
  <c r="B1203" i="5"/>
  <c r="A1203" i="5" l="1" a="1"/>
  <c r="A1203" i="5" s="1"/>
  <c r="C1203" i="5" a="1"/>
  <c r="C1203" i="5" s="1"/>
  <c r="B1204" i="5"/>
  <c r="C1204" i="5" l="1" a="1"/>
  <c r="C1204" i="5" s="1"/>
  <c r="B1205" i="5"/>
  <c r="A1204" i="5" a="1"/>
  <c r="A1204" i="5" s="1"/>
  <c r="B1206" i="5" l="1"/>
  <c r="C1205" i="5" a="1"/>
  <c r="C1205" i="5" s="1"/>
  <c r="A1205" i="5" a="1"/>
  <c r="A1205" i="5" s="1"/>
  <c r="C1206" i="5" l="1" a="1"/>
  <c r="C1206" i="5" s="1"/>
  <c r="B1207" i="5"/>
  <c r="A1206" i="5" a="1"/>
  <c r="A1206" i="5" s="1"/>
  <c r="B1208" i="5" l="1"/>
  <c r="C1207" i="5" a="1"/>
  <c r="C1207" i="5" s="1"/>
  <c r="A1207" i="5" a="1"/>
  <c r="A1207" i="5" s="1"/>
  <c r="A1208" i="5" l="1" a="1"/>
  <c r="A1208" i="5" s="1"/>
  <c r="B1209" i="5"/>
  <c r="C1208" i="5" a="1"/>
  <c r="C1208" i="5" s="1"/>
  <c r="A1209" i="5" l="1" a="1"/>
  <c r="A1209" i="5" s="1"/>
  <c r="B1210" i="5"/>
  <c r="C1209" i="5" a="1"/>
  <c r="C1209" i="5" s="1"/>
  <c r="A1210" i="5" l="1" a="1"/>
  <c r="A1210" i="5" s="1"/>
  <c r="C1210" i="5" a="1"/>
  <c r="C1210" i="5" s="1"/>
  <c r="B1211" i="5"/>
  <c r="C1211" i="5" l="1" a="1"/>
  <c r="C1211" i="5" s="1"/>
  <c r="B1212" i="5"/>
  <c r="A1211" i="5" a="1"/>
  <c r="A1211" i="5" s="1"/>
  <c r="B1213" i="5" l="1"/>
  <c r="C1212" i="5" a="1"/>
  <c r="C1212" i="5" s="1"/>
  <c r="A1212" i="5" a="1"/>
  <c r="A1212" i="5" s="1"/>
  <c r="C1213" i="5" l="1" a="1"/>
  <c r="C1213" i="5" s="1"/>
  <c r="B1214" i="5"/>
  <c r="A1213" i="5" a="1"/>
  <c r="A1213" i="5" s="1"/>
  <c r="B1215" i="5" l="1"/>
  <c r="C1214" i="5" a="1"/>
  <c r="C1214" i="5" s="1"/>
  <c r="A1214" i="5" a="1"/>
  <c r="A1214" i="5" s="1"/>
  <c r="A1215" i="5" l="1" a="1"/>
  <c r="A1215" i="5" s="1"/>
  <c r="B1216" i="5"/>
  <c r="C1215" i="5" a="1"/>
  <c r="C1215" i="5" s="1"/>
  <c r="B1217" i="5" l="1"/>
  <c r="A1216" i="5" a="1"/>
  <c r="A1216" i="5" s="1"/>
  <c r="C1216" i="5" a="1"/>
  <c r="C1216" i="5" s="1"/>
  <c r="A1217" i="5" l="1" a="1"/>
  <c r="A1217" i="5" s="1"/>
  <c r="C1217" i="5" a="1"/>
  <c r="C1217" i="5" s="1"/>
  <c r="B1218" i="5"/>
  <c r="A1218" i="5" l="1" a="1"/>
  <c r="A1218" i="5" s="1"/>
  <c r="C1218" i="5" a="1"/>
  <c r="C1218" i="5" s="1"/>
  <c r="B1219" i="5"/>
  <c r="C1219" i="5" l="1" a="1"/>
  <c r="C1219" i="5" s="1"/>
  <c r="B1220" i="5"/>
  <c r="A1219" i="5" a="1"/>
  <c r="A1219" i="5" s="1"/>
  <c r="C1220" i="5" l="1" a="1"/>
  <c r="C1220" i="5" s="1"/>
  <c r="B1221" i="5"/>
  <c r="A1220" i="5" a="1"/>
  <c r="A1220" i="5" s="1"/>
  <c r="C1221" i="5" l="1" a="1"/>
  <c r="C1221" i="5" s="1"/>
  <c r="A1221" i="5" a="1"/>
  <c r="A1221" i="5" s="1"/>
  <c r="B1222" i="5"/>
  <c r="A1222" i="5" l="1" a="1"/>
  <c r="A1222" i="5" s="1"/>
  <c r="C1222" i="5" a="1"/>
  <c r="C1222" i="5" s="1"/>
  <c r="B1223" i="5"/>
  <c r="B1224" i="5" l="1"/>
  <c r="C1223" i="5" a="1"/>
  <c r="C1223" i="5" s="1"/>
  <c r="A1223" i="5" a="1"/>
  <c r="A1223" i="5" s="1"/>
  <c r="C1224" i="5" l="1" a="1"/>
  <c r="C1224" i="5" s="1"/>
  <c r="B1225" i="5"/>
  <c r="A1224" i="5" a="1"/>
  <c r="A1224" i="5" s="1"/>
  <c r="B1226" i="5" l="1"/>
  <c r="C1225" i="5" a="1"/>
  <c r="C1225" i="5" s="1"/>
  <c r="A1225" i="5" a="1"/>
  <c r="A1225" i="5" s="1"/>
  <c r="B1227" i="5" l="1"/>
  <c r="A1226" i="5" a="1"/>
  <c r="A1226" i="5" s="1"/>
  <c r="C1226" i="5" a="1"/>
  <c r="C1226" i="5" s="1"/>
  <c r="B1228" i="5" l="1"/>
  <c r="C1227" i="5" a="1"/>
  <c r="C1227" i="5" s="1"/>
  <c r="A1227" i="5" a="1"/>
  <c r="A1227" i="5" s="1"/>
  <c r="A1228" i="5" l="1" a="1"/>
  <c r="A1228" i="5" s="1"/>
  <c r="B1229" i="5"/>
  <c r="C1228" i="5" a="1"/>
  <c r="C1228" i="5" s="1"/>
  <c r="A1229" i="5" l="1" a="1"/>
  <c r="A1229" i="5" s="1"/>
  <c r="B1230" i="5"/>
  <c r="C1229" i="5" a="1"/>
  <c r="C1229" i="5" s="1"/>
  <c r="A1230" i="5" l="1" a="1"/>
  <c r="A1230" i="5" s="1"/>
  <c r="B1231" i="5"/>
  <c r="C1230" i="5" a="1"/>
  <c r="C1230" i="5" s="1"/>
  <c r="B1232" i="5" l="1"/>
  <c r="C1231" i="5" a="1"/>
  <c r="C1231" i="5" s="1"/>
  <c r="A1231" i="5" a="1"/>
  <c r="A1231" i="5" s="1"/>
  <c r="C1232" i="5" l="1" a="1"/>
  <c r="C1232" i="5" s="1"/>
  <c r="A1232" i="5" a="1"/>
  <c r="A1232" i="5" s="1"/>
  <c r="B1233" i="5"/>
  <c r="B1234" i="5" l="1"/>
  <c r="A1233" i="5" a="1"/>
  <c r="A1233" i="5" s="1"/>
  <c r="C1233" i="5" a="1"/>
  <c r="C1233" i="5" s="1"/>
  <c r="C1234" i="5" l="1" a="1"/>
  <c r="C1234" i="5" s="1"/>
  <c r="A1234" i="5" a="1"/>
  <c r="A1234" i="5" s="1"/>
  <c r="B1235" i="5"/>
  <c r="B1236" i="5" l="1"/>
  <c r="A1235" i="5" a="1"/>
  <c r="A1235" i="5" s="1"/>
  <c r="C1235" i="5" a="1"/>
  <c r="C1235" i="5" s="1"/>
  <c r="A1236" i="5" l="1" a="1"/>
  <c r="A1236" i="5" s="1"/>
  <c r="C1236" i="5" a="1"/>
  <c r="C1236" i="5" s="1"/>
  <c r="B1237" i="5"/>
  <c r="B1238" i="5" l="1"/>
  <c r="A1237" i="5" a="1"/>
  <c r="A1237" i="5" s="1"/>
  <c r="C1237" i="5" a="1"/>
  <c r="C1237" i="5" s="1"/>
  <c r="C1238" i="5" l="1" a="1"/>
  <c r="C1238" i="5" s="1"/>
  <c r="A1238" i="5" a="1"/>
  <c r="A1238" i="5" s="1"/>
  <c r="B1239" i="5"/>
  <c r="C1239" i="5" l="1" a="1"/>
  <c r="C1239" i="5" s="1"/>
  <c r="B1240" i="5"/>
  <c r="A1239" i="5" a="1"/>
  <c r="A1239" i="5" s="1"/>
  <c r="B1241" i="5" l="1"/>
  <c r="A1240" i="5" a="1"/>
  <c r="A1240" i="5" s="1"/>
  <c r="C1240" i="5" a="1"/>
  <c r="C1240" i="5" s="1"/>
  <c r="B1242" i="5" l="1"/>
  <c r="C1241" i="5" a="1"/>
  <c r="C1241" i="5" s="1"/>
  <c r="A1241" i="5" a="1"/>
  <c r="A1241" i="5" s="1"/>
  <c r="A1242" i="5" l="1" a="1"/>
  <c r="A1242" i="5" s="1"/>
  <c r="B1243" i="5"/>
  <c r="C1242" i="5" a="1"/>
  <c r="C1242" i="5" s="1"/>
  <c r="A1243" i="5" l="1" a="1"/>
  <c r="A1243" i="5" s="1"/>
  <c r="B1244" i="5"/>
  <c r="C1243" i="5" a="1"/>
  <c r="C1243" i="5" s="1"/>
  <c r="A1244" i="5" l="1" a="1"/>
  <c r="A1244" i="5" s="1"/>
  <c r="B1245" i="5"/>
  <c r="C1244" i="5" a="1"/>
  <c r="C1244" i="5" s="1"/>
  <c r="B1246" i="5" l="1"/>
  <c r="C1245" i="5" a="1"/>
  <c r="C1245" i="5" s="1"/>
  <c r="A1245" i="5" a="1"/>
  <c r="A1245" i="5" s="1"/>
  <c r="C1246" i="5" l="1" a="1"/>
  <c r="C1246" i="5" s="1"/>
  <c r="A1246" i="5" a="1"/>
  <c r="A1246" i="5" s="1"/>
  <c r="B1247" i="5"/>
  <c r="B1248" i="5" l="1"/>
  <c r="C1247" i="5" a="1"/>
  <c r="C1247" i="5" s="1"/>
  <c r="A1247" i="5" a="1"/>
  <c r="A1247" i="5" s="1"/>
  <c r="C1248" i="5" l="1" a="1"/>
  <c r="C1248" i="5" s="1"/>
  <c r="A1248" i="5" a="1"/>
  <c r="A1248" i="5" s="1"/>
  <c r="B1249" i="5"/>
  <c r="B1250" i="5" l="1"/>
  <c r="C1249" i="5" a="1"/>
  <c r="C1249" i="5" s="1"/>
  <c r="A1249" i="5" a="1"/>
  <c r="A1249" i="5" s="1"/>
  <c r="A1250" i="5" l="1" a="1"/>
  <c r="A1250" i="5" s="1"/>
  <c r="C1250" i="5" a="1"/>
  <c r="C1250" i="5" s="1"/>
  <c r="B1251" i="5"/>
  <c r="B1252" i="5" l="1"/>
  <c r="C1251" i="5" a="1"/>
  <c r="C1251" i="5" s="1"/>
  <c r="A1251" i="5" a="1"/>
  <c r="A1251" i="5" s="1"/>
  <c r="A1252" i="5" l="1" a="1"/>
  <c r="A1252" i="5" s="1"/>
  <c r="B1253" i="5"/>
  <c r="C1252" i="5" a="1"/>
  <c r="C1252" i="5" s="1"/>
  <c r="C1253" i="5" l="1" a="1"/>
  <c r="C1253" i="5" s="1"/>
  <c r="A1253" i="5" a="1"/>
  <c r="A1253" i="5" s="1"/>
  <c r="B1254" i="5"/>
  <c r="B1255" i="5" l="1"/>
  <c r="A1254" i="5" a="1"/>
  <c r="A1254" i="5" s="1"/>
  <c r="C1254" i="5" a="1"/>
  <c r="C1254" i="5" s="1"/>
  <c r="C1255" i="5" l="1" a="1"/>
  <c r="C1255" i="5" s="1"/>
  <c r="A1255" i="5" a="1"/>
  <c r="A1255" i="5" s="1"/>
  <c r="B1256" i="5"/>
  <c r="B1257" i="5" l="1"/>
  <c r="A1256" i="5" a="1"/>
  <c r="A1256" i="5" s="1"/>
  <c r="C1256" i="5" a="1"/>
  <c r="C1256" i="5" s="1"/>
  <c r="A1257" i="5" l="1" a="1"/>
  <c r="A1257" i="5" s="1"/>
  <c r="C1257" i="5" a="1"/>
  <c r="C1257" i="5" s="1"/>
  <c r="B1258" i="5"/>
  <c r="C1258" i="5" l="1" a="1"/>
  <c r="C1258" i="5" s="1"/>
  <c r="A1258" i="5" a="1"/>
  <c r="A1258" i="5" s="1"/>
  <c r="B1259" i="5"/>
  <c r="C1259" i="5" l="1" a="1"/>
  <c r="C1259" i="5" s="1"/>
  <c r="B1260" i="5"/>
  <c r="A1259" i="5" a="1"/>
  <c r="A1259" i="5" s="1"/>
  <c r="C1260" i="5" l="1" a="1"/>
  <c r="C1260" i="5" s="1"/>
  <c r="A1260" i="5" a="1"/>
  <c r="A1260" i="5" s="1"/>
  <c r="B1261" i="5"/>
  <c r="B1262" i="5" l="1"/>
  <c r="C1261" i="5" a="1"/>
  <c r="C1261" i="5" s="1"/>
  <c r="A1261" i="5" a="1"/>
  <c r="A1261" i="5" s="1"/>
  <c r="C1262" i="5" l="1" a="1"/>
  <c r="C1262" i="5" s="1"/>
  <c r="A1262" i="5" a="1"/>
  <c r="A1262" i="5" s="1"/>
  <c r="B1263" i="5"/>
  <c r="B1264" i="5" l="1"/>
  <c r="C1263" i="5" a="1"/>
  <c r="C1263" i="5" s="1"/>
  <c r="A1263" i="5" a="1"/>
  <c r="A1263" i="5" s="1"/>
  <c r="A1264" i="5" l="1" a="1"/>
  <c r="A1264" i="5" s="1"/>
  <c r="B1265" i="5"/>
  <c r="C1264" i="5" a="1"/>
  <c r="C1264" i="5" s="1"/>
  <c r="B1266" i="5" l="1"/>
  <c r="A1265" i="5" a="1"/>
  <c r="A1265" i="5" s="1"/>
  <c r="C1265" i="5" a="1"/>
  <c r="C1265" i="5" s="1"/>
  <c r="A1266" i="5" l="1" a="1"/>
  <c r="A1266" i="5" s="1"/>
  <c r="B1267" i="5"/>
  <c r="C1266" i="5" a="1"/>
  <c r="C1266" i="5" s="1"/>
  <c r="C1267" i="5" l="1" a="1"/>
  <c r="C1267" i="5" s="1"/>
  <c r="B1268" i="5"/>
  <c r="A1267" i="5" a="1"/>
  <c r="A1267" i="5" s="1"/>
  <c r="B1269" i="5" l="1"/>
  <c r="A1268" i="5" a="1"/>
  <c r="A1268" i="5" s="1"/>
  <c r="C1268" i="5" a="1"/>
  <c r="C1268" i="5" s="1"/>
  <c r="C1269" i="5" l="1" a="1"/>
  <c r="C1269" i="5" s="1"/>
  <c r="A1269" i="5" a="1"/>
  <c r="A1269" i="5" s="1"/>
  <c r="B1270" i="5"/>
  <c r="B1271" i="5" l="1"/>
  <c r="C1270" i="5" a="1"/>
  <c r="C1270" i="5" s="1"/>
  <c r="A1270" i="5" a="1"/>
  <c r="A1270" i="5" s="1"/>
  <c r="A1271" i="5" l="1" a="1"/>
  <c r="A1271" i="5" s="1"/>
  <c r="C1271" i="5" a="1"/>
  <c r="C1271" i="5" s="1"/>
  <c r="B1272" i="5"/>
  <c r="B1273" i="5" l="1"/>
  <c r="C1272" i="5" a="1"/>
  <c r="C1272" i="5" s="1"/>
  <c r="A1272" i="5" a="1"/>
  <c r="A1272" i="5" s="1"/>
  <c r="A1273" i="5" l="1" a="1"/>
  <c r="A1273" i="5" s="1"/>
  <c r="B1274" i="5"/>
  <c r="C1273" i="5" a="1"/>
  <c r="C1273" i="5" s="1"/>
  <c r="C1274" i="5" l="1" a="1"/>
  <c r="C1274" i="5" s="1"/>
  <c r="B1275" i="5"/>
  <c r="A1274" i="5" a="1"/>
  <c r="A1274" i="5" s="1"/>
  <c r="B1276" i="5" l="1"/>
  <c r="A1275" i="5" a="1"/>
  <c r="A1275" i="5" s="1"/>
  <c r="C1275" i="5" a="1"/>
  <c r="C1275" i="5" s="1"/>
  <c r="C1276" i="5" l="1" a="1"/>
  <c r="C1276" i="5" s="1"/>
  <c r="A1276" i="5" a="1"/>
  <c r="A1276" i="5" s="1"/>
  <c r="B1277" i="5"/>
  <c r="B1278" i="5" l="1"/>
  <c r="C1277" i="5" a="1"/>
  <c r="C1277" i="5" s="1"/>
  <c r="A1277" i="5" a="1"/>
  <c r="A1277" i="5" s="1"/>
  <c r="A1278" i="5" l="1" a="1"/>
  <c r="A1278" i="5" s="1"/>
  <c r="B1279" i="5"/>
  <c r="C1278" i="5" a="1"/>
  <c r="C1278" i="5" s="1"/>
  <c r="B1280" i="5" l="1"/>
  <c r="A1279" i="5" a="1"/>
  <c r="A1279" i="5" s="1"/>
  <c r="C1279" i="5" a="1"/>
  <c r="C1279" i="5" s="1"/>
  <c r="A1280" i="5" l="1" a="1"/>
  <c r="A1280" i="5" s="1"/>
  <c r="C1280" i="5" a="1"/>
  <c r="C1280" i="5" s="1"/>
  <c r="B1281" i="5"/>
  <c r="C1281" i="5" l="1" a="1"/>
  <c r="C1281" i="5" s="1"/>
  <c r="A1281" i="5" a="1"/>
  <c r="A1281" i="5" s="1"/>
  <c r="B1282" i="5"/>
  <c r="B1283" i="5" l="1"/>
  <c r="C1282" i="5" a="1"/>
  <c r="C1282" i="5" s="1"/>
  <c r="A1282" i="5" a="1"/>
  <c r="A1282" i="5" s="1"/>
  <c r="C1283" i="5" l="1" a="1"/>
  <c r="C1283" i="5" s="1"/>
  <c r="A1283" i="5" a="1"/>
  <c r="A1283" i="5" s="1"/>
  <c r="B1284" i="5"/>
  <c r="B1285" i="5" l="1"/>
  <c r="A1284" i="5" a="1"/>
  <c r="A1284" i="5" s="1"/>
  <c r="C1284" i="5" a="1"/>
  <c r="C1284" i="5" s="1"/>
  <c r="A1285" i="5" l="1" a="1"/>
  <c r="A1285" i="5" s="1"/>
  <c r="C1285" i="5" a="1"/>
  <c r="C1285" i="5" s="1"/>
  <c r="B1286" i="5"/>
  <c r="C1286" i="5" l="1" a="1"/>
  <c r="C1286" i="5" s="1"/>
  <c r="A1286" i="5" a="1"/>
  <c r="A1286" i="5" s="1"/>
  <c r="B1287" i="5"/>
  <c r="A1287" i="5" l="1" a="1"/>
  <c r="A1287" i="5" s="1"/>
  <c r="B1288" i="5"/>
  <c r="C1287" i="5" a="1"/>
  <c r="C1287" i="5" s="1"/>
  <c r="C1288" i="5" l="1" a="1"/>
  <c r="C1288" i="5" s="1"/>
  <c r="B1289" i="5"/>
  <c r="A1288" i="5" a="1"/>
  <c r="A1288" i="5" s="1"/>
  <c r="B1290" i="5" l="1"/>
  <c r="A1289" i="5" a="1"/>
  <c r="A1289" i="5" s="1"/>
  <c r="C1289" i="5" a="1"/>
  <c r="C1289" i="5" s="1"/>
  <c r="C1290" i="5" l="1" a="1"/>
  <c r="C1290" i="5" s="1"/>
  <c r="A1290" i="5" a="1"/>
  <c r="A1290" i="5" s="1"/>
  <c r="B1291" i="5"/>
  <c r="B1292" i="5" l="1"/>
  <c r="C1291" i="5" a="1"/>
  <c r="C1291" i="5" s="1"/>
  <c r="A1291" i="5" a="1"/>
  <c r="A1291" i="5" s="1"/>
  <c r="C1292" i="5" l="1" a="1"/>
  <c r="C1292" i="5" s="1"/>
  <c r="A1292" i="5" a="1"/>
  <c r="A1292" i="5" s="1"/>
  <c r="B1293" i="5"/>
  <c r="B1294" i="5" l="1"/>
  <c r="C1293" i="5" a="1"/>
  <c r="C1293" i="5" s="1"/>
  <c r="A1293" i="5" a="1"/>
  <c r="A1293" i="5" s="1"/>
  <c r="A1294" i="5" l="1" a="1"/>
  <c r="A1294" i="5" s="1"/>
  <c r="C1294" i="5" a="1"/>
  <c r="C1294" i="5" s="1"/>
  <c r="B1295" i="5"/>
  <c r="C1295" i="5" l="1" a="1"/>
  <c r="C1295" i="5" s="1"/>
  <c r="B1296" i="5"/>
  <c r="A1295" i="5" a="1"/>
  <c r="A1295" i="5" s="1"/>
  <c r="B1297" i="5" l="1"/>
  <c r="C1296" i="5" a="1"/>
  <c r="C1296" i="5" s="1"/>
  <c r="A1296" i="5" a="1"/>
  <c r="A1296" i="5" s="1"/>
  <c r="C1297" i="5" l="1" a="1"/>
  <c r="C1297" i="5" s="1"/>
  <c r="A1297" i="5" a="1"/>
  <c r="A1297" i="5" s="1"/>
  <c r="B1298" i="5"/>
  <c r="B1299" i="5" l="1"/>
  <c r="C1298" i="5" a="1"/>
  <c r="C1298" i="5" s="1"/>
  <c r="A1298" i="5" a="1"/>
  <c r="A1298" i="5" s="1"/>
  <c r="C1299" i="5" l="1" a="1"/>
  <c r="C1299" i="5" s="1"/>
  <c r="A1299" i="5" a="1"/>
  <c r="A1299" i="5" s="1"/>
  <c r="B1300" i="5"/>
  <c r="B1301" i="5" l="1"/>
  <c r="C1300" i="5" a="1"/>
  <c r="C1300" i="5" s="1"/>
  <c r="A1300" i="5" a="1"/>
  <c r="A1300" i="5" s="1"/>
  <c r="A1301" i="5" l="1" a="1"/>
  <c r="A1301" i="5" s="1"/>
  <c r="B1302" i="5"/>
  <c r="C1301" i="5" a="1"/>
  <c r="C1301" i="5" s="1"/>
  <c r="C1302" i="5" l="1" a="1"/>
  <c r="C1302" i="5" s="1"/>
  <c r="B1303" i="5"/>
  <c r="A1302" i="5" a="1"/>
  <c r="A1302" i="5" s="1"/>
  <c r="B1304" i="5" l="1"/>
  <c r="A1303" i="5" a="1"/>
  <c r="A1303" i="5" s="1"/>
  <c r="C1303" i="5" a="1"/>
  <c r="C1303" i="5" s="1"/>
  <c r="C1304" i="5" l="1" a="1"/>
  <c r="C1304" i="5" s="1"/>
  <c r="A1304" i="5" a="1"/>
  <c r="A1304" i="5" s="1"/>
  <c r="B1305" i="5"/>
  <c r="B1306" i="5" l="1"/>
  <c r="C1305" i="5" a="1"/>
  <c r="C1305" i="5" s="1"/>
  <c r="A1305" i="5" a="1"/>
  <c r="A1305" i="5" s="1"/>
  <c r="C1306" i="5" l="1" a="1"/>
  <c r="C1306" i="5" s="1"/>
  <c r="A1306" i="5" a="1"/>
  <c r="A1306" i="5" s="1"/>
  <c r="B1307" i="5"/>
  <c r="B1308" i="5" l="1"/>
  <c r="C1307" i="5" a="1"/>
  <c r="C1307" i="5" s="1"/>
  <c r="A1307" i="5" a="1"/>
  <c r="A1307" i="5" s="1"/>
  <c r="A1308" i="5" l="1" a="1"/>
  <c r="A1308" i="5" s="1"/>
  <c r="B1309" i="5"/>
  <c r="C1308" i="5" a="1"/>
  <c r="C1308" i="5" s="1"/>
  <c r="C1309" i="5" l="1" a="1"/>
  <c r="C1309" i="5" s="1"/>
  <c r="A1309" i="5" a="1"/>
  <c r="A1309" i="5" s="1"/>
  <c r="B1310" i="5"/>
  <c r="B1311" i="5" l="1"/>
  <c r="C1310" i="5" a="1"/>
  <c r="C1310" i="5" s="1"/>
  <c r="A1310" i="5" a="1"/>
  <c r="A1310" i="5" s="1"/>
  <c r="C1311" i="5" l="1" a="1"/>
  <c r="C1311" i="5" s="1"/>
  <c r="A1311" i="5" a="1"/>
  <c r="A1311" i="5" s="1"/>
  <c r="B1312" i="5"/>
  <c r="B1313" i="5" l="1"/>
  <c r="C1312" i="5" a="1"/>
  <c r="C1312" i="5" s="1"/>
  <c r="A1312" i="5" a="1"/>
  <c r="A1312" i="5" s="1"/>
  <c r="C1313" i="5" l="1" a="1"/>
  <c r="C1313" i="5" s="1"/>
  <c r="A1313" i="5" a="1"/>
  <c r="A1313" i="5" s="1"/>
  <c r="B1314" i="5"/>
  <c r="B1315" i="5" l="1"/>
  <c r="C1314" i="5" a="1"/>
  <c r="C1314" i="5" s="1"/>
  <c r="A1314" i="5" a="1"/>
  <c r="A1314" i="5" s="1"/>
  <c r="A1315" i="5" l="1" a="1"/>
  <c r="A1315" i="5" s="1"/>
  <c r="B1316" i="5"/>
  <c r="C1315" i="5" a="1"/>
  <c r="C1315" i="5" s="1"/>
  <c r="C1316" i="5" l="1" a="1"/>
  <c r="C1316" i="5" s="1"/>
  <c r="A1316" i="5" a="1"/>
  <c r="A1316" i="5" s="1"/>
  <c r="B1317" i="5"/>
  <c r="B1318" i="5" l="1"/>
  <c r="C1317" i="5" a="1"/>
  <c r="C1317" i="5" s="1"/>
  <c r="A1317" i="5" a="1"/>
  <c r="A1317" i="5" s="1"/>
  <c r="C1318" i="5" l="1" a="1"/>
  <c r="C1318" i="5" s="1"/>
  <c r="A1318" i="5" a="1"/>
  <c r="A1318" i="5" s="1"/>
  <c r="B1319" i="5"/>
  <c r="B1320" i="5" l="1"/>
  <c r="C1319" i="5" a="1"/>
  <c r="C1319" i="5" s="1"/>
  <c r="A1319" i="5" a="1"/>
  <c r="A1319" i="5" s="1"/>
  <c r="C1320" i="5" l="1" a="1"/>
  <c r="C1320" i="5" s="1"/>
  <c r="A1320" i="5" a="1"/>
  <c r="A1320" i="5" s="1"/>
  <c r="B1321" i="5"/>
  <c r="B1322" i="5" l="1"/>
  <c r="C1321" i="5" a="1"/>
  <c r="C1321" i="5" s="1"/>
  <c r="A1321" i="5" a="1"/>
  <c r="A1321" i="5" s="1"/>
  <c r="A1322" i="5" l="1" a="1"/>
  <c r="A1322" i="5" s="1"/>
  <c r="B1323" i="5"/>
  <c r="C1322" i="5" a="1"/>
  <c r="C1322" i="5" s="1"/>
  <c r="C1323" i="5" l="1" a="1"/>
  <c r="C1323" i="5" s="1"/>
  <c r="A1323" i="5" a="1"/>
  <c r="A1323" i="5" s="1"/>
  <c r="B1324" i="5"/>
  <c r="B1325" i="5" l="1"/>
  <c r="C1324" i="5" a="1"/>
  <c r="C1324" i="5" s="1"/>
  <c r="A1324" i="5" a="1"/>
  <c r="A1324" i="5" s="1"/>
  <c r="C1325" i="5" l="1" a="1"/>
  <c r="C1325" i="5" s="1"/>
  <c r="A1325" i="5" a="1"/>
  <c r="A1325" i="5" s="1"/>
  <c r="B1326" i="5"/>
  <c r="B1327" i="5" l="1"/>
  <c r="C1326" i="5" a="1"/>
  <c r="C1326" i="5" s="1"/>
  <c r="A1326" i="5" a="1"/>
  <c r="A1326" i="5" s="1"/>
  <c r="C1327" i="5" l="1" a="1"/>
  <c r="C1327" i="5" s="1"/>
  <c r="A1327" i="5" a="1"/>
  <c r="A1327" i="5" s="1"/>
  <c r="B1328" i="5"/>
  <c r="B1329" i="5" l="1"/>
  <c r="C1328" i="5" a="1"/>
  <c r="C1328" i="5" s="1"/>
  <c r="A1328" i="5" a="1"/>
  <c r="A1328" i="5" s="1"/>
  <c r="A1329" i="5" l="1" a="1"/>
  <c r="A1329" i="5" s="1"/>
  <c r="B1330" i="5"/>
  <c r="C1329" i="5" a="1"/>
  <c r="C1329" i="5" s="1"/>
  <c r="C1330" i="5" l="1" a="1"/>
  <c r="C1330" i="5" s="1"/>
  <c r="A1330" i="5" a="1"/>
  <c r="A1330" i="5" s="1"/>
  <c r="B1331" i="5"/>
  <c r="B1332" i="5" l="1"/>
  <c r="C1331" i="5" a="1"/>
  <c r="C1331" i="5" s="1"/>
  <c r="A1331" i="5" a="1"/>
  <c r="A1331" i="5" s="1"/>
  <c r="C1332" i="5" l="1" a="1"/>
  <c r="C1332" i="5" s="1"/>
  <c r="A1332" i="5" a="1"/>
  <c r="A1332" i="5" s="1"/>
  <c r="B1333" i="5"/>
  <c r="B1334" i="5" l="1"/>
  <c r="C1333" i="5" a="1"/>
  <c r="C1333" i="5" s="1"/>
  <c r="A1333" i="5" a="1"/>
  <c r="A1333" i="5" s="1"/>
  <c r="C1334" i="5" l="1" a="1"/>
  <c r="C1334" i="5" s="1"/>
  <c r="A1334" i="5" a="1"/>
  <c r="A1334" i="5" s="1"/>
  <c r="B1335" i="5"/>
  <c r="B1336" i="5" l="1"/>
  <c r="C1335" i="5" a="1"/>
  <c r="C1335" i="5" s="1"/>
  <c r="A1335" i="5" a="1"/>
  <c r="A1335" i="5" s="1"/>
  <c r="A1336" i="5" l="1" a="1"/>
  <c r="A1336" i="5" s="1"/>
  <c r="B1337" i="5"/>
  <c r="C1336" i="5" a="1"/>
  <c r="C1336" i="5" s="1"/>
  <c r="C1337" i="5" l="1" a="1"/>
  <c r="C1337" i="5" s="1"/>
  <c r="A1337" i="5" a="1"/>
  <c r="A1337" i="5" s="1"/>
  <c r="B1338" i="5"/>
  <c r="B1339" i="5" l="1"/>
  <c r="C1338" i="5" a="1"/>
  <c r="C1338" i="5" s="1"/>
  <c r="A1338" i="5" a="1"/>
  <c r="A1338" i="5" s="1"/>
  <c r="C1339" i="5" l="1" a="1"/>
  <c r="C1339" i="5" s="1"/>
  <c r="A1339" i="5" a="1"/>
  <c r="A1339" i="5" s="1"/>
  <c r="B1340" i="5"/>
  <c r="B1341" i="5" l="1"/>
  <c r="C1340" i="5" a="1"/>
  <c r="C1340" i="5" s="1"/>
  <c r="A1340" i="5" a="1"/>
  <c r="A1340" i="5" s="1"/>
  <c r="C1341" i="5" l="1" a="1"/>
  <c r="C1341" i="5" s="1"/>
  <c r="A1341" i="5" a="1"/>
  <c r="A1341" i="5" s="1"/>
  <c r="B1342" i="5"/>
  <c r="B1343" i="5" l="1"/>
  <c r="C1342" i="5" a="1"/>
  <c r="C1342" i="5" s="1"/>
  <c r="A1342" i="5" a="1"/>
  <c r="A1342" i="5" s="1"/>
  <c r="A1343" i="5" l="1" a="1"/>
  <c r="A1343" i="5" s="1"/>
  <c r="B1344" i="5"/>
  <c r="C1343" i="5" a="1"/>
  <c r="C1343" i="5" s="1"/>
  <c r="C1344" i="5" l="1" a="1"/>
  <c r="C1344" i="5" s="1"/>
  <c r="A1344" i="5" a="1"/>
  <c r="A1344" i="5" s="1"/>
  <c r="B1345" i="5"/>
  <c r="B1346" i="5" l="1"/>
  <c r="C1345" i="5" a="1"/>
  <c r="C1345" i="5" s="1"/>
  <c r="A1345" i="5" a="1"/>
  <c r="A1345" i="5" s="1"/>
  <c r="C1346" i="5" l="1" a="1"/>
  <c r="C1346" i="5" s="1"/>
  <c r="A1346" i="5" a="1"/>
  <c r="A1346" i="5" s="1"/>
  <c r="B1347" i="5"/>
  <c r="B1348" i="5" l="1"/>
  <c r="C1347" i="5" a="1"/>
  <c r="C1347" i="5" s="1"/>
  <c r="A1347" i="5" a="1"/>
  <c r="A1347" i="5" s="1"/>
  <c r="C1348" i="5" l="1" a="1"/>
  <c r="C1348" i="5" s="1"/>
  <c r="A1348" i="5" a="1"/>
  <c r="A1348" i="5" s="1"/>
  <c r="B1349" i="5"/>
  <c r="B1350" i="5" l="1"/>
  <c r="C1349" i="5" a="1"/>
  <c r="C1349" i="5" s="1"/>
  <c r="A1349" i="5" a="1"/>
  <c r="A1349" i="5" s="1"/>
  <c r="A1350" i="5" l="1" a="1"/>
  <c r="A1350" i="5" s="1"/>
  <c r="B1351" i="5"/>
  <c r="I1348" i="5" s="1"/>
  <c r="C1350" i="5" a="1"/>
  <c r="C1350" i="5" s="1"/>
  <c r="C1351" i="5" l="1" a="1"/>
  <c r="C1351" i="5" s="1"/>
  <c r="A1351" i="5" a="1"/>
  <c r="A1351" i="5" s="1"/>
  <c r="B1352" i="5"/>
  <c r="B1353" i="5" l="1"/>
  <c r="C1352" i="5" a="1"/>
  <c r="C1352" i="5" s="1"/>
  <c r="A1352" i="5" a="1"/>
  <c r="A1352" i="5" s="1"/>
  <c r="C1353" i="5" l="1" a="1"/>
  <c r="C1353" i="5" s="1"/>
  <c r="A1353" i="5" a="1"/>
  <c r="A1353" i="5" s="1"/>
  <c r="B1354" i="5"/>
  <c r="B1355" i="5" l="1"/>
  <c r="C1354" i="5" a="1"/>
  <c r="C1354" i="5" s="1"/>
  <c r="A1354" i="5" a="1"/>
  <c r="A1354" i="5" s="1"/>
  <c r="C1355" i="5" l="1" a="1"/>
  <c r="C1355" i="5" s="1"/>
  <c r="A1355" i="5" a="1"/>
  <c r="A1355" i="5" s="1"/>
  <c r="B1356" i="5"/>
  <c r="B1357" i="5" l="1"/>
  <c r="C1356" i="5" a="1"/>
  <c r="C1356" i="5" s="1"/>
  <c r="A1356" i="5" a="1"/>
  <c r="A1356" i="5" s="1"/>
  <c r="A1357" i="5" l="1" a="1"/>
  <c r="A1357" i="5" s="1"/>
  <c r="B1358" i="5"/>
  <c r="C1357" i="5" a="1"/>
  <c r="C1357" i="5" s="1"/>
  <c r="C1358" i="5" l="1" a="1"/>
  <c r="C1358" i="5" s="1"/>
  <c r="A1358" i="5" a="1"/>
  <c r="A1358" i="5" s="1"/>
  <c r="B1359" i="5"/>
  <c r="B1360" i="5" l="1"/>
  <c r="C1359" i="5" a="1"/>
  <c r="C1359" i="5" s="1"/>
  <c r="A1359" i="5" a="1"/>
  <c r="A1359" i="5" s="1"/>
  <c r="C1360" i="5" l="1" a="1"/>
  <c r="C1360" i="5" s="1"/>
  <c r="A1360" i="5" a="1"/>
  <c r="A1360" i="5" s="1"/>
  <c r="B1361" i="5"/>
  <c r="B1362" i="5" l="1"/>
  <c r="I1361" i="5"/>
  <c r="C1361" i="5" a="1"/>
  <c r="C1361" i="5" s="1"/>
  <c r="A1361" i="5" a="1"/>
  <c r="A1361" i="5" s="1"/>
  <c r="C1362" i="5" l="1" a="1"/>
  <c r="C1362" i="5" s="1"/>
  <c r="A1362" i="5" a="1"/>
  <c r="A1362" i="5" s="1"/>
  <c r="B1363" i="5"/>
  <c r="B1364" i="5" l="1"/>
  <c r="C1363" i="5" a="1"/>
  <c r="C1363" i="5" s="1"/>
  <c r="A1363" i="5" a="1"/>
  <c r="A1363" i="5" s="1"/>
  <c r="A1364" i="5" l="1" a="1"/>
  <c r="A1364" i="5" s="1"/>
  <c r="B1365" i="5"/>
  <c r="C1364" i="5" a="1"/>
  <c r="C1364" i="5" s="1"/>
  <c r="C1365" i="5" l="1" a="1"/>
  <c r="C1365" i="5" s="1"/>
  <c r="A1365" i="5" a="1"/>
  <c r="A1365" i="5" s="1"/>
  <c r="B1366" i="5"/>
  <c r="C1366" i="5" l="1" a="1"/>
  <c r="C1366" i="5" s="1"/>
  <c r="B1367" i="5"/>
  <c r="A1366" i="5" a="1"/>
  <c r="A1366" i="5" s="1"/>
  <c r="B1368" i="5" l="1"/>
  <c r="C1367" i="5" a="1"/>
  <c r="C1367" i="5" s="1"/>
  <c r="A1367" i="5" a="1"/>
  <c r="A1367" i="5" s="1"/>
  <c r="B1369" i="5" l="1"/>
  <c r="A1368" i="5" a="1"/>
  <c r="A1368" i="5" s="1"/>
  <c r="C1368" i="5" a="1"/>
  <c r="C1368" i="5" s="1"/>
  <c r="C1369" i="5" l="1" a="1"/>
  <c r="C1369" i="5" s="1"/>
  <c r="A1369" i="5" a="1"/>
  <c r="A1369" i="5" s="1"/>
  <c r="B1370" i="5"/>
  <c r="A1370" i="5" l="1" a="1"/>
  <c r="A1370" i="5" s="1"/>
  <c r="B1371" i="5"/>
  <c r="C1370" i="5" a="1"/>
  <c r="C1370" i="5" s="1"/>
  <c r="C1371" i="5" l="1" a="1"/>
  <c r="C1371" i="5" s="1"/>
  <c r="A1371" i="5" a="1"/>
  <c r="A1371" i="5" s="1"/>
  <c r="B1372" i="5"/>
  <c r="A1372" i="5" l="1" a="1"/>
  <c r="A1372" i="5" s="1"/>
  <c r="B1373" i="5"/>
  <c r="C1372" i="5" a="1"/>
  <c r="C1372" i="5" s="1"/>
  <c r="C1373" i="5" l="1" a="1"/>
  <c r="C1373" i="5" s="1"/>
  <c r="A1373" i="5" a="1"/>
  <c r="A1373" i="5" s="1"/>
  <c r="B1374" i="5"/>
  <c r="B1375" i="5" l="1"/>
  <c r="A1374" i="5" a="1"/>
  <c r="A1374" i="5" s="1"/>
  <c r="C1374" i="5" a="1"/>
  <c r="C1374" i="5" s="1"/>
  <c r="C1375" i="5" l="1" a="1"/>
  <c r="C1375" i="5" s="1"/>
  <c r="A1375" i="5" a="1"/>
  <c r="A1375" i="5" s="1"/>
  <c r="B1376" i="5"/>
  <c r="B1377" i="5" l="1"/>
  <c r="A1376" i="5" a="1"/>
  <c r="A1376" i="5" s="1"/>
  <c r="C1376" i="5" a="1"/>
  <c r="C1376" i="5" s="1"/>
  <c r="A1377" i="5" l="1" a="1"/>
  <c r="A1377" i="5" s="1"/>
  <c r="C1377" i="5" a="1"/>
  <c r="C1377" i="5" s="1"/>
  <c r="B1378" i="5"/>
  <c r="B1379" i="5" l="1"/>
  <c r="A1378" i="5" a="1"/>
  <c r="A1378" i="5" s="1"/>
  <c r="C1378" i="5" a="1"/>
  <c r="C1378" i="5" s="1"/>
  <c r="C1379" i="5" l="1" a="1"/>
  <c r="C1379" i="5" s="1"/>
  <c r="A1379" i="5" a="1"/>
  <c r="A1379" i="5" s="1"/>
  <c r="B1380" i="5"/>
  <c r="C1380" i="5" l="1" a="1"/>
  <c r="C1380" i="5" s="1"/>
  <c r="B1381" i="5"/>
  <c r="A1380" i="5" a="1"/>
  <c r="A1380" i="5" s="1"/>
  <c r="B1382" i="5" l="1"/>
  <c r="C1381" i="5" a="1"/>
  <c r="C1381" i="5" s="1"/>
  <c r="A1381" i="5" a="1"/>
  <c r="A1381" i="5" s="1"/>
  <c r="A1382" i="5" l="1" a="1"/>
  <c r="A1382" i="5" s="1"/>
  <c r="B1383" i="5"/>
  <c r="C1382" i="5" a="1"/>
  <c r="C1382" i="5" s="1"/>
  <c r="B1384" i="5" l="1"/>
  <c r="C1383" i="5" a="1"/>
  <c r="C1383" i="5" s="1"/>
  <c r="A1383" i="5" a="1"/>
  <c r="A1383" i="5" s="1"/>
  <c r="A1384" i="5" l="1" a="1"/>
  <c r="A1384" i="5" s="1"/>
  <c r="B1385" i="5"/>
  <c r="C1384" i="5" a="1"/>
  <c r="C1384" i="5" s="1"/>
  <c r="B1386" i="5" l="1"/>
  <c r="C1385" i="5" a="1"/>
  <c r="C1385" i="5" s="1"/>
  <c r="A1385" i="5" a="1"/>
  <c r="A1385" i="5" s="1"/>
  <c r="A1386" i="5" l="1" a="1"/>
  <c r="A1386" i="5" s="1"/>
  <c r="B1387" i="5"/>
  <c r="C1386" i="5" a="1"/>
  <c r="C1386" i="5" s="1"/>
  <c r="C1387" i="5" l="1" a="1"/>
  <c r="C1387" i="5" s="1"/>
  <c r="B1388" i="5"/>
  <c r="A1387" i="5" a="1"/>
  <c r="A1387" i="5" s="1"/>
  <c r="B1389" i="5" l="1"/>
  <c r="A1388" i="5" a="1"/>
  <c r="A1388" i="5" s="1"/>
  <c r="C1388" i="5" a="1"/>
  <c r="C1388" i="5" s="1"/>
  <c r="A1389" i="5" l="1" a="1"/>
  <c r="A1389" i="5" s="1"/>
  <c r="B1390" i="5"/>
  <c r="C1389" i="5" a="1"/>
  <c r="C1389" i="5" s="1"/>
  <c r="C1390" i="5" l="1" a="1"/>
  <c r="C1390" i="5" s="1"/>
  <c r="A1390" i="5" a="1"/>
  <c r="A1390" i="5" s="1"/>
  <c r="B1391" i="5"/>
  <c r="A1391" i="5" l="1" a="1"/>
  <c r="A1391" i="5" s="1"/>
  <c r="B1392" i="5"/>
  <c r="C1391" i="5" a="1"/>
  <c r="C1391" i="5" s="1"/>
  <c r="C1392" i="5" l="1" a="1"/>
  <c r="C1392" i="5" s="1"/>
  <c r="A1392" i="5" a="1"/>
  <c r="A1392" i="5" s="1"/>
  <c r="B1393" i="5"/>
  <c r="B1394" i="5" l="1"/>
  <c r="C1393" i="5" a="1"/>
  <c r="C1393" i="5" s="1"/>
  <c r="A1393" i="5" a="1"/>
  <c r="A1393" i="5" s="1"/>
  <c r="C1394" i="5" l="1" a="1"/>
  <c r="C1394" i="5" s="1"/>
  <c r="A1394" i="5" a="1"/>
  <c r="A1394" i="5" s="1"/>
  <c r="B1395" i="5"/>
  <c r="B1396" i="5" l="1"/>
  <c r="C1395" i="5" a="1"/>
  <c r="C1395" i="5" s="1"/>
  <c r="A1395" i="5" a="1"/>
  <c r="A1395" i="5" s="1"/>
  <c r="A1396" i="5" l="1" a="1"/>
  <c r="A1396" i="5" s="1"/>
  <c r="C1396" i="5" a="1"/>
  <c r="C1396" i="5" s="1"/>
  <c r="B1397" i="5"/>
  <c r="B1398" i="5" l="1"/>
  <c r="C1397" i="5" a="1"/>
  <c r="C1397" i="5" s="1"/>
  <c r="A1397" i="5" a="1"/>
  <c r="A1397" i="5" s="1"/>
  <c r="A1398" i="5" l="1" a="1"/>
  <c r="A1398" i="5" s="1"/>
  <c r="C1398" i="5" a="1"/>
  <c r="C1398" i="5" s="1"/>
  <c r="B1399" i="5"/>
  <c r="A1399" i="5" l="1" a="1"/>
  <c r="A1399" i="5" s="1"/>
  <c r="B1400" i="5"/>
  <c r="C1399" i="5" a="1"/>
  <c r="C1399" i="5" s="1"/>
  <c r="C1400" i="5" l="1" a="1"/>
  <c r="C1400" i="5" s="1"/>
  <c r="A1400" i="5" a="1"/>
  <c r="A1400" i="5" s="1"/>
  <c r="B1401" i="5"/>
  <c r="C1401" i="5" l="1" a="1"/>
  <c r="C1401" i="5" s="1"/>
  <c r="A1401" i="5" a="1"/>
  <c r="A1401" i="5" s="1"/>
  <c r="B1402" i="5"/>
  <c r="B1403" i="5" l="1"/>
  <c r="C1402" i="5" a="1"/>
  <c r="C1402" i="5" s="1"/>
  <c r="A1402" i="5" a="1"/>
  <c r="A1402" i="5" s="1"/>
  <c r="A1403" i="5" l="1" a="1"/>
  <c r="A1403" i="5" s="1"/>
  <c r="C1403" i="5" a="1"/>
  <c r="C1403" i="5" s="1"/>
  <c r="B1404" i="5"/>
  <c r="B1405" i="5" l="1"/>
  <c r="C1404" i="5" a="1"/>
  <c r="C1404" i="5" s="1"/>
  <c r="A1404" i="5" a="1"/>
  <c r="A1404" i="5" s="1"/>
  <c r="A1405" i="5" l="1" a="1"/>
  <c r="A1405" i="5" s="1"/>
  <c r="C1405" i="5" a="1"/>
  <c r="C1405" i="5" s="1"/>
  <c r="B1406" i="5"/>
  <c r="B1407" i="5" l="1"/>
  <c r="C1406" i="5" a="1"/>
  <c r="C1406" i="5" s="1"/>
  <c r="A1406" i="5" a="1"/>
  <c r="A1406" i="5" s="1"/>
  <c r="C1407" i="5" l="1" a="1"/>
  <c r="C1407" i="5" s="1"/>
  <c r="A1407" i="5" a="1"/>
  <c r="A1407" i="5" s="1"/>
  <c r="B1408" i="5"/>
  <c r="C1408" i="5" l="1" a="1"/>
  <c r="C1408" i="5" s="1"/>
  <c r="B1409" i="5"/>
  <c r="A1408" i="5" a="1"/>
  <c r="A1408" i="5" s="1"/>
  <c r="B1410" i="5" l="1"/>
  <c r="C1409" i="5" a="1"/>
  <c r="C1409" i="5" s="1"/>
  <c r="A1409" i="5" a="1"/>
  <c r="A1409" i="5" s="1"/>
  <c r="C1410" i="5" l="1" a="1"/>
  <c r="C1410" i="5" s="1"/>
  <c r="A1410" i="5" a="1"/>
  <c r="A1410" i="5" s="1"/>
  <c r="B1411" i="5"/>
  <c r="B1412" i="5" l="1"/>
  <c r="C1411" i="5" a="1"/>
  <c r="C1411" i="5" s="1"/>
  <c r="A1411" i="5" a="1"/>
  <c r="A1411" i="5" s="1"/>
  <c r="A1412" i="5" l="1" a="1"/>
  <c r="A1412" i="5" s="1"/>
  <c r="C1412" i="5" a="1"/>
  <c r="C1412" i="5" s="1"/>
  <c r="B1413" i="5"/>
  <c r="B1414" i="5" l="1"/>
  <c r="C1413" i="5" a="1"/>
  <c r="C1413" i="5" s="1"/>
  <c r="A1413" i="5" a="1"/>
  <c r="A1413" i="5" s="1"/>
  <c r="C1414" i="5" l="1" a="1"/>
  <c r="C1414" i="5" s="1"/>
  <c r="A1414" i="5" a="1"/>
  <c r="A1414" i="5" s="1"/>
  <c r="B1415" i="5"/>
  <c r="C1415" i="5" l="1" a="1"/>
  <c r="C1415" i="5" s="1"/>
  <c r="B1416" i="5"/>
  <c r="A1415" i="5" a="1"/>
  <c r="A1415" i="5" s="1"/>
  <c r="B1417" i="5" l="1"/>
  <c r="C1416" i="5" a="1"/>
  <c r="C1416" i="5" s="1"/>
  <c r="A1416" i="5" a="1"/>
  <c r="A1416" i="5" s="1"/>
  <c r="C1417" i="5" l="1" a="1"/>
  <c r="C1417" i="5" s="1"/>
  <c r="A1417" i="5" a="1"/>
  <c r="A1417" i="5" s="1"/>
  <c r="B1418" i="5"/>
  <c r="B1419" i="5" l="1"/>
  <c r="C1418" i="5" a="1"/>
  <c r="C1418" i="5" s="1"/>
  <c r="A1418" i="5" a="1"/>
  <c r="A1418" i="5" s="1"/>
  <c r="A1419" i="5" l="1" a="1"/>
  <c r="A1419" i="5" s="1"/>
  <c r="C1419" i="5" a="1"/>
  <c r="C1419" i="5" s="1"/>
  <c r="B1420" i="5"/>
  <c r="I1420" i="5" l="1"/>
  <c r="B1421" i="5"/>
  <c r="C1420" i="5" a="1"/>
  <c r="C1420" i="5" s="1"/>
  <c r="A1420" i="5" a="1"/>
  <c r="A1420" i="5" s="1"/>
  <c r="C1421" i="5" l="1" a="1"/>
  <c r="C1421" i="5" s="1"/>
  <c r="A1421" i="5" a="1"/>
  <c r="A1421" i="5" s="1"/>
  <c r="B1422" i="5"/>
  <c r="C1422" i="5" l="1" a="1"/>
  <c r="C1422" i="5" s="1"/>
  <c r="B1423" i="5"/>
  <c r="A1422" i="5" a="1"/>
  <c r="A1422" i="5" s="1"/>
  <c r="B1424" i="5" l="1"/>
  <c r="C1423" i="5" a="1"/>
  <c r="C1423" i="5" s="1"/>
  <c r="A1423" i="5" a="1"/>
  <c r="A1423" i="5" s="1"/>
  <c r="C1424" i="5" l="1" a="1"/>
  <c r="C1424" i="5" s="1"/>
  <c r="A1424" i="5" a="1"/>
  <c r="A1424" i="5" s="1"/>
  <c r="B1425" i="5"/>
  <c r="B1426" i="5" l="1"/>
  <c r="C1425" i="5" a="1"/>
  <c r="C1425" i="5" s="1"/>
  <c r="A1425" i="5" a="1"/>
  <c r="A1425" i="5" s="1"/>
  <c r="A1426" i="5" l="1" a="1"/>
  <c r="A1426" i="5" s="1"/>
  <c r="B1427" i="5"/>
  <c r="C1426" i="5" a="1"/>
  <c r="C1426" i="5" s="1"/>
  <c r="C1427" i="5" l="1" a="1"/>
  <c r="C1427" i="5" s="1"/>
  <c r="B1428" i="5"/>
  <c r="A1427" i="5" a="1"/>
  <c r="A1427" i="5" s="1"/>
  <c r="B1429" i="5" l="1"/>
  <c r="C1428" i="5" a="1"/>
  <c r="C1428" i="5" s="1"/>
  <c r="A1428" i="5" a="1"/>
  <c r="A1428" i="5" s="1"/>
  <c r="C1429" i="5" l="1" a="1"/>
  <c r="C1429" i="5" s="1"/>
  <c r="A1429" i="5" a="1"/>
  <c r="A1429" i="5" s="1"/>
  <c r="B1430" i="5"/>
  <c r="B1431" i="5" l="1"/>
  <c r="C1430" i="5" a="1"/>
  <c r="C1430" i="5" s="1"/>
  <c r="A1430" i="5" a="1"/>
  <c r="A1430" i="5" s="1"/>
  <c r="C1431" i="5" l="1" a="1"/>
  <c r="C1431" i="5" s="1"/>
  <c r="A1431" i="5" a="1"/>
  <c r="A1431" i="5" s="1"/>
  <c r="B1432" i="5"/>
  <c r="B1433" i="5" l="1"/>
  <c r="C1432" i="5" a="1"/>
  <c r="C1432" i="5" s="1"/>
  <c r="A1432" i="5" a="1"/>
  <c r="A1432" i="5" s="1"/>
  <c r="A1433" i="5" l="1" a="1"/>
  <c r="A1433" i="5" s="1"/>
  <c r="B1434" i="5"/>
  <c r="C1433" i="5" a="1"/>
  <c r="C1433" i="5" s="1"/>
  <c r="C1434" i="5" l="1" a="1"/>
  <c r="C1434" i="5" s="1"/>
  <c r="B1435" i="5"/>
  <c r="A1434" i="5" a="1"/>
  <c r="A1434" i="5" s="1"/>
  <c r="B1436" i="5" l="1"/>
  <c r="A1435" i="5" a="1"/>
  <c r="A1435" i="5" s="1"/>
  <c r="C1435" i="5" a="1"/>
  <c r="C1435" i="5" s="1"/>
  <c r="C1436" i="5" l="1" a="1"/>
  <c r="C1436" i="5" s="1"/>
  <c r="B1437" i="5"/>
  <c r="A1436" i="5" a="1"/>
  <c r="A1436" i="5" s="1"/>
  <c r="B1438" i="5" l="1"/>
  <c r="C1437" i="5" a="1"/>
  <c r="C1437" i="5" s="1"/>
  <c r="A1437" i="5" a="1"/>
  <c r="A1437" i="5" s="1"/>
  <c r="C1438" i="5" l="1" a="1"/>
  <c r="C1438" i="5" s="1"/>
  <c r="A1438" i="5" a="1"/>
  <c r="A1438" i="5" s="1"/>
  <c r="B1439" i="5"/>
  <c r="B1440" i="5" l="1"/>
  <c r="C1439" i="5" a="1"/>
  <c r="C1439" i="5" s="1"/>
  <c r="A1439" i="5" a="1"/>
  <c r="A1439" i="5" s="1"/>
  <c r="A1440" i="5" l="1" a="1"/>
  <c r="A1440" i="5" s="1"/>
  <c r="B1441" i="5"/>
  <c r="C1440" i="5" a="1"/>
  <c r="C1440" i="5" s="1"/>
  <c r="C1441" i="5" l="1" a="1"/>
  <c r="C1441" i="5" s="1"/>
  <c r="A1441" i="5" a="1"/>
  <c r="A1441" i="5" s="1"/>
  <c r="B1442" i="5"/>
  <c r="B1443" i="5" l="1"/>
  <c r="C1442" i="5" a="1"/>
  <c r="C1442" i="5" s="1"/>
  <c r="A1442" i="5" a="1"/>
  <c r="A1442" i="5" s="1"/>
  <c r="C1443" i="5" l="1" a="1"/>
  <c r="C1443" i="5" s="1"/>
  <c r="A1443" i="5" a="1"/>
  <c r="A1443" i="5" s="1"/>
  <c r="B1444" i="5"/>
  <c r="B1445" i="5" l="1"/>
  <c r="C1444" i="5" a="1"/>
  <c r="C1444" i="5" s="1"/>
  <c r="A1444" i="5" a="1"/>
  <c r="A1444" i="5" s="1"/>
  <c r="C1445" i="5" l="1" a="1"/>
  <c r="C1445" i="5" s="1"/>
  <c r="A1445" i="5" a="1"/>
  <c r="A1445" i="5" s="1"/>
  <c r="B1446" i="5"/>
  <c r="B1447" i="5" l="1"/>
  <c r="C1446" i="5" a="1"/>
  <c r="C1446" i="5" s="1"/>
  <c r="A1446" i="5" a="1"/>
  <c r="A1446" i="5" s="1"/>
  <c r="A1447" i="5" l="1" a="1"/>
  <c r="A1447" i="5" s="1"/>
  <c r="B1448" i="5"/>
  <c r="C1447" i="5" a="1"/>
  <c r="C1447" i="5" s="1"/>
  <c r="C1448" i="5" l="1" a="1"/>
  <c r="C1448" i="5" s="1"/>
  <c r="A1448" i="5" a="1"/>
  <c r="A1448" i="5" s="1"/>
  <c r="B1449" i="5"/>
  <c r="B1450" i="5" l="1"/>
  <c r="C1449" i="5" a="1"/>
  <c r="C1449" i="5" s="1"/>
  <c r="A1449" i="5" a="1"/>
  <c r="A1449" i="5" s="1"/>
  <c r="C1450" i="5" l="1" a="1"/>
  <c r="C1450" i="5" s="1"/>
  <c r="A1450" i="5" a="1"/>
  <c r="A1450" i="5" s="1"/>
  <c r="B1451" i="5"/>
  <c r="B1452" i="5" l="1"/>
  <c r="C1451" i="5" a="1"/>
  <c r="C1451" i="5" s="1"/>
  <c r="A1451" i="5" a="1"/>
  <c r="A1451" i="5" s="1"/>
  <c r="C1452" i="5" l="1" a="1"/>
  <c r="C1452" i="5" s="1"/>
  <c r="A1452" i="5" a="1"/>
  <c r="A1452" i="5" s="1"/>
  <c r="B1453" i="5"/>
  <c r="B1454" i="5" l="1"/>
  <c r="C1453" i="5" a="1"/>
  <c r="C1453" i="5" s="1"/>
  <c r="A1453" i="5" a="1"/>
  <c r="A1453" i="5" s="1"/>
  <c r="A1454" i="5" l="1" a="1"/>
  <c r="A1454" i="5" s="1"/>
  <c r="B1455" i="5"/>
  <c r="C1454" i="5" a="1"/>
  <c r="C1454" i="5" s="1"/>
  <c r="C1455" i="5" l="1" a="1"/>
  <c r="C1455" i="5" s="1"/>
  <c r="A1455" i="5" a="1"/>
  <c r="A1455" i="5" s="1"/>
  <c r="B1456" i="5"/>
  <c r="B1457" i="5" l="1"/>
  <c r="C1456" i="5" a="1"/>
  <c r="C1456" i="5" s="1"/>
  <c r="A1456" i="5" a="1"/>
  <c r="A1456" i="5" s="1"/>
  <c r="C1457" i="5" l="1" a="1"/>
  <c r="C1457" i="5" s="1"/>
  <c r="A1457" i="5" a="1"/>
  <c r="A1457" i="5" s="1"/>
  <c r="B1458" i="5"/>
  <c r="B1459" i="5" l="1"/>
  <c r="C1458" i="5" a="1"/>
  <c r="C1458" i="5" s="1"/>
  <c r="A1458" i="5" a="1"/>
  <c r="A1458" i="5" s="1"/>
  <c r="C1459" i="5" l="1" a="1"/>
  <c r="C1459" i="5" s="1"/>
  <c r="A1459" i="5" a="1"/>
  <c r="A1459" i="5" s="1"/>
  <c r="B1460" i="5"/>
  <c r="B1461" i="5" l="1"/>
  <c r="C1460" i="5" a="1"/>
  <c r="C1460" i="5" s="1"/>
  <c r="A1460" i="5" a="1"/>
  <c r="A1460" i="5" s="1"/>
  <c r="A1461" i="5" l="1" a="1"/>
  <c r="A1461" i="5" s="1"/>
  <c r="B1462" i="5"/>
  <c r="C1461" i="5" a="1"/>
  <c r="C1461" i="5" s="1"/>
  <c r="I1461" i="5"/>
  <c r="C1462" i="5" l="1" a="1"/>
  <c r="C1462" i="5" s="1"/>
  <c r="A1462" i="5" a="1"/>
  <c r="A1462" i="5" s="1"/>
  <c r="B1463" i="5"/>
  <c r="B1464" i="5" l="1"/>
  <c r="C1463" i="5" a="1"/>
  <c r="C1463" i="5" s="1"/>
  <c r="A1463" i="5" a="1"/>
  <c r="A1463" i="5" s="1"/>
  <c r="C1464" i="5" l="1" a="1"/>
  <c r="C1464" i="5" s="1"/>
  <c r="A1464" i="5" a="1"/>
  <c r="A1464" i="5" s="1"/>
  <c r="B1465" i="5"/>
  <c r="B1466" i="5" l="1"/>
  <c r="C1465" i="5" a="1"/>
  <c r="C1465" i="5" s="1"/>
  <c r="A1465" i="5" a="1"/>
  <c r="A1465" i="5" s="1"/>
  <c r="C1466" i="5" l="1" a="1"/>
  <c r="C1466" i="5" s="1"/>
  <c r="A1466" i="5" a="1"/>
  <c r="A1466" i="5" s="1"/>
  <c r="B1467" i="5"/>
  <c r="B1468" i="5" l="1"/>
  <c r="C1467" i="5" a="1"/>
  <c r="C1467" i="5" s="1"/>
  <c r="A1467" i="5" a="1"/>
  <c r="A1467" i="5" s="1"/>
  <c r="A1468" i="5" l="1" a="1"/>
  <c r="A1468" i="5" s="1"/>
  <c r="B1469" i="5"/>
  <c r="C1468" i="5" a="1"/>
  <c r="C1468" i="5" s="1"/>
  <c r="C1469" i="5" l="1" a="1"/>
  <c r="C1469" i="5" s="1"/>
  <c r="A1469" i="5" a="1"/>
  <c r="A1469" i="5" s="1"/>
  <c r="B1470" i="5"/>
  <c r="B1471" i="5" l="1"/>
  <c r="C1470" i="5" a="1"/>
  <c r="C1470" i="5" s="1"/>
  <c r="A1470" i="5" a="1"/>
  <c r="A1470" i="5" s="1"/>
  <c r="C1471" i="5" l="1" a="1"/>
  <c r="C1471" i="5" s="1"/>
  <c r="A1471" i="5" a="1"/>
  <c r="A1471" i="5" s="1"/>
  <c r="B1472" i="5"/>
  <c r="B1473" i="5" l="1"/>
  <c r="C1472" i="5" a="1"/>
  <c r="C1472" i="5" s="1"/>
  <c r="A1472" i="5" a="1"/>
  <c r="A1472" i="5" s="1"/>
  <c r="C1473" i="5" l="1" a="1"/>
  <c r="C1473" i="5" s="1"/>
  <c r="A1473" i="5" a="1"/>
  <c r="A1473" i="5" s="1"/>
  <c r="B1474" i="5"/>
  <c r="B1475" i="5" l="1"/>
  <c r="C1474" i="5" a="1"/>
  <c r="C1474" i="5" s="1"/>
  <c r="A1474" i="5" a="1"/>
  <c r="A1474" i="5" s="1"/>
  <c r="A1475" i="5" l="1" a="1"/>
  <c r="A1475" i="5" s="1"/>
  <c r="B1476" i="5"/>
  <c r="C1475" i="5" a="1"/>
  <c r="C1475" i="5" s="1"/>
  <c r="C1476" i="5" l="1" a="1"/>
  <c r="C1476" i="5" s="1"/>
  <c r="A1476" i="5" a="1"/>
  <c r="A1476" i="5" s="1"/>
  <c r="B1477" i="5"/>
  <c r="B1478" i="5" l="1"/>
  <c r="C1477" i="5" a="1"/>
  <c r="C1477" i="5" s="1"/>
  <c r="A1477" i="5" a="1"/>
  <c r="A1477" i="5" s="1"/>
  <c r="C1478" i="5" l="1" a="1"/>
  <c r="C1478" i="5" s="1"/>
  <c r="A1478" i="5" a="1"/>
  <c r="A1478" i="5" s="1"/>
  <c r="B1479" i="5"/>
  <c r="B1480" i="5" l="1"/>
  <c r="C1479" i="5" a="1"/>
  <c r="C1479" i="5" s="1"/>
  <c r="A1479" i="5" a="1"/>
  <c r="A1479" i="5" s="1"/>
  <c r="C1480" i="5" l="1" a="1"/>
  <c r="C1480" i="5" s="1"/>
  <c r="A1480" i="5" a="1"/>
  <c r="A1480" i="5" s="1"/>
  <c r="B1481" i="5"/>
  <c r="B1482" i="5" l="1"/>
  <c r="C1481" i="5" a="1"/>
  <c r="C1481" i="5" s="1"/>
  <c r="A1481" i="5" a="1"/>
  <c r="A1481" i="5" s="1"/>
  <c r="A1482" i="5" l="1" a="1"/>
  <c r="A1482" i="5" s="1"/>
  <c r="B1483" i="5"/>
  <c r="C1482" i="5" a="1"/>
  <c r="C1482" i="5" s="1"/>
  <c r="C1483" i="5" l="1" a="1"/>
  <c r="C1483" i="5" s="1"/>
  <c r="A1483" i="5" a="1"/>
  <c r="A1483" i="5" s="1"/>
  <c r="B1484" i="5"/>
  <c r="C1484" i="5" l="1" a="1"/>
  <c r="C1484" i="5" s="1"/>
  <c r="B1485" i="5"/>
  <c r="A1484" i="5" a="1"/>
  <c r="A1484" i="5" s="1"/>
  <c r="B1486" i="5" l="1"/>
  <c r="C1485" i="5" a="1"/>
  <c r="C1485" i="5" s="1"/>
  <c r="A1485" i="5" a="1"/>
  <c r="A1485" i="5" s="1"/>
  <c r="B1487" i="5" l="1"/>
  <c r="C1486" i="5" a="1"/>
  <c r="C1486" i="5" s="1"/>
  <c r="A1486" i="5" a="1"/>
  <c r="A1486" i="5" s="1"/>
  <c r="C1487" i="5" l="1" a="1"/>
  <c r="C1487" i="5" s="1"/>
  <c r="A1487" i="5" a="1"/>
  <c r="A1487" i="5" s="1"/>
  <c r="B1488" i="5"/>
  <c r="A1488" i="5" l="1" a="1"/>
  <c r="A1488" i="5" s="1"/>
  <c r="B1489" i="5"/>
  <c r="C1488" i="5" a="1"/>
  <c r="C1488" i="5" s="1"/>
  <c r="C1489" i="5" l="1" a="1"/>
  <c r="C1489" i="5" s="1"/>
  <c r="A1489" i="5" a="1"/>
  <c r="A1489" i="5" s="1"/>
  <c r="B1490" i="5"/>
  <c r="B1491" i="5" l="1"/>
  <c r="A1490" i="5" a="1"/>
  <c r="A1490" i="5" s="1"/>
  <c r="C1490" i="5" a="1"/>
  <c r="C1490" i="5" s="1"/>
  <c r="C1491" i="5" l="1" a="1"/>
  <c r="C1491" i="5" s="1"/>
  <c r="A1491" i="5" a="1"/>
  <c r="A1491" i="5" s="1"/>
  <c r="B1492" i="5"/>
  <c r="B1493" i="5" l="1"/>
  <c r="A1492" i="5" a="1"/>
  <c r="A1492" i="5" s="1"/>
  <c r="C1492" i="5" a="1"/>
  <c r="C1492" i="5" s="1"/>
  <c r="A1493" i="5" l="1" a="1"/>
  <c r="A1493" i="5" s="1"/>
  <c r="B1494" i="5"/>
  <c r="C1493" i="5" a="1"/>
  <c r="C1493" i="5" s="1"/>
  <c r="A1494" i="5" l="1" a="1"/>
  <c r="A1494" i="5" s="1"/>
  <c r="B1495" i="5"/>
  <c r="C1494" i="5" a="1"/>
  <c r="C1494" i="5" s="1"/>
  <c r="B1496" i="5" l="1"/>
  <c r="C1495" i="5" a="1"/>
  <c r="C1495" i="5" s="1"/>
  <c r="A1495" i="5" a="1"/>
  <c r="A1495" i="5" s="1"/>
  <c r="C1496" i="5" l="1" a="1"/>
  <c r="C1496" i="5" s="1"/>
  <c r="A1496" i="5" a="1"/>
  <c r="A1496" i="5" s="1"/>
  <c r="B1497" i="5"/>
  <c r="B1498" i="5" l="1"/>
  <c r="C1497" i="5" a="1"/>
  <c r="C1497" i="5" s="1"/>
  <c r="A1497" i="5" a="1"/>
  <c r="A1497" i="5" s="1"/>
  <c r="C1498" i="5" l="1" a="1"/>
  <c r="C1498" i="5" s="1"/>
  <c r="A1498" i="5" a="1"/>
  <c r="A1498" i="5" s="1"/>
  <c r="B1499" i="5"/>
  <c r="B1500" i="5" l="1"/>
  <c r="C1499" i="5" a="1"/>
  <c r="C1499" i="5" s="1"/>
  <c r="A1499" i="5" a="1"/>
  <c r="A1499" i="5" s="1"/>
  <c r="A1500" i="5" l="1" a="1"/>
  <c r="A1500" i="5" s="1"/>
  <c r="C1500" i="5" a="1"/>
  <c r="C1500" i="5" s="1"/>
  <c r="B1501" i="5"/>
  <c r="B1502" i="5" l="1"/>
  <c r="C1501" i="5" a="1"/>
  <c r="C1501" i="5" s="1"/>
  <c r="A1501" i="5" a="1"/>
  <c r="A1501" i="5" s="1"/>
  <c r="C1502" i="5" l="1" a="1"/>
  <c r="C1502" i="5" s="1"/>
  <c r="A1502" i="5" a="1"/>
  <c r="A1502" i="5" s="1"/>
  <c r="B1503" i="5"/>
  <c r="C1503" i="5" l="1" a="1"/>
  <c r="C1503" i="5" s="1"/>
  <c r="B1504" i="5"/>
  <c r="A1503" i="5" a="1"/>
  <c r="A1503" i="5" s="1"/>
  <c r="B1505" i="5" l="1"/>
  <c r="C1504" i="5" a="1"/>
  <c r="C1504" i="5" s="1"/>
  <c r="A1504" i="5" a="1"/>
  <c r="A1504" i="5" s="1"/>
  <c r="C1505" i="5" l="1" a="1"/>
  <c r="C1505" i="5" s="1"/>
  <c r="B1506" i="5"/>
  <c r="A1505" i="5" a="1"/>
  <c r="A1505" i="5" s="1"/>
  <c r="B1507" i="5" l="1"/>
  <c r="C1506" i="5" a="1"/>
  <c r="C1506" i="5" s="1"/>
  <c r="A1506" i="5" a="1"/>
  <c r="A1506" i="5" s="1"/>
  <c r="A1507" i="5" l="1" a="1"/>
  <c r="A1507" i="5" s="1"/>
  <c r="C1507" i="5" a="1"/>
  <c r="C1507" i="5" s="1"/>
  <c r="B1508" i="5"/>
  <c r="B1509" i="5" l="1"/>
  <c r="C1508" i="5" a="1"/>
  <c r="C1508" i="5" s="1"/>
  <c r="A1508" i="5" a="1"/>
  <c r="A1508" i="5" s="1"/>
  <c r="C1509" i="5" l="1" a="1"/>
  <c r="C1509" i="5" s="1"/>
  <c r="A1509" i="5" a="1"/>
  <c r="A1509" i="5" s="1"/>
  <c r="B1510" i="5"/>
  <c r="C1510" i="5" l="1" a="1"/>
  <c r="C1510" i="5" s="1"/>
  <c r="B1511" i="5"/>
  <c r="A1510" i="5" a="1"/>
  <c r="A1510" i="5" s="1"/>
  <c r="B1512" i="5" l="1"/>
  <c r="C1511" i="5" a="1"/>
  <c r="C1511" i="5" s="1"/>
  <c r="A1511" i="5" a="1"/>
  <c r="A1511" i="5" s="1"/>
  <c r="I1511" i="5"/>
  <c r="C1512" i="5" l="1" a="1"/>
  <c r="C1512" i="5" s="1"/>
  <c r="B1513" i="5"/>
  <c r="A1512" i="5" a="1"/>
  <c r="A1512" i="5" s="1"/>
  <c r="B1514" i="5" l="1"/>
  <c r="C1513" i="5" a="1"/>
  <c r="C1513" i="5" s="1"/>
  <c r="A1513" i="5" a="1"/>
  <c r="A1513" i="5" s="1"/>
  <c r="C1514" i="5" l="1" a="1"/>
  <c r="C1514" i="5" s="1"/>
  <c r="A1514" i="5" a="1"/>
  <c r="A1514" i="5" s="1"/>
  <c r="B1515" i="5"/>
  <c r="B1516" i="5" l="1"/>
  <c r="C1515" i="5" a="1"/>
  <c r="C1515" i="5" s="1"/>
  <c r="A1515" i="5" a="1"/>
  <c r="A1515" i="5" s="1"/>
  <c r="C1516" i="5" l="1" a="1"/>
  <c r="C1516" i="5" s="1"/>
  <c r="A1516" i="5" a="1"/>
  <c r="A1516" i="5" s="1"/>
  <c r="B1517" i="5"/>
  <c r="C1517" i="5" l="1" a="1"/>
  <c r="C1517" i="5" s="1"/>
  <c r="B1518" i="5"/>
  <c r="A1517" i="5" a="1"/>
  <c r="A1517" i="5" s="1"/>
  <c r="B1519" i="5" l="1"/>
  <c r="C1518" i="5" a="1"/>
  <c r="C1518" i="5" s="1"/>
  <c r="A1518" i="5" a="1"/>
  <c r="A1518" i="5" s="1"/>
  <c r="C1519" i="5" l="1" a="1"/>
  <c r="C1519" i="5" s="1"/>
  <c r="B1520" i="5"/>
  <c r="A1519" i="5" a="1"/>
  <c r="A1519" i="5" s="1"/>
  <c r="B1521" i="5" l="1"/>
  <c r="C1520" i="5" a="1"/>
  <c r="C1520" i="5" s="1"/>
  <c r="A1520" i="5" a="1"/>
  <c r="A1520" i="5" s="1"/>
  <c r="C1521" i="5" l="1" a="1"/>
  <c r="C1521" i="5" s="1"/>
  <c r="A1521" i="5" a="1"/>
  <c r="A1521" i="5" s="1"/>
  <c r="B1522" i="5"/>
  <c r="B1523" i="5" l="1"/>
  <c r="C1522" i="5" a="1"/>
  <c r="C1522" i="5" s="1"/>
  <c r="A1522" i="5" a="1"/>
  <c r="A1522" i="5" s="1"/>
  <c r="A1523" i="5" l="1" a="1"/>
  <c r="A1523" i="5" s="1"/>
  <c r="C1523" i="5" a="1"/>
  <c r="C1523" i="5" s="1"/>
  <c r="B1524" i="5"/>
  <c r="C1524" i="5" l="1" a="1"/>
  <c r="C1524" i="5" s="1"/>
  <c r="A1524" i="5" a="1"/>
  <c r="A1524" i="5" s="1"/>
  <c r="B1525" i="5"/>
  <c r="B1526" i="5" l="1"/>
  <c r="C1525" i="5" a="1"/>
  <c r="C1525" i="5" s="1"/>
  <c r="A1525" i="5" a="1"/>
  <c r="A1525" i="5" s="1"/>
  <c r="C1526" i="5" l="1" a="1"/>
  <c r="C1526" i="5" s="1"/>
  <c r="A1526" i="5" a="1"/>
  <c r="A1526" i="5" s="1"/>
  <c r="B1527" i="5"/>
  <c r="B1528" i="5" l="1"/>
  <c r="C1527" i="5" a="1"/>
  <c r="C1527" i="5" s="1"/>
  <c r="A1527" i="5" a="1"/>
  <c r="A1527" i="5" s="1"/>
  <c r="C1528" i="5" l="1" a="1"/>
  <c r="C1528" i="5" s="1"/>
  <c r="A1528" i="5" a="1"/>
  <c r="A1528" i="5" s="1"/>
  <c r="B1529" i="5"/>
  <c r="B1530" i="5" l="1"/>
  <c r="A1529" i="5" a="1"/>
  <c r="A1529" i="5" s="1"/>
  <c r="C1529" i="5" a="1"/>
  <c r="C1529" i="5" s="1"/>
  <c r="A1530" i="5" l="1" a="1"/>
  <c r="A1530" i="5" s="1"/>
  <c r="B1531" i="5"/>
  <c r="C1530" i="5" a="1"/>
  <c r="C1530" i="5" s="1"/>
  <c r="C1531" i="5" l="1" a="1"/>
  <c r="C1531" i="5" s="1"/>
  <c r="B1532" i="5"/>
  <c r="A1531" i="5" a="1"/>
  <c r="A1531" i="5" s="1"/>
  <c r="B1533" i="5" l="1"/>
  <c r="A1532" i="5" a="1"/>
  <c r="A1532" i="5" s="1"/>
  <c r="C1532" i="5" a="1"/>
  <c r="C1532" i="5" s="1"/>
  <c r="C1533" i="5" l="1" a="1"/>
  <c r="C1533" i="5" s="1"/>
  <c r="B1534" i="5"/>
  <c r="A1533" i="5" a="1"/>
  <c r="A1533" i="5" s="1"/>
  <c r="B1535" i="5" l="1"/>
  <c r="C1534" i="5" a="1"/>
  <c r="C1534" i="5" s="1"/>
  <c r="A1534" i="5" a="1"/>
  <c r="A1534" i="5" s="1"/>
  <c r="C1535" i="5" l="1" a="1"/>
  <c r="C1535" i="5" s="1"/>
  <c r="A1535" i="5" a="1"/>
  <c r="A1535" i="5" s="1"/>
  <c r="B1536" i="5"/>
  <c r="B1537" i="5" l="1"/>
  <c r="A1536" i="5" a="1"/>
  <c r="A1536" i="5" s="1"/>
  <c r="C1536" i="5" a="1"/>
  <c r="C1536" i="5" s="1"/>
  <c r="A1537" i="5" l="1" a="1"/>
  <c r="A1537" i="5" s="1"/>
  <c r="C1537" i="5" a="1"/>
  <c r="C1537" i="5" s="1"/>
  <c r="B1538" i="5"/>
  <c r="C1538" i="5" l="1" a="1"/>
  <c r="C1538" i="5" s="1"/>
  <c r="B1539" i="5"/>
  <c r="A1538" i="5" a="1"/>
  <c r="A1538" i="5" s="1"/>
  <c r="B1540" i="5" l="1"/>
  <c r="C1539" i="5" a="1"/>
  <c r="C1539" i="5" s="1"/>
  <c r="A1539" i="5" a="1"/>
  <c r="A1539" i="5" s="1"/>
  <c r="C1540" i="5" l="1" a="1"/>
  <c r="C1540" i="5" s="1"/>
  <c r="A1540" i="5" a="1"/>
  <c r="A1540" i="5" s="1"/>
  <c r="B1541" i="5"/>
  <c r="B1542" i="5" l="1"/>
  <c r="C1541" i="5" a="1"/>
  <c r="C1541" i="5" s="1"/>
  <c r="A1541" i="5" a="1"/>
  <c r="A1541" i="5" s="1"/>
  <c r="C1542" i="5" l="1" a="1"/>
  <c r="C1542" i="5" s="1"/>
  <c r="A1542" i="5" a="1"/>
  <c r="A1542" i="5" s="1"/>
  <c r="B1543" i="5"/>
  <c r="B1544" i="5" l="1"/>
  <c r="A1543" i="5" a="1"/>
  <c r="A1543" i="5" s="1"/>
  <c r="C1543" i="5" a="1"/>
  <c r="C1543" i="5" s="1"/>
  <c r="A1544" i="5" l="1" a="1"/>
  <c r="A1544" i="5" s="1"/>
  <c r="B1545" i="5"/>
  <c r="C1544" i="5" a="1"/>
  <c r="C1544" i="5" s="1"/>
  <c r="C1545" i="5" l="1" a="1"/>
  <c r="C1545" i="5" s="1"/>
  <c r="B1546" i="5"/>
  <c r="A1545" i="5" a="1"/>
  <c r="A1545" i="5" s="1"/>
  <c r="B1547" i="5" l="1"/>
  <c r="A1546" i="5" a="1"/>
  <c r="A1546" i="5" s="1"/>
  <c r="C1546" i="5" a="1"/>
  <c r="C1546" i="5" s="1"/>
  <c r="C1547" i="5" l="1" a="1"/>
  <c r="C1547" i="5" s="1"/>
  <c r="B1548" i="5"/>
  <c r="A1547" i="5" a="1"/>
  <c r="A1547" i="5" s="1"/>
  <c r="B1549" i="5" l="1"/>
  <c r="C1548" i="5" a="1"/>
  <c r="C1548" i="5" s="1"/>
  <c r="A1548" i="5" a="1"/>
  <c r="A1548" i="5" s="1"/>
  <c r="C1549" i="5" l="1" a="1"/>
  <c r="C1549" i="5" s="1"/>
  <c r="A1549" i="5" a="1"/>
  <c r="A1549" i="5" s="1"/>
  <c r="B1550" i="5"/>
  <c r="B1551" i="5" l="1"/>
  <c r="A1550" i="5" a="1"/>
  <c r="A1550" i="5" s="1"/>
  <c r="C1550" i="5" a="1"/>
  <c r="C1550" i="5" s="1"/>
  <c r="A1551" i="5" l="1" a="1"/>
  <c r="A1551" i="5" s="1"/>
  <c r="B1552" i="5"/>
  <c r="C1551" i="5" a="1"/>
  <c r="C1551" i="5" s="1"/>
  <c r="C1552" i="5" l="1" a="1"/>
  <c r="C1552" i="5" s="1"/>
  <c r="A1552" i="5" a="1"/>
  <c r="A1552" i="5" s="1"/>
  <c r="B1553" i="5"/>
  <c r="B1554" i="5" l="1"/>
  <c r="C1553" i="5" a="1"/>
  <c r="C1553" i="5" s="1"/>
  <c r="A1553" i="5" a="1"/>
  <c r="A1553" i="5" s="1"/>
  <c r="C1554" i="5" l="1" a="1"/>
  <c r="C1554" i="5" s="1"/>
  <c r="B1555" i="5"/>
  <c r="A1554" i="5" a="1"/>
  <c r="A1554" i="5" s="1"/>
  <c r="B1556" i="5" l="1"/>
  <c r="C1555" i="5" a="1"/>
  <c r="C1555" i="5" s="1"/>
  <c r="A1555" i="5" a="1"/>
  <c r="A1555" i="5" s="1"/>
  <c r="C1556" i="5" l="1" a="1"/>
  <c r="C1556" i="5" s="1"/>
  <c r="A1556" i="5" a="1"/>
  <c r="A1556" i="5" s="1"/>
  <c r="B1557" i="5"/>
  <c r="B1558" i="5" l="1"/>
  <c r="A1557" i="5" a="1"/>
  <c r="A1557" i="5" s="1"/>
  <c r="C1557" i="5" a="1"/>
  <c r="C1557" i="5" s="1"/>
  <c r="A1558" i="5" l="1" a="1"/>
  <c r="A1558" i="5" s="1"/>
  <c r="B1559" i="5"/>
  <c r="C1558" i="5" a="1"/>
  <c r="C1558" i="5" s="1"/>
  <c r="C1559" i="5" l="1" a="1"/>
  <c r="C1559" i="5" s="1"/>
  <c r="A1559" i="5" a="1"/>
  <c r="A1559" i="5" s="1"/>
  <c r="B1560" i="5"/>
  <c r="B1561" i="5" l="1"/>
  <c r="C1560" i="5" a="1"/>
  <c r="C1560" i="5" s="1"/>
  <c r="A1560" i="5" a="1"/>
  <c r="A1560" i="5" s="1"/>
  <c r="C1561" i="5" l="1" a="1"/>
  <c r="C1561" i="5" s="1"/>
  <c r="B1562" i="5"/>
  <c r="A1561" i="5" a="1"/>
  <c r="A1561" i="5" s="1"/>
  <c r="B1563" i="5" l="1"/>
  <c r="C1562" i="5" a="1"/>
  <c r="C1562" i="5" s="1"/>
  <c r="A1562" i="5" a="1"/>
  <c r="A1562" i="5" s="1"/>
  <c r="A1563" i="5" l="1" a="1"/>
  <c r="A1563" i="5" s="1"/>
  <c r="B1564" i="5"/>
  <c r="C1563" i="5" a="1"/>
  <c r="C1563" i="5" s="1"/>
  <c r="A1564" i="5" l="1" a="1"/>
  <c r="A1564" i="5" s="1"/>
  <c r="C1564" i="5" a="1"/>
  <c r="C1564" i="5" s="1"/>
  <c r="B1565" i="5"/>
  <c r="B1566" i="5" l="1"/>
  <c r="C1565" i="5" a="1"/>
  <c r="C1565" i="5" s="1"/>
  <c r="A1565" i="5" a="1"/>
  <c r="A1565" i="5" s="1"/>
  <c r="A1566" i="5" l="1" a="1"/>
  <c r="A1566" i="5" s="1"/>
  <c r="C1566" i="5" a="1"/>
  <c r="C1566" i="5" s="1"/>
  <c r="B1567" i="5"/>
  <c r="A1567" i="5" l="1" a="1"/>
  <c r="A1567" i="5" s="1"/>
  <c r="B1568" i="5"/>
  <c r="C1567" i="5" a="1"/>
  <c r="C1567" i="5" s="1"/>
  <c r="C1568" i="5" l="1" a="1"/>
  <c r="C1568" i="5" s="1"/>
  <c r="A1568" i="5" a="1"/>
  <c r="A1568" i="5" s="1"/>
  <c r="B1569" i="5"/>
  <c r="B1570" i="5" l="1"/>
  <c r="C1569" i="5" a="1"/>
  <c r="C1569" i="5" s="1"/>
  <c r="A1569" i="5" a="1"/>
  <c r="A1569" i="5" s="1"/>
  <c r="A1570" i="5" l="1" a="1"/>
  <c r="A1570" i="5" s="1"/>
  <c r="B1571" i="5"/>
  <c r="C1570" i="5" a="1"/>
  <c r="C1570" i="5" s="1"/>
  <c r="A1571" i="5" l="1" a="1"/>
  <c r="A1571" i="5" s="1"/>
  <c r="B1572" i="5"/>
  <c r="C1571" i="5" a="1"/>
  <c r="C1571" i="5" s="1"/>
  <c r="C1572" i="5" l="1" a="1"/>
  <c r="C1572" i="5" s="1"/>
  <c r="A1572" i="5" a="1"/>
  <c r="A1572" i="5" s="1"/>
  <c r="B1573" i="5"/>
  <c r="A1573" i="5" l="1" a="1"/>
  <c r="A1573" i="5" s="1"/>
  <c r="B1574" i="5"/>
  <c r="C1573" i="5" a="1"/>
  <c r="C1573" i="5" s="1"/>
  <c r="B1575" i="5" l="1"/>
  <c r="C1574" i="5" a="1"/>
  <c r="C1574" i="5" s="1"/>
  <c r="A1574" i="5" a="1"/>
  <c r="A1574" i="5" s="1"/>
  <c r="C1575" i="5" l="1" a="1"/>
  <c r="C1575" i="5" s="1"/>
  <c r="A1575" i="5" a="1"/>
  <c r="A1575" i="5" s="1"/>
  <c r="B1576" i="5"/>
  <c r="B1577" i="5" l="1"/>
  <c r="C1576" i="5" a="1"/>
  <c r="C1576" i="5" s="1"/>
  <c r="A1576" i="5" a="1"/>
  <c r="A1576" i="5" s="1"/>
  <c r="B1578" i="5" l="1"/>
  <c r="C1577" i="5" a="1"/>
  <c r="C1577" i="5" s="1"/>
  <c r="A1577" i="5" a="1"/>
  <c r="A1577" i="5" s="1"/>
  <c r="C1578" i="5" l="1" a="1"/>
  <c r="C1578" i="5" s="1"/>
  <c r="B1579" i="5"/>
  <c r="A1578" i="5" a="1"/>
  <c r="A1578" i="5" s="1"/>
  <c r="A1579" i="5" l="1" a="1"/>
  <c r="A1579" i="5" s="1"/>
  <c r="B1580" i="5"/>
  <c r="C1579" i="5" a="1"/>
  <c r="C1579" i="5" s="1"/>
  <c r="C1580" i="5" l="1" a="1"/>
  <c r="C1580" i="5" s="1"/>
  <c r="A1580" i="5" a="1"/>
  <c r="A1580" i="5" s="1"/>
  <c r="B1581" i="5"/>
  <c r="B1582" i="5" l="1"/>
  <c r="A1581" i="5" a="1"/>
  <c r="A1581" i="5" s="1"/>
  <c r="C1581" i="5" a="1"/>
  <c r="C1581" i="5" s="1"/>
  <c r="C1582" i="5" l="1" a="1"/>
  <c r="C1582" i="5" s="1"/>
  <c r="B1583" i="5"/>
  <c r="A1582" i="5" a="1"/>
  <c r="A1582" i="5" s="1"/>
  <c r="B1584" i="5" l="1"/>
  <c r="C1583" i="5" a="1"/>
  <c r="C1583" i="5" s="1"/>
  <c r="A1583" i="5" a="1"/>
  <c r="A1583" i="5" s="1"/>
  <c r="B1585" i="5" l="1"/>
  <c r="C1584" i="5" a="1"/>
  <c r="C1584" i="5" s="1"/>
  <c r="A1584" i="5" a="1"/>
  <c r="A1584" i="5" s="1"/>
  <c r="C1585" i="5" l="1" a="1"/>
  <c r="C1585" i="5" s="1"/>
  <c r="B1586" i="5"/>
  <c r="A1585" i="5" a="1"/>
  <c r="A1585" i="5" s="1"/>
  <c r="A1586" i="5" l="1" a="1"/>
  <c r="A1586" i="5" s="1"/>
  <c r="B1587" i="5"/>
  <c r="C1586" i="5" a="1"/>
  <c r="C1586" i="5" s="1"/>
  <c r="C1587" i="5" l="1" a="1"/>
  <c r="C1587" i="5" s="1"/>
  <c r="A1587" i="5" a="1"/>
  <c r="A1587" i="5" s="1"/>
  <c r="B1588" i="5"/>
  <c r="B1589" i="5" l="1"/>
  <c r="I1588" i="5"/>
  <c r="C1588" i="5" a="1"/>
  <c r="C1588" i="5" s="1"/>
  <c r="A1588" i="5" a="1"/>
  <c r="A1588" i="5" s="1"/>
  <c r="C1589" i="5" l="1" a="1"/>
  <c r="C1589" i="5" s="1"/>
  <c r="A1589" i="5" a="1"/>
  <c r="A1589" i="5" s="1"/>
  <c r="B1590" i="5"/>
  <c r="B1591" i="5" l="1"/>
  <c r="C1590" i="5" a="1"/>
  <c r="C1590" i="5" s="1"/>
  <c r="A1590" i="5" a="1"/>
  <c r="A1590" i="5" s="1"/>
  <c r="B1592" i="5" l="1"/>
  <c r="C1591" i="5" a="1"/>
  <c r="C1591" i="5" s="1"/>
  <c r="A1591" i="5" a="1"/>
  <c r="A1591" i="5" s="1"/>
  <c r="C1592" i="5" l="1" a="1"/>
  <c r="C1592" i="5" s="1"/>
  <c r="A1592" i="5" a="1"/>
  <c r="A1592" i="5" s="1"/>
  <c r="B1593" i="5"/>
  <c r="A1593" i="5" l="1" a="1"/>
  <c r="A1593" i="5" s="1"/>
  <c r="B1594" i="5"/>
  <c r="C1593" i="5" a="1"/>
  <c r="C1593" i="5" s="1"/>
  <c r="C1594" i="5" l="1" a="1"/>
  <c r="C1594" i="5" s="1"/>
  <c r="A1594" i="5" a="1"/>
  <c r="A1594" i="5" s="1"/>
  <c r="B1595" i="5"/>
  <c r="B1596" i="5" l="1"/>
  <c r="C1595" i="5" a="1"/>
  <c r="C1595" i="5" s="1"/>
  <c r="A1595" i="5" a="1"/>
  <c r="A1595" i="5" s="1"/>
  <c r="C1596" i="5" l="1" a="1"/>
  <c r="C1596" i="5" s="1"/>
  <c r="B1597" i="5"/>
  <c r="A1596" i="5" a="1"/>
  <c r="A1596" i="5" s="1"/>
  <c r="B1598" i="5" l="1"/>
  <c r="C1597" i="5" a="1"/>
  <c r="C1597" i="5" s="1"/>
  <c r="A1597" i="5" a="1"/>
  <c r="A1597" i="5" s="1"/>
  <c r="A1598" i="5" l="1" a="1"/>
  <c r="A1598" i="5" s="1"/>
  <c r="B1599" i="5"/>
  <c r="C1598" i="5" a="1"/>
  <c r="C1598" i="5" s="1"/>
  <c r="C1599" i="5" l="1" a="1"/>
  <c r="C1599" i="5" s="1"/>
  <c r="B1600" i="5"/>
  <c r="A1599" i="5" a="1"/>
  <c r="A1599" i="5" s="1"/>
  <c r="A1600" i="5" l="1" a="1"/>
  <c r="A1600" i="5" s="1"/>
  <c r="B1601" i="5"/>
  <c r="C1600" i="5" a="1"/>
  <c r="C1600" i="5" s="1"/>
  <c r="C1601" i="5" l="1" a="1"/>
  <c r="C1601" i="5" s="1"/>
  <c r="A1601" i="5" a="1"/>
  <c r="A1601" i="5" s="1"/>
  <c r="B1602" i="5"/>
  <c r="B1603" i="5" l="1"/>
  <c r="A1602" i="5" a="1"/>
  <c r="A1602" i="5" s="1"/>
  <c r="C1602" i="5" a="1"/>
  <c r="C1602" i="5" s="1"/>
  <c r="C1603" i="5" l="1" a="1"/>
  <c r="C1603" i="5" s="1"/>
  <c r="A1603" i="5" a="1"/>
  <c r="A1603" i="5" s="1"/>
  <c r="B1604" i="5"/>
  <c r="I1603" i="5"/>
  <c r="B1605" i="5" l="1"/>
  <c r="C1604" i="5" a="1"/>
  <c r="C1604" i="5" s="1"/>
  <c r="A1604" i="5" a="1"/>
  <c r="A1604" i="5" s="1"/>
  <c r="A1605" i="5" l="1" a="1"/>
  <c r="A1605" i="5" s="1"/>
  <c r="B1606" i="5"/>
  <c r="C1605" i="5" a="1"/>
  <c r="C1605" i="5" s="1"/>
  <c r="C1606" i="5" l="1" a="1"/>
  <c r="C1606" i="5" s="1"/>
  <c r="B1607" i="5"/>
  <c r="A1606" i="5" a="1"/>
  <c r="A1606" i="5" s="1"/>
  <c r="A1607" i="5" l="1" a="1"/>
  <c r="A1607" i="5" s="1"/>
  <c r="B1608" i="5"/>
  <c r="C1607" i="5" a="1"/>
  <c r="C1607" i="5" s="1"/>
  <c r="C1608" i="5" l="1" a="1"/>
  <c r="C1608" i="5" s="1"/>
  <c r="A1608" i="5" a="1"/>
  <c r="A1608" i="5" s="1"/>
  <c r="B1609" i="5"/>
  <c r="B1610" i="5" l="1"/>
  <c r="A1609" i="5" a="1"/>
  <c r="A1609" i="5" s="1"/>
  <c r="C1609" i="5" a="1"/>
  <c r="C1609" i="5" s="1"/>
  <c r="C1610" i="5" l="1" a="1"/>
  <c r="C1610" i="5" s="1"/>
  <c r="A1610" i="5" a="1"/>
  <c r="A1610" i="5" s="1"/>
  <c r="B1611" i="5"/>
  <c r="B1612" i="5" l="1"/>
  <c r="C1611" i="5" a="1"/>
  <c r="C1611" i="5" s="1"/>
  <c r="A1611" i="5" a="1"/>
  <c r="A1611" i="5" s="1"/>
  <c r="A1612" i="5" l="1" a="1"/>
  <c r="A1612" i="5" s="1"/>
  <c r="B1613" i="5"/>
  <c r="C1612" i="5" a="1"/>
  <c r="C1612" i="5" s="1"/>
  <c r="C1613" i="5" l="1" a="1"/>
  <c r="C1613" i="5" s="1"/>
  <c r="B1614" i="5"/>
  <c r="A1613" i="5" a="1"/>
  <c r="A1613" i="5" s="1"/>
  <c r="A1614" i="5" l="1" a="1"/>
  <c r="A1614" i="5" s="1"/>
  <c r="B1615" i="5"/>
  <c r="C1614" i="5" a="1"/>
  <c r="C1614" i="5" s="1"/>
  <c r="C1615" i="5" l="1" a="1"/>
  <c r="C1615" i="5" s="1"/>
  <c r="A1615" i="5" a="1"/>
  <c r="A1615" i="5" s="1"/>
  <c r="B1616" i="5"/>
  <c r="B1617" i="5" l="1"/>
  <c r="A1616" i="5" a="1"/>
  <c r="A1616" i="5" s="1"/>
  <c r="C1616" i="5" a="1"/>
  <c r="C1616" i="5" s="1"/>
  <c r="C1617" i="5" l="1" a="1"/>
  <c r="C1617" i="5" s="1"/>
  <c r="A1617" i="5" a="1"/>
  <c r="A1617" i="5" s="1"/>
  <c r="B1618" i="5"/>
  <c r="B1619" i="5" l="1"/>
  <c r="C1618" i="5" a="1"/>
  <c r="C1618" i="5" s="1"/>
  <c r="A1618" i="5" a="1"/>
  <c r="A1618" i="5" s="1"/>
  <c r="A1619" i="5" l="1" a="1"/>
  <c r="A1619" i="5" s="1"/>
  <c r="B1620" i="5"/>
  <c r="C1619" i="5" a="1"/>
  <c r="C1619" i="5" s="1"/>
  <c r="C1620" i="5" l="1" a="1"/>
  <c r="C1620" i="5" s="1"/>
  <c r="B1621" i="5"/>
  <c r="A1620" i="5" a="1"/>
  <c r="A1620" i="5" s="1"/>
  <c r="A1621" i="5" l="1" a="1"/>
  <c r="A1621" i="5" s="1"/>
  <c r="B1622" i="5"/>
  <c r="C1621" i="5" a="1"/>
  <c r="C1621" i="5" s="1"/>
  <c r="C1622" i="5" l="1" a="1"/>
  <c r="C1622" i="5" s="1"/>
  <c r="A1622" i="5" a="1"/>
  <c r="A1622" i="5" s="1"/>
  <c r="B1623" i="5"/>
  <c r="B1624" i="5" l="1"/>
  <c r="A1623" i="5" a="1"/>
  <c r="A1623" i="5" s="1"/>
  <c r="C1623" i="5" a="1"/>
  <c r="C1623" i="5" s="1"/>
  <c r="C1624" i="5" l="1" a="1"/>
  <c r="C1624" i="5" s="1"/>
  <c r="A1624" i="5" a="1"/>
  <c r="A1624" i="5" s="1"/>
  <c r="B1625" i="5"/>
  <c r="B1626" i="5" l="1"/>
  <c r="C1625" i="5" a="1"/>
  <c r="C1625" i="5" s="1"/>
  <c r="A1625" i="5" a="1"/>
  <c r="A1625" i="5" s="1"/>
  <c r="A1626" i="5" l="1" a="1"/>
  <c r="A1626" i="5" s="1"/>
  <c r="B1627" i="5"/>
  <c r="C1626" i="5" a="1"/>
  <c r="C1626" i="5" s="1"/>
  <c r="C1627" i="5" l="1" a="1"/>
  <c r="C1627" i="5" s="1"/>
  <c r="B1628" i="5"/>
  <c r="A1627" i="5" a="1"/>
  <c r="A1627" i="5" s="1"/>
  <c r="A1628" i="5" l="1" a="1"/>
  <c r="A1628" i="5" s="1"/>
  <c r="B1629" i="5"/>
  <c r="C1628" i="5" a="1"/>
  <c r="C1628" i="5" s="1"/>
  <c r="C1629" i="5" l="1" a="1"/>
  <c r="C1629" i="5" s="1"/>
  <c r="A1629" i="5" a="1"/>
  <c r="A1629" i="5" s="1"/>
  <c r="B1630" i="5"/>
  <c r="B1631" i="5" l="1"/>
  <c r="A1630" i="5" a="1"/>
  <c r="A1630" i="5" s="1"/>
  <c r="C1630" i="5" a="1"/>
  <c r="C1630" i="5" s="1"/>
  <c r="C1631" i="5" l="1" a="1"/>
  <c r="C1631" i="5" s="1"/>
  <c r="A1631" i="5" a="1"/>
  <c r="A1631" i="5" s="1"/>
  <c r="B1632" i="5"/>
  <c r="B1633" i="5" l="1"/>
  <c r="C1632" i="5" a="1"/>
  <c r="C1632" i="5" s="1"/>
  <c r="A1632" i="5" a="1"/>
  <c r="A1632" i="5" s="1"/>
  <c r="A1633" i="5" l="1" a="1"/>
  <c r="A1633" i="5" s="1"/>
  <c r="B1634" i="5"/>
  <c r="C1633" i="5" a="1"/>
  <c r="C1633" i="5" s="1"/>
  <c r="C1634" i="5" l="1" a="1"/>
  <c r="C1634" i="5" s="1"/>
  <c r="B1635" i="5"/>
  <c r="A1634" i="5" a="1"/>
  <c r="A1634" i="5" s="1"/>
  <c r="A1635" i="5" l="1" a="1"/>
  <c r="A1635" i="5" s="1"/>
  <c r="B1636" i="5"/>
  <c r="C1635" i="5" a="1"/>
  <c r="C1635" i="5" s="1"/>
  <c r="C1636" i="5" l="1" a="1"/>
  <c r="C1636" i="5" s="1"/>
  <c r="A1636" i="5" a="1"/>
  <c r="A1636" i="5" s="1"/>
  <c r="B1637" i="5"/>
  <c r="B1638" i="5" l="1"/>
  <c r="I1637" i="5"/>
  <c r="A1637" i="5" a="1"/>
  <c r="A1637" i="5" s="1"/>
  <c r="C1637" i="5" a="1"/>
  <c r="C1637" i="5" s="1"/>
  <c r="C1638" i="5" l="1" a="1"/>
  <c r="C1638" i="5" s="1"/>
  <c r="A1638" i="5" a="1"/>
  <c r="A1638" i="5" s="1"/>
  <c r="B1639" i="5"/>
  <c r="B1640" i="5" l="1"/>
  <c r="C1639" i="5" a="1"/>
  <c r="C1639" i="5" s="1"/>
  <c r="A1639" i="5" a="1"/>
  <c r="A1639" i="5" s="1"/>
  <c r="A1640" i="5" l="1" a="1"/>
  <c r="A1640" i="5" s="1"/>
  <c r="B1641" i="5"/>
  <c r="C1640" i="5" a="1"/>
  <c r="C1640" i="5" s="1"/>
  <c r="C1641" i="5" l="1" a="1"/>
  <c r="C1641" i="5" s="1"/>
  <c r="A1641" i="5" a="1"/>
  <c r="A1641" i="5" s="1"/>
  <c r="B1642" i="5"/>
  <c r="A1642" i="5" l="1" a="1"/>
  <c r="A1642" i="5" s="1"/>
  <c r="B1643" i="5"/>
  <c r="C1642" i="5" a="1"/>
  <c r="C1642" i="5" s="1"/>
  <c r="C1643" i="5" l="1" a="1"/>
  <c r="C1643" i="5" s="1"/>
  <c r="A1643" i="5" a="1"/>
  <c r="A1643" i="5" s="1"/>
  <c r="B1644" i="5"/>
  <c r="B1645" i="5" l="1"/>
  <c r="C1644" i="5" a="1"/>
  <c r="C1644" i="5" s="1"/>
  <c r="A1644" i="5" a="1"/>
  <c r="A1644" i="5" s="1"/>
  <c r="C1645" i="5" l="1" a="1"/>
  <c r="C1645" i="5" s="1"/>
  <c r="A1645" i="5" a="1"/>
  <c r="A1645" i="5" s="1"/>
  <c r="B1646" i="5"/>
  <c r="B1647" i="5" l="1"/>
  <c r="C1646" i="5" a="1"/>
  <c r="C1646" i="5" s="1"/>
  <c r="A1646" i="5" a="1"/>
  <c r="A1646" i="5" s="1"/>
  <c r="A1647" i="5" l="1" a="1"/>
  <c r="A1647" i="5" s="1"/>
  <c r="B1648" i="5"/>
  <c r="C1647" i="5" a="1"/>
  <c r="C1647" i="5" s="1"/>
  <c r="C1648" i="5" l="1" a="1"/>
  <c r="C1648" i="5" s="1"/>
  <c r="A1648" i="5" a="1"/>
  <c r="A1648" i="5" s="1"/>
  <c r="B1649" i="5"/>
  <c r="A1649" i="5" l="1" a="1"/>
  <c r="A1649" i="5" s="1"/>
  <c r="B1650" i="5"/>
  <c r="C1649" i="5" a="1"/>
  <c r="C1649" i="5" s="1"/>
  <c r="C1650" i="5" l="1" a="1"/>
  <c r="C1650" i="5" s="1"/>
  <c r="A1650" i="5" a="1"/>
  <c r="A1650" i="5" s="1"/>
  <c r="B1651" i="5"/>
  <c r="B1652" i="5" l="1"/>
  <c r="C1651" i="5" a="1"/>
  <c r="C1651" i="5" s="1"/>
  <c r="A1651" i="5" a="1"/>
  <c r="A1651" i="5" s="1"/>
  <c r="C1652" i="5" l="1" a="1"/>
  <c r="C1652" i="5" s="1"/>
  <c r="A1652" i="5" a="1"/>
  <c r="A1652" i="5" s="1"/>
  <c r="B1653" i="5"/>
  <c r="B1654" i="5" l="1"/>
  <c r="C1653" i="5" a="1"/>
  <c r="C1653" i="5" s="1"/>
  <c r="A1653" i="5" a="1"/>
  <c r="A1653" i="5" s="1"/>
  <c r="A1654" i="5" l="1" a="1"/>
  <c r="A1654" i="5" s="1"/>
  <c r="B1655" i="5"/>
  <c r="C1654" i="5" a="1"/>
  <c r="C1654" i="5" s="1"/>
  <c r="C1655" i="5" l="1" a="1"/>
  <c r="C1655" i="5" s="1"/>
  <c r="A1655" i="5" a="1"/>
  <c r="A1655" i="5" s="1"/>
  <c r="B1656" i="5"/>
  <c r="A1656" i="5" l="1" a="1"/>
  <c r="A1656" i="5" s="1"/>
  <c r="B1657" i="5"/>
  <c r="C1656" i="5" a="1"/>
  <c r="C1656" i="5" s="1"/>
  <c r="C1657" i="5" l="1" a="1"/>
  <c r="C1657" i="5" s="1"/>
  <c r="A1657" i="5" a="1"/>
  <c r="A1657" i="5" s="1"/>
  <c r="B1658" i="5"/>
  <c r="C1658" i="5" l="1" a="1"/>
  <c r="C1658" i="5" s="1"/>
  <c r="B1659" i="5"/>
  <c r="A1658" i="5" a="1"/>
  <c r="A1658" i="5" s="1"/>
  <c r="B1660" i="5" l="1"/>
  <c r="C1659" i="5" a="1"/>
  <c r="C1659" i="5" s="1"/>
  <c r="A1659" i="5" a="1"/>
  <c r="A1659" i="5" s="1"/>
  <c r="B1661" i="5" l="1"/>
  <c r="C1660" i="5" a="1"/>
  <c r="C1660" i="5" s="1"/>
  <c r="A1660" i="5" a="1"/>
  <c r="A1660" i="5" s="1"/>
  <c r="C1661" i="5" l="1" a="1"/>
  <c r="C1661" i="5" s="1"/>
  <c r="A1661" i="5" a="1"/>
  <c r="A1661" i="5" s="1"/>
  <c r="B1662" i="5"/>
  <c r="B1663" i="5" l="1"/>
  <c r="C1662" i="5" a="1"/>
  <c r="C1662" i="5" s="1"/>
  <c r="A1662" i="5" a="1"/>
  <c r="A1662" i="5" s="1"/>
  <c r="B1664" i="5" l="1"/>
  <c r="C1663" i="5" a="1"/>
  <c r="C1663" i="5" s="1"/>
  <c r="A1663" i="5" a="1"/>
  <c r="A1663" i="5" s="1"/>
  <c r="B1665" i="5" l="1"/>
  <c r="C1664" i="5" a="1"/>
  <c r="C1664" i="5" s="1"/>
  <c r="A1664" i="5" a="1"/>
  <c r="A1664" i="5" s="1"/>
  <c r="C1665" i="5" l="1" a="1"/>
  <c r="C1665" i="5" s="1"/>
  <c r="B1666" i="5"/>
  <c r="A1665" i="5" a="1"/>
  <c r="A1665" i="5" s="1"/>
  <c r="B1667" i="5" l="1"/>
  <c r="A1666" i="5" a="1"/>
  <c r="A1666" i="5" s="1"/>
  <c r="C1666" i="5" a="1"/>
  <c r="C1666" i="5" s="1"/>
  <c r="A1667" i="5" l="1" a="1"/>
  <c r="A1667" i="5" s="1"/>
  <c r="B1668" i="5"/>
  <c r="C1667" i="5" a="1"/>
  <c r="C1667" i="5" s="1"/>
  <c r="I1668" i="5" l="1"/>
  <c r="C1668" i="5" a="1"/>
  <c r="C1668" i="5" s="1"/>
  <c r="A1668" i="5" a="1"/>
  <c r="A1668" i="5" s="1"/>
  <c r="B1669" i="5"/>
  <c r="C1669" i="5" l="1" a="1"/>
  <c r="C1669" i="5" s="1"/>
  <c r="A1669" i="5" a="1"/>
  <c r="A1669" i="5" s="1"/>
  <c r="B1670" i="5"/>
  <c r="B1671" i="5" l="1"/>
  <c r="C1670" i="5" a="1"/>
  <c r="C1670" i="5" s="1"/>
  <c r="A1670" i="5" a="1"/>
  <c r="A1670" i="5" s="1"/>
  <c r="B1672" i="5" l="1"/>
  <c r="C1671" i="5" a="1"/>
  <c r="C1671" i="5" s="1"/>
  <c r="A1671" i="5" a="1"/>
  <c r="A1671" i="5" s="1"/>
  <c r="C1672" i="5" l="1" a="1"/>
  <c r="C1672" i="5" s="1"/>
  <c r="B1673" i="5"/>
  <c r="A1672" i="5" a="1"/>
  <c r="A1672" i="5" s="1"/>
  <c r="B1674" i="5" l="1"/>
  <c r="C1673" i="5" a="1"/>
  <c r="C1673" i="5" s="1"/>
  <c r="A1673" i="5" a="1"/>
  <c r="A1673" i="5" s="1"/>
  <c r="A1674" i="5" l="1" a="1"/>
  <c r="A1674" i="5" s="1"/>
  <c r="B1675" i="5"/>
  <c r="C1674" i="5" a="1"/>
  <c r="C1674" i="5" s="1"/>
  <c r="B1676" i="5" l="1"/>
  <c r="C1675" i="5" a="1"/>
  <c r="C1675" i="5" s="1"/>
  <c r="A1675" i="5" a="1"/>
  <c r="A1675" i="5" s="1"/>
  <c r="C1676" i="5" l="1" a="1"/>
  <c r="C1676" i="5" s="1"/>
  <c r="A1676" i="5" a="1"/>
  <c r="A1676" i="5" s="1"/>
  <c r="B1677" i="5"/>
  <c r="B1678" i="5" l="1"/>
  <c r="C1677" i="5" a="1"/>
  <c r="C1677" i="5" s="1"/>
  <c r="A1677" i="5" a="1"/>
  <c r="A1677" i="5" s="1"/>
  <c r="B1679" i="5" l="1"/>
  <c r="C1678" i="5" a="1"/>
  <c r="C1678" i="5" s="1"/>
  <c r="A1678" i="5" a="1"/>
  <c r="A1678" i="5" s="1"/>
  <c r="C1679" i="5" l="1" a="1"/>
  <c r="C1679" i="5" s="1"/>
  <c r="B1680" i="5"/>
  <c r="A1679" i="5" a="1"/>
  <c r="A1679" i="5" s="1"/>
  <c r="B1681" i="5" l="1"/>
  <c r="C1680" i="5" a="1"/>
  <c r="C1680" i="5" s="1"/>
  <c r="A1680" i="5" a="1"/>
  <c r="A1680" i="5" s="1"/>
  <c r="A1681" i="5" l="1" a="1"/>
  <c r="A1681" i="5" s="1"/>
  <c r="C1681" i="5" a="1"/>
  <c r="C1681" i="5" s="1"/>
  <c r="B1682" i="5"/>
  <c r="B1683" i="5" l="1"/>
  <c r="C1682" i="5" a="1"/>
  <c r="C1682" i="5" s="1"/>
  <c r="A1682" i="5" a="1"/>
  <c r="A1682" i="5" s="1"/>
  <c r="C1683" i="5" l="1" a="1"/>
  <c r="C1683" i="5" s="1"/>
  <c r="A1683" i="5" a="1"/>
  <c r="A1683" i="5" s="1"/>
  <c r="B1684" i="5"/>
  <c r="B1685" i="5" l="1"/>
  <c r="C1684" i="5" a="1"/>
  <c r="C1684" i="5" s="1"/>
  <c r="A1684" i="5" a="1"/>
  <c r="A1684" i="5" s="1"/>
  <c r="B1686" i="5" l="1"/>
  <c r="C1685" i="5" a="1"/>
  <c r="C1685" i="5" s="1"/>
  <c r="A1685" i="5" a="1"/>
  <c r="A1685" i="5" s="1"/>
  <c r="C1686" i="5" l="1" a="1"/>
  <c r="C1686" i="5" s="1"/>
  <c r="A1686" i="5" a="1"/>
  <c r="A1686" i="5" s="1"/>
  <c r="B1687" i="5"/>
  <c r="B1688" i="5" l="1"/>
  <c r="A1687" i="5" a="1"/>
  <c r="A1687" i="5" s="1"/>
  <c r="C1687" i="5" a="1"/>
  <c r="C1687" i="5" s="1"/>
  <c r="A1688" i="5" l="1" a="1"/>
  <c r="A1688" i="5" s="1"/>
  <c r="B1689" i="5"/>
  <c r="C1688" i="5" a="1"/>
  <c r="C1688" i="5" s="1"/>
  <c r="A1689" i="5" l="1" a="1"/>
  <c r="A1689" i="5" s="1"/>
  <c r="C1689" i="5" a="1"/>
  <c r="C1689" i="5" s="1"/>
  <c r="B1690" i="5"/>
  <c r="C1690" i="5" l="1" a="1"/>
  <c r="C1690" i="5" s="1"/>
  <c r="A1690" i="5" a="1"/>
  <c r="A1690" i="5" s="1"/>
  <c r="B1691" i="5"/>
  <c r="B1692" i="5" l="1"/>
  <c r="C1691" i="5" a="1"/>
  <c r="C1691" i="5" s="1"/>
  <c r="A1691" i="5" a="1"/>
  <c r="A1691" i="5" s="1"/>
  <c r="B1693" i="5" l="1"/>
  <c r="A1692" i="5" a="1"/>
  <c r="A1692" i="5" s="1"/>
  <c r="C1692" i="5" a="1"/>
  <c r="C1692" i="5" s="1"/>
  <c r="C1693" i="5" l="1" a="1"/>
  <c r="C1693" i="5" s="1"/>
  <c r="B1694" i="5"/>
  <c r="A1693" i="5" a="1"/>
  <c r="A1693" i="5" s="1"/>
  <c r="B1695" i="5" l="1"/>
  <c r="C1694" i="5" a="1"/>
  <c r="C1694" i="5" s="1"/>
  <c r="A1694" i="5" a="1"/>
  <c r="A1694" i="5" s="1"/>
  <c r="C1695" i="5" l="1" a="1"/>
  <c r="C1695" i="5" s="1"/>
  <c r="A1695" i="5" a="1"/>
  <c r="A1695" i="5" s="1"/>
  <c r="B1696" i="5"/>
  <c r="B1697" i="5" l="1"/>
  <c r="C1696" i="5" a="1"/>
  <c r="C1696" i="5" s="1"/>
  <c r="A1696" i="5" a="1"/>
  <c r="A1696" i="5" s="1"/>
  <c r="C1697" i="5" l="1" a="1"/>
  <c r="C1697" i="5" s="1"/>
  <c r="A1697" i="5" a="1"/>
  <c r="A1697" i="5" s="1"/>
  <c r="B1698" i="5"/>
  <c r="B1699" i="5" l="1"/>
  <c r="C1698" i="5" a="1"/>
  <c r="C1698" i="5" s="1"/>
  <c r="A1698" i="5" a="1"/>
  <c r="A1698" i="5" s="1"/>
  <c r="B1700" i="5" l="1"/>
  <c r="C1699" i="5" a="1"/>
  <c r="C1699" i="5" s="1"/>
  <c r="A1699" i="5" a="1"/>
  <c r="A1699" i="5" s="1"/>
  <c r="C1700" i="5" l="1" a="1"/>
  <c r="C1700" i="5" s="1"/>
  <c r="A1700" i="5" a="1"/>
  <c r="A1700" i="5" s="1"/>
  <c r="B1701" i="5"/>
  <c r="B1702" i="5" l="1"/>
  <c r="C1701" i="5" a="1"/>
  <c r="C1701" i="5" s="1"/>
  <c r="A1701" i="5" a="1"/>
  <c r="A1701" i="5" s="1"/>
  <c r="C1702" i="5" l="1" a="1"/>
  <c r="C1702" i="5" s="1"/>
  <c r="A1702" i="5" a="1"/>
  <c r="A1702" i="5" s="1"/>
  <c r="B1703" i="5"/>
  <c r="B1704" i="5" l="1"/>
  <c r="A1703" i="5" a="1"/>
  <c r="A1703" i="5" s="1"/>
  <c r="C1703" i="5" a="1"/>
  <c r="C1703" i="5" s="1"/>
  <c r="C1704" i="5" l="1" a="1"/>
  <c r="C1704" i="5" s="1"/>
  <c r="A1704" i="5" a="1"/>
  <c r="A1704" i="5" s="1"/>
  <c r="B1705" i="5"/>
  <c r="B1706" i="5" l="1"/>
  <c r="C1705" i="5" a="1"/>
  <c r="C1705" i="5" s="1"/>
  <c r="A1705" i="5" a="1"/>
  <c r="A1705" i="5" s="1"/>
  <c r="A1706" i="5" l="1" a="1"/>
  <c r="A1706" i="5" s="1"/>
  <c r="B1707" i="5"/>
  <c r="C1706" i="5" a="1"/>
  <c r="C1706" i="5" s="1"/>
  <c r="C1707" i="5" l="1" a="1"/>
  <c r="C1707" i="5" s="1"/>
  <c r="B1708" i="5"/>
  <c r="A1707" i="5" a="1"/>
  <c r="A1707" i="5" s="1"/>
  <c r="B1709" i="5" l="1"/>
  <c r="C1708" i="5" a="1"/>
  <c r="C1708" i="5" s="1"/>
  <c r="A1708" i="5" a="1"/>
  <c r="A1708" i="5" s="1"/>
  <c r="C1709" i="5" l="1" a="1"/>
  <c r="C1709" i="5" s="1"/>
  <c r="A1709" i="5" a="1"/>
  <c r="A1709" i="5" s="1"/>
  <c r="B1710" i="5"/>
  <c r="B1711" i="5" l="1"/>
  <c r="C1710" i="5" a="1"/>
  <c r="C1710" i="5" s="1"/>
  <c r="A1710" i="5" a="1"/>
  <c r="A1710" i="5" s="1"/>
  <c r="C1711" i="5" l="1" a="1"/>
  <c r="C1711" i="5" s="1"/>
  <c r="A1711" i="5" a="1"/>
  <c r="A1711" i="5" s="1"/>
  <c r="B1712" i="5"/>
  <c r="B1713" i="5" l="1"/>
  <c r="C1712" i="5" a="1"/>
  <c r="C1712" i="5" s="1"/>
  <c r="A1712" i="5" a="1"/>
  <c r="A1712" i="5" s="1"/>
  <c r="A1713" i="5" l="1" a="1"/>
  <c r="A1713" i="5" s="1"/>
  <c r="B1714" i="5"/>
  <c r="C1713" i="5" a="1"/>
  <c r="C1713" i="5" s="1"/>
  <c r="C1714" i="5" l="1" a="1"/>
  <c r="C1714" i="5" s="1"/>
  <c r="B1715" i="5"/>
  <c r="A1714" i="5" a="1"/>
  <c r="A1714" i="5" s="1"/>
  <c r="B1716" i="5" l="1"/>
  <c r="C1715" i="5" a="1"/>
  <c r="C1715" i="5" s="1"/>
  <c r="A1715" i="5" a="1"/>
  <c r="A1715" i="5" s="1"/>
  <c r="C1716" i="5" l="1" a="1"/>
  <c r="C1716" i="5" s="1"/>
  <c r="A1716" i="5" a="1"/>
  <c r="A1716" i="5" s="1"/>
  <c r="B1717" i="5"/>
  <c r="B1718" i="5" l="1"/>
  <c r="C1717" i="5" a="1"/>
  <c r="C1717" i="5" s="1"/>
  <c r="A1717" i="5" a="1"/>
  <c r="A1717" i="5" s="1"/>
  <c r="C1718" i="5" l="1" a="1"/>
  <c r="C1718" i="5" s="1"/>
  <c r="A1718" i="5" a="1"/>
  <c r="A1718" i="5" s="1"/>
  <c r="B1719" i="5"/>
  <c r="B1720" i="5" l="1"/>
  <c r="C1719" i="5" a="1"/>
  <c r="C1719" i="5" s="1"/>
  <c r="A1719" i="5" a="1"/>
  <c r="A1719" i="5" s="1"/>
  <c r="A1720" i="5" l="1" a="1"/>
  <c r="A1720" i="5" s="1"/>
  <c r="B1721" i="5"/>
  <c r="C1720" i="5" a="1"/>
  <c r="C1720" i="5" s="1"/>
  <c r="C1721" i="5" l="1" a="1"/>
  <c r="C1721" i="5" s="1"/>
  <c r="B1722" i="5"/>
  <c r="A1721" i="5" a="1"/>
  <c r="A1721" i="5" s="1"/>
  <c r="B1723" i="5" l="1"/>
  <c r="A1722" i="5" a="1"/>
  <c r="A1722" i="5" s="1"/>
  <c r="C1722" i="5" a="1"/>
  <c r="C1722" i="5" s="1"/>
  <c r="C1723" i="5" l="1" a="1"/>
  <c r="C1723" i="5" s="1"/>
  <c r="A1723" i="5" a="1"/>
  <c r="A1723" i="5" s="1"/>
  <c r="B1724" i="5"/>
  <c r="B1725" i="5" l="1"/>
  <c r="C1724" i="5" a="1"/>
  <c r="C1724" i="5" s="1"/>
  <c r="A1724" i="5" a="1"/>
  <c r="A1724" i="5" s="1"/>
  <c r="C1725" i="5" l="1" a="1"/>
  <c r="C1725" i="5" s="1"/>
  <c r="A1725" i="5" a="1"/>
  <c r="A1725" i="5" s="1"/>
  <c r="B1726" i="5"/>
  <c r="B1727" i="5" l="1"/>
  <c r="C1726" i="5" a="1"/>
  <c r="C1726" i="5" s="1"/>
  <c r="A1726" i="5" a="1"/>
  <c r="A1726" i="5" s="1"/>
  <c r="A1727" i="5" l="1" a="1"/>
  <c r="A1727" i="5" s="1"/>
  <c r="B1728" i="5"/>
  <c r="C1727" i="5" a="1"/>
  <c r="C1727" i="5" s="1"/>
  <c r="C1728" i="5" l="1" a="1"/>
  <c r="C1728" i="5" s="1"/>
  <c r="A1728" i="5" a="1"/>
  <c r="A1728" i="5" s="1"/>
  <c r="B1729" i="5"/>
  <c r="B1730" i="5" l="1"/>
  <c r="A1729" i="5" a="1"/>
  <c r="A1729" i="5" s="1"/>
  <c r="C1729" i="5" a="1"/>
  <c r="C1729" i="5" s="1"/>
  <c r="C1730" i="5" l="1" a="1"/>
  <c r="C1730" i="5" s="1"/>
  <c r="A1730" i="5" a="1"/>
  <c r="A1730" i="5" s="1"/>
  <c r="B1731" i="5"/>
  <c r="B1732" i="5" l="1"/>
  <c r="C1731" i="5" a="1"/>
  <c r="C1731" i="5" s="1"/>
  <c r="A1731" i="5" a="1"/>
  <c r="A1731" i="5" s="1"/>
  <c r="C1732" i="5" l="1" a="1"/>
  <c r="C1732" i="5" s="1"/>
  <c r="A1732" i="5" a="1"/>
  <c r="A1732" i="5" s="1"/>
  <c r="B1733" i="5"/>
  <c r="B1734" i="5" l="1"/>
  <c r="C1733" i="5" a="1"/>
  <c r="C1733" i="5" s="1"/>
  <c r="A1733" i="5" a="1"/>
  <c r="A1733" i="5" s="1"/>
  <c r="A1734" i="5" l="1" a="1"/>
  <c r="A1734" i="5" s="1"/>
  <c r="B1735" i="5"/>
  <c r="C1734" i="5" a="1"/>
  <c r="C1734" i="5" s="1"/>
  <c r="C1735" i="5" l="1" a="1"/>
  <c r="C1735" i="5" s="1"/>
  <c r="A1735" i="5" a="1"/>
  <c r="A1735" i="5" s="1"/>
  <c r="B1736" i="5"/>
  <c r="B1737" i="5" l="1"/>
  <c r="A1736" i="5" a="1"/>
  <c r="A1736" i="5" s="1"/>
  <c r="C1736" i="5" a="1"/>
  <c r="C1736" i="5" s="1"/>
  <c r="C1737" i="5" l="1" a="1"/>
  <c r="C1737" i="5" s="1"/>
  <c r="A1737" i="5" a="1"/>
  <c r="A1737" i="5" s="1"/>
  <c r="B1738" i="5"/>
  <c r="B1739" i="5" l="1"/>
  <c r="C1738" i="5" a="1"/>
  <c r="C1738" i="5" s="1"/>
  <c r="A1738" i="5" a="1"/>
  <c r="A1738" i="5" s="1"/>
  <c r="C1739" i="5" l="1" a="1"/>
  <c r="C1739" i="5" s="1"/>
  <c r="A1739" i="5" a="1"/>
  <c r="A1739" i="5" s="1"/>
  <c r="B1740" i="5"/>
  <c r="B1741" i="5" l="1"/>
  <c r="C1740" i="5" a="1"/>
  <c r="C1740" i="5" s="1"/>
  <c r="A1740" i="5" a="1"/>
  <c r="A1740" i="5" s="1"/>
  <c r="A1741" i="5" l="1" a="1"/>
  <c r="A1741" i="5" s="1"/>
  <c r="B1742" i="5"/>
  <c r="C1741" i="5" a="1"/>
  <c r="C1741" i="5" s="1"/>
  <c r="C1742" i="5" l="1" a="1"/>
  <c r="C1742" i="5" s="1"/>
  <c r="A1742" i="5" a="1"/>
  <c r="A1742" i="5" s="1"/>
  <c r="B1743" i="5"/>
  <c r="C1743" i="5" l="1" a="1"/>
  <c r="C1743" i="5" s="1"/>
  <c r="B1744" i="5"/>
  <c r="A1743" i="5" a="1"/>
  <c r="A1743" i="5" s="1"/>
  <c r="B1745" i="5" l="1"/>
  <c r="C1744" i="5" a="1"/>
  <c r="C1744" i="5" s="1"/>
  <c r="A1744" i="5" a="1"/>
  <c r="A1744" i="5" s="1"/>
  <c r="A1745" i="5" l="1" a="1"/>
  <c r="A1745" i="5" s="1"/>
  <c r="B1746" i="5"/>
  <c r="C1745" i="5" a="1"/>
  <c r="C1745" i="5" s="1"/>
  <c r="B1747" i="5" l="1"/>
  <c r="C1746" i="5" a="1"/>
  <c r="C1746" i="5" s="1"/>
  <c r="A1746" i="5" a="1"/>
  <c r="A1746" i="5" s="1"/>
  <c r="A1747" i="5" l="1" a="1"/>
  <c r="A1747" i="5" s="1"/>
  <c r="B1748" i="5"/>
  <c r="C1747" i="5" a="1"/>
  <c r="C1747" i="5" s="1"/>
  <c r="C1748" i="5" l="1" a="1"/>
  <c r="C1748" i="5" s="1"/>
  <c r="A1748" i="5" a="1"/>
  <c r="A1748" i="5" s="1"/>
  <c r="B1749" i="5"/>
  <c r="A1749" i="5" l="1" a="1"/>
  <c r="A1749" i="5" s="1"/>
  <c r="B1750" i="5"/>
  <c r="C1749" i="5" a="1"/>
  <c r="C1749" i="5" s="1"/>
  <c r="C1750" i="5" l="1" a="1"/>
  <c r="C1750" i="5" s="1"/>
  <c r="A1750" i="5" a="1"/>
  <c r="A1750" i="5" s="1"/>
  <c r="B1751" i="5"/>
  <c r="B1752" i="5" l="1"/>
  <c r="A1751" i="5" a="1"/>
  <c r="A1751" i="5" s="1"/>
  <c r="C1751" i="5" a="1"/>
  <c r="C1751" i="5" s="1"/>
  <c r="A1752" i="5" l="1" a="1"/>
  <c r="A1752" i="5" s="1"/>
  <c r="C1752" i="5" a="1"/>
  <c r="C1752" i="5" s="1"/>
  <c r="B1753" i="5"/>
  <c r="A1753" i="5" l="1" a="1"/>
  <c r="A1753" i="5" s="1"/>
  <c r="B1754" i="5"/>
  <c r="C1753" i="5" a="1"/>
  <c r="C1753" i="5" s="1"/>
  <c r="I1753" i="5"/>
  <c r="C1754" i="5" l="1" a="1"/>
  <c r="C1754" i="5" s="1"/>
  <c r="A1754" i="5" a="1"/>
  <c r="A1754" i="5" s="1"/>
  <c r="B1755" i="5"/>
  <c r="A1755" i="5" l="1" a="1"/>
  <c r="A1755" i="5" s="1"/>
  <c r="B1756" i="5"/>
  <c r="C1755" i="5" a="1"/>
  <c r="C1755" i="5" s="1"/>
  <c r="C1756" i="5" l="1" a="1"/>
  <c r="C1756" i="5" s="1"/>
  <c r="A1756" i="5" a="1"/>
  <c r="A1756" i="5" s="1"/>
  <c r="B1757" i="5"/>
  <c r="C1757" i="5" l="1" a="1"/>
  <c r="C1757" i="5" s="1"/>
  <c r="A1757" i="5" a="1"/>
  <c r="A1757" i="5" s="1"/>
  <c r="B1758" i="5"/>
  <c r="B1759" i="5" l="1"/>
  <c r="C1758" i="5" a="1"/>
  <c r="C1758" i="5" s="1"/>
  <c r="A1758" i="5" a="1"/>
  <c r="A1758" i="5" s="1"/>
  <c r="C1759" i="5" l="1" a="1"/>
  <c r="C1759" i="5" s="1"/>
  <c r="A1759" i="5" a="1"/>
  <c r="A1759" i="5" s="1"/>
  <c r="B1760" i="5"/>
  <c r="B1761" i="5" l="1"/>
  <c r="C1760" i="5" a="1"/>
  <c r="C1760" i="5" s="1"/>
  <c r="A1760" i="5" a="1"/>
  <c r="A1760" i="5" s="1"/>
  <c r="A1761" i="5" l="1" a="1"/>
  <c r="A1761" i="5" s="1"/>
  <c r="B1762" i="5"/>
  <c r="C1761" i="5" a="1"/>
  <c r="C1761" i="5" s="1"/>
  <c r="A1762" i="5" l="1" a="1"/>
  <c r="A1762" i="5" s="1"/>
  <c r="B1763" i="5"/>
  <c r="C1762" i="5" a="1"/>
  <c r="C1762" i="5" s="1"/>
  <c r="A1763" i="5" l="1" a="1"/>
  <c r="A1763" i="5" s="1"/>
  <c r="B1764" i="5"/>
  <c r="C1763" i="5" a="1"/>
  <c r="C1763" i="5" s="1"/>
  <c r="C1764" i="5" l="1" a="1"/>
  <c r="C1764" i="5" s="1"/>
  <c r="A1764" i="5" a="1"/>
  <c r="A1764" i="5" s="1"/>
  <c r="B1765" i="5"/>
  <c r="B1766" i="5" l="1"/>
  <c r="A1765" i="5" a="1"/>
  <c r="A1765" i="5" s="1"/>
  <c r="C1765" i="5" a="1"/>
  <c r="C1765" i="5" s="1"/>
  <c r="C1766" i="5" l="1" a="1"/>
  <c r="C1766" i="5" s="1"/>
  <c r="A1766" i="5" a="1"/>
  <c r="A1766" i="5" s="1"/>
  <c r="B1767" i="5"/>
  <c r="B1768" i="5" l="1"/>
  <c r="C1767" i="5" a="1"/>
  <c r="C1767" i="5" s="1"/>
  <c r="A1767" i="5" a="1"/>
  <c r="A1767" i="5" s="1"/>
  <c r="A1768" i="5" l="1" a="1"/>
  <c r="A1768" i="5" s="1"/>
  <c r="B1769" i="5"/>
  <c r="C1768" i="5" a="1"/>
  <c r="C1768" i="5" s="1"/>
  <c r="B1770" i="5" l="1"/>
  <c r="C1769" i="5" a="1"/>
  <c r="C1769" i="5" s="1"/>
  <c r="A1769" i="5" a="1"/>
  <c r="A1769" i="5" s="1"/>
  <c r="A1770" i="5" l="1" a="1"/>
  <c r="A1770" i="5" s="1"/>
  <c r="C1770" i="5" a="1"/>
  <c r="C1770" i="5" s="1"/>
  <c r="B1771" i="5"/>
  <c r="C1771" i="5" l="1" a="1"/>
  <c r="C1771" i="5" s="1"/>
  <c r="A1771" i="5" a="1"/>
  <c r="A1771" i="5" s="1"/>
  <c r="B1772" i="5"/>
  <c r="B1773" i="5" l="1"/>
  <c r="C1772" i="5" a="1"/>
  <c r="C1772" i="5" s="1"/>
  <c r="A1772" i="5" a="1"/>
  <c r="A1772" i="5" s="1"/>
  <c r="C1773" i="5" l="1" a="1"/>
  <c r="C1773" i="5" s="1"/>
  <c r="A1773" i="5" a="1"/>
  <c r="A1773" i="5" s="1"/>
  <c r="B1774" i="5"/>
  <c r="B1775" i="5" l="1"/>
  <c r="C1774" i="5" a="1"/>
  <c r="C1774" i="5" s="1"/>
  <c r="A1774" i="5" a="1"/>
  <c r="A1774" i="5" s="1"/>
  <c r="A1775" i="5" l="1" a="1"/>
  <c r="A1775" i="5" s="1"/>
  <c r="C1775" i="5" a="1"/>
  <c r="C1775" i="5" s="1"/>
  <c r="B1776" i="5"/>
  <c r="B1777" i="5" l="1"/>
  <c r="C1776" i="5" a="1"/>
  <c r="C1776" i="5" s="1"/>
  <c r="A1776" i="5" a="1"/>
  <c r="A1776" i="5" s="1"/>
  <c r="A1777" i="5" l="1" a="1"/>
  <c r="A1777" i="5" s="1"/>
  <c r="B1778" i="5"/>
  <c r="C1777" i="5" a="1"/>
  <c r="C1777" i="5" s="1"/>
  <c r="C1778" i="5" l="1" a="1"/>
  <c r="C1778" i="5" s="1"/>
  <c r="A1778" i="5" a="1"/>
  <c r="A1778" i="5" s="1"/>
  <c r="B1779" i="5"/>
  <c r="B1780" i="5" l="1"/>
  <c r="C1779" i="5" a="1"/>
  <c r="C1779" i="5" s="1"/>
  <c r="A1779" i="5" a="1"/>
  <c r="A1779" i="5" s="1"/>
  <c r="C1780" i="5" l="1" a="1"/>
  <c r="C1780" i="5" s="1"/>
  <c r="A1780" i="5" a="1"/>
  <c r="A1780" i="5" s="1"/>
  <c r="B1781" i="5"/>
  <c r="B1782" i="5" l="1"/>
  <c r="A1781" i="5" a="1"/>
  <c r="A1781" i="5" s="1"/>
  <c r="C1781" i="5" a="1"/>
  <c r="C1781" i="5" s="1"/>
  <c r="A1782" i="5" l="1" a="1"/>
  <c r="A1782" i="5" s="1"/>
  <c r="B1783" i="5"/>
  <c r="C1782" i="5" a="1"/>
  <c r="C1782" i="5" s="1"/>
  <c r="B1784" i="5" l="1"/>
  <c r="C1783" i="5" a="1"/>
  <c r="C1783" i="5" s="1"/>
  <c r="A1783" i="5" a="1"/>
  <c r="A1783" i="5" s="1"/>
  <c r="A1784" i="5" l="1" a="1"/>
  <c r="A1784" i="5" s="1"/>
  <c r="B1785" i="5"/>
  <c r="C1784" i="5" a="1"/>
  <c r="C1784" i="5" s="1"/>
  <c r="C1785" i="5" l="1" a="1"/>
  <c r="C1785" i="5" s="1"/>
  <c r="A1785" i="5" a="1"/>
  <c r="A1785" i="5" s="1"/>
  <c r="B1786" i="5"/>
  <c r="B1787" i="5" l="1"/>
  <c r="C1786" i="5" a="1"/>
  <c r="C1786" i="5" s="1"/>
  <c r="A1786" i="5" a="1"/>
  <c r="A1786" i="5" s="1"/>
  <c r="C1787" i="5" l="1" a="1"/>
  <c r="C1787" i="5" s="1"/>
  <c r="A1787" i="5" a="1"/>
  <c r="A1787" i="5" s="1"/>
  <c r="B1788" i="5"/>
  <c r="B1789" i="5" l="1"/>
  <c r="C1788" i="5" a="1"/>
  <c r="C1788" i="5" s="1"/>
  <c r="A1788" i="5" a="1"/>
  <c r="A1788" i="5" s="1"/>
  <c r="A1789" i="5" l="1" a="1"/>
  <c r="A1789" i="5" s="1"/>
  <c r="C1789" i="5" a="1"/>
  <c r="C1789" i="5" s="1"/>
  <c r="B1790" i="5"/>
  <c r="B1791" i="5" l="1"/>
  <c r="C1790" i="5" a="1"/>
  <c r="C1790" i="5" s="1"/>
  <c r="A1790" i="5" a="1"/>
  <c r="A1790" i="5" s="1"/>
  <c r="A1791" i="5" l="1" a="1"/>
  <c r="A1791" i="5" s="1"/>
  <c r="B1792" i="5"/>
  <c r="C1791" i="5" a="1"/>
  <c r="C1791" i="5" s="1"/>
  <c r="C1792" i="5" l="1" a="1"/>
  <c r="C1792" i="5" s="1"/>
  <c r="A1792" i="5" a="1"/>
  <c r="A1792" i="5" s="1"/>
  <c r="B1793" i="5"/>
  <c r="B1794" i="5" l="1"/>
  <c r="C1793" i="5" a="1"/>
  <c r="C1793" i="5" s="1"/>
  <c r="A1793" i="5" a="1"/>
  <c r="A1793" i="5" s="1"/>
  <c r="C1794" i="5" l="1" a="1"/>
  <c r="C1794" i="5" s="1"/>
  <c r="A1794" i="5" a="1"/>
  <c r="A1794" i="5" s="1"/>
  <c r="B1795" i="5"/>
  <c r="B1796" i="5" l="1"/>
  <c r="A1795" i="5" a="1"/>
  <c r="A1795" i="5" s="1"/>
  <c r="C1795" i="5" a="1"/>
  <c r="C1795" i="5" s="1"/>
  <c r="A1796" i="5" l="1" a="1"/>
  <c r="A1796" i="5" s="1"/>
  <c r="B1797" i="5"/>
  <c r="C1796" i="5" a="1"/>
  <c r="C1796" i="5" s="1"/>
  <c r="C1797" i="5" l="1" a="1"/>
  <c r="C1797" i="5" s="1"/>
  <c r="A1797" i="5" a="1"/>
  <c r="A1797" i="5" s="1"/>
  <c r="B1798" i="5"/>
  <c r="A1798" i="5" l="1" a="1"/>
  <c r="A1798" i="5" s="1"/>
  <c r="B1799" i="5"/>
  <c r="C1798" i="5" a="1"/>
  <c r="C1798" i="5" s="1"/>
  <c r="C1799" i="5" l="1" a="1"/>
  <c r="C1799" i="5" s="1"/>
  <c r="A1799" i="5" a="1"/>
  <c r="A1799" i="5" s="1"/>
  <c r="B1800" i="5"/>
  <c r="B1801" i="5" l="1"/>
  <c r="C1800" i="5" a="1"/>
  <c r="C1800" i="5" s="1"/>
  <c r="A1800" i="5" a="1"/>
  <c r="A1800" i="5" s="1"/>
  <c r="C1801" i="5" l="1" a="1"/>
  <c r="C1801" i="5" s="1"/>
  <c r="A1801" i="5" a="1"/>
  <c r="A1801" i="5" s="1"/>
  <c r="B1802" i="5"/>
  <c r="B1803" i="5" l="1"/>
  <c r="C1802" i="5" a="1"/>
  <c r="C1802" i="5" s="1"/>
  <c r="A1802" i="5" a="1"/>
  <c r="A1802" i="5" s="1"/>
  <c r="A1803" i="5" l="1" a="1"/>
  <c r="A1803" i="5" s="1"/>
  <c r="C1803" i="5" a="1"/>
  <c r="C1803" i="5" s="1"/>
  <c r="B1804" i="5"/>
  <c r="B1805" i="5" l="1"/>
  <c r="C1804" i="5" a="1"/>
  <c r="C1804" i="5" s="1"/>
  <c r="A1804" i="5" a="1"/>
  <c r="A1804" i="5" s="1"/>
  <c r="A1805" i="5" l="1" a="1"/>
  <c r="A1805" i="5" s="1"/>
  <c r="B1806" i="5"/>
  <c r="C1805" i="5" a="1"/>
  <c r="C1805" i="5" s="1"/>
  <c r="C1806" i="5" l="1" a="1"/>
  <c r="C1806" i="5" s="1"/>
  <c r="A1806" i="5" a="1"/>
  <c r="A1806" i="5" s="1"/>
  <c r="B1807" i="5"/>
  <c r="B1808" i="5" l="1"/>
  <c r="C1807" i="5" a="1"/>
  <c r="C1807" i="5" s="1"/>
  <c r="A1807" i="5" a="1"/>
  <c r="A1807" i="5" s="1"/>
  <c r="C1808" i="5" l="1" a="1"/>
  <c r="C1808" i="5" s="1"/>
  <c r="A1808" i="5" a="1"/>
  <c r="A1808" i="5" s="1"/>
  <c r="B1809" i="5"/>
  <c r="B1810" i="5" l="1"/>
  <c r="A1809" i="5" a="1"/>
  <c r="A1809" i="5" s="1"/>
  <c r="C1809" i="5" a="1"/>
  <c r="C1809" i="5" s="1"/>
  <c r="A1810" i="5" l="1" a="1"/>
  <c r="A1810" i="5" s="1"/>
  <c r="B1811" i="5"/>
  <c r="C1810" i="5" a="1"/>
  <c r="C1810" i="5" s="1"/>
  <c r="C1811" i="5" l="1" a="1"/>
  <c r="C1811" i="5" s="1"/>
  <c r="B1812" i="5"/>
  <c r="A1811" i="5" a="1"/>
  <c r="A1811" i="5" s="1"/>
  <c r="A1812" i="5" l="1" a="1"/>
  <c r="A1812" i="5" s="1"/>
  <c r="B1813" i="5"/>
  <c r="C1812" i="5" a="1"/>
  <c r="C1812" i="5" s="1"/>
  <c r="C1813" i="5" l="1" a="1"/>
  <c r="C1813" i="5" s="1"/>
  <c r="A1813" i="5" a="1"/>
  <c r="A1813" i="5" s="1"/>
  <c r="B1814" i="5"/>
  <c r="B1815" i="5" l="1"/>
  <c r="C1814" i="5" a="1"/>
  <c r="C1814" i="5" s="1"/>
  <c r="A1814" i="5" a="1"/>
  <c r="A1814" i="5" s="1"/>
  <c r="C1815" i="5" l="1" a="1"/>
  <c r="C1815" i="5" s="1"/>
  <c r="A1815" i="5" a="1"/>
  <c r="A1815" i="5" s="1"/>
  <c r="B1816" i="5"/>
  <c r="B1817" i="5" l="1"/>
  <c r="C1816" i="5" a="1"/>
  <c r="C1816" i="5" s="1"/>
  <c r="A1816" i="5" a="1"/>
  <c r="A1816" i="5" s="1"/>
  <c r="A1817" i="5" l="1" a="1"/>
  <c r="A1817" i="5" s="1"/>
  <c r="C1817" i="5" a="1"/>
  <c r="C1817" i="5" s="1"/>
  <c r="B1818" i="5"/>
  <c r="C1818" i="5" l="1" a="1"/>
  <c r="C1818" i="5" s="1"/>
  <c r="A1818" i="5" a="1"/>
  <c r="A1818" i="5" s="1"/>
  <c r="B1819" i="5"/>
  <c r="A1819" i="5" l="1" a="1"/>
  <c r="A1819" i="5" s="1"/>
  <c r="B1820" i="5"/>
  <c r="C1819" i="5" a="1"/>
  <c r="C1819" i="5" s="1"/>
  <c r="C1820" i="5" l="1" a="1"/>
  <c r="C1820" i="5" s="1"/>
  <c r="A1820" i="5" a="1"/>
  <c r="A1820" i="5" s="1"/>
  <c r="B1821" i="5"/>
  <c r="B1822" i="5" l="1"/>
  <c r="A1821" i="5" a="1"/>
  <c r="A1821" i="5" s="1"/>
  <c r="C1821" i="5" a="1"/>
  <c r="C1821" i="5" s="1"/>
  <c r="C1822" i="5" l="1" a="1"/>
  <c r="C1822" i="5" s="1"/>
  <c r="A1822" i="5" a="1"/>
  <c r="A1822" i="5" s="1"/>
  <c r="B1823" i="5"/>
  <c r="C1823" i="5" l="1" a="1"/>
  <c r="C1823" i="5" s="1"/>
  <c r="B1824" i="5"/>
  <c r="A1823" i="5" a="1"/>
  <c r="A1823" i="5" s="1"/>
  <c r="B1825" i="5" l="1"/>
  <c r="C1824" i="5" a="1"/>
  <c r="C1824" i="5" s="1"/>
  <c r="A1824" i="5" a="1"/>
  <c r="A1824" i="5" s="1"/>
  <c r="I1824" i="5"/>
  <c r="B1826" i="5" l="1"/>
  <c r="A1825" i="5" a="1"/>
  <c r="A1825" i="5" s="1"/>
  <c r="C1825" i="5" a="1"/>
  <c r="C1825" i="5" s="1"/>
  <c r="C1826" i="5" l="1" a="1"/>
  <c r="C1826" i="5" s="1"/>
  <c r="A1826" i="5" a="1"/>
  <c r="A1826" i="5" s="1"/>
  <c r="B1827" i="5"/>
  <c r="B1828" i="5" l="1"/>
  <c r="C1827" i="5" a="1"/>
  <c r="C1827" i="5" s="1"/>
  <c r="A1827" i="5" a="1"/>
  <c r="A1827" i="5" s="1"/>
  <c r="A1828" i="5" l="1" a="1"/>
  <c r="A1828" i="5" s="1"/>
  <c r="C1828" i="5" a="1"/>
  <c r="C1828" i="5" s="1"/>
  <c r="B1829" i="5"/>
  <c r="B1830" i="5" l="1"/>
  <c r="C1829" i="5" a="1"/>
  <c r="C1829" i="5" s="1"/>
  <c r="A1829" i="5" a="1"/>
  <c r="A1829" i="5" s="1"/>
  <c r="C1830" i="5" l="1" a="1"/>
  <c r="C1830" i="5" s="1"/>
  <c r="A1830" i="5" a="1"/>
  <c r="A1830" i="5" s="1"/>
  <c r="B1831" i="5"/>
  <c r="B1832" i="5" l="1"/>
  <c r="C1831" i="5" a="1"/>
  <c r="C1831" i="5" s="1"/>
  <c r="A1831" i="5" a="1"/>
  <c r="A1831" i="5" s="1"/>
  <c r="A1832" i="5" l="1" a="1"/>
  <c r="A1832" i="5" s="1"/>
  <c r="B1833" i="5"/>
  <c r="C1832" i="5" a="1"/>
  <c r="C1832" i="5" s="1"/>
  <c r="C1833" i="5" l="1" a="1"/>
  <c r="C1833" i="5" s="1"/>
  <c r="A1833" i="5" a="1"/>
  <c r="A1833" i="5" s="1"/>
  <c r="B1834" i="5"/>
  <c r="A1834" i="5" l="1" a="1"/>
  <c r="A1834" i="5" s="1"/>
  <c r="B1835" i="5"/>
  <c r="C1834" i="5" a="1"/>
  <c r="C1834" i="5" s="1"/>
  <c r="C1835" i="5" l="1" a="1"/>
  <c r="C1835" i="5" s="1"/>
  <c r="A1835" i="5" a="1"/>
  <c r="A1835" i="5" s="1"/>
  <c r="B1836" i="5"/>
  <c r="B1837" i="5" l="1"/>
  <c r="C1836" i="5" a="1"/>
  <c r="C1836" i="5" s="1"/>
  <c r="A1836" i="5" a="1"/>
  <c r="A1836" i="5" s="1"/>
  <c r="C1837" i="5" l="1" a="1"/>
  <c r="C1837" i="5" s="1"/>
  <c r="A1837" i="5" a="1"/>
  <c r="A1837" i="5" s="1"/>
  <c r="B1838" i="5"/>
  <c r="B1839" i="5" l="1"/>
  <c r="C1838" i="5" a="1"/>
  <c r="C1838" i="5" s="1"/>
  <c r="A1838" i="5" a="1"/>
  <c r="A1838" i="5" s="1"/>
  <c r="C1839" i="5" l="1" a="1"/>
  <c r="C1839" i="5" s="1"/>
  <c r="A1839" i="5" a="1"/>
  <c r="A1839" i="5" s="1"/>
  <c r="B1840" i="5"/>
  <c r="B1841" i="5" l="1"/>
  <c r="C1840" i="5" a="1"/>
  <c r="C1840" i="5" s="1"/>
  <c r="A1840" i="5" a="1"/>
  <c r="A1840" i="5" s="1"/>
  <c r="C1841" i="5" l="1" a="1"/>
  <c r="C1841" i="5" s="1"/>
  <c r="A1841" i="5" a="1"/>
  <c r="A1841" i="5" s="1"/>
  <c r="B1842" i="5"/>
  <c r="B1843" i="5" l="1"/>
  <c r="C1842" i="5" a="1"/>
  <c r="C1842" i="5" s="1"/>
  <c r="A1842" i="5" a="1"/>
  <c r="A1842" i="5" s="1"/>
  <c r="C1843" i="5" l="1" a="1"/>
  <c r="C1843" i="5" s="1"/>
  <c r="A1843" i="5" a="1"/>
  <c r="A1843" i="5" s="1"/>
  <c r="B1844" i="5"/>
  <c r="C1844" i="5" l="1" a="1"/>
  <c r="C1844" i="5" s="1"/>
  <c r="B1845" i="5"/>
  <c r="A1844" i="5" a="1"/>
  <c r="A1844" i="5" s="1"/>
  <c r="B1846" i="5" l="1"/>
  <c r="A1845" i="5" a="1"/>
  <c r="A1845" i="5" s="1"/>
  <c r="C1845" i="5" a="1"/>
  <c r="C1845" i="5" s="1"/>
  <c r="B1847" i="5" l="1"/>
  <c r="C1846" i="5" a="1"/>
  <c r="C1846" i="5" s="1"/>
  <c r="A1846" i="5" a="1"/>
  <c r="A1846" i="5" s="1"/>
  <c r="A1847" i="5" l="1" a="1"/>
  <c r="A1847" i="5" s="1"/>
  <c r="B1848" i="5"/>
  <c r="C1847" i="5" a="1"/>
  <c r="C1847" i="5" s="1"/>
  <c r="C1848" i="5" l="1" a="1"/>
  <c r="C1848" i="5" s="1"/>
  <c r="A1848" i="5" a="1"/>
  <c r="A1848" i="5" s="1"/>
  <c r="B1849" i="5"/>
  <c r="A1849" i="5" l="1" a="1"/>
  <c r="A1849" i="5" s="1"/>
  <c r="B1850" i="5"/>
  <c r="C1849" i="5" a="1"/>
  <c r="C1849" i="5" s="1"/>
  <c r="C1850" i="5" l="1" a="1"/>
  <c r="C1850" i="5" s="1"/>
  <c r="A1850" i="5" a="1"/>
  <c r="A1850" i="5" s="1"/>
  <c r="B1851" i="5"/>
  <c r="C1851" i="5" l="1" a="1"/>
  <c r="C1851" i="5" s="1"/>
  <c r="B1852" i="5"/>
  <c r="A1851" i="5" a="1"/>
  <c r="A1851" i="5" s="1"/>
  <c r="B1853" i="5" l="1"/>
  <c r="C1852" i="5" a="1"/>
  <c r="C1852" i="5" s="1"/>
  <c r="A1852" i="5" a="1"/>
  <c r="A1852" i="5" s="1"/>
  <c r="B1854" i="5" l="1"/>
  <c r="C1853" i="5" a="1"/>
  <c r="C1853" i="5" s="1"/>
  <c r="A1853" i="5" a="1"/>
  <c r="A1853" i="5" s="1"/>
  <c r="C1854" i="5" l="1" a="1"/>
  <c r="C1854" i="5" s="1"/>
  <c r="A1854" i="5" a="1"/>
  <c r="A1854" i="5" s="1"/>
  <c r="B1855" i="5"/>
  <c r="B1856" i="5" l="1"/>
  <c r="C1855" i="5" a="1"/>
  <c r="C1855" i="5" s="1"/>
  <c r="A1855" i="5" a="1"/>
  <c r="A1855" i="5" s="1"/>
  <c r="C1856" i="5" l="1" a="1"/>
  <c r="C1856" i="5" s="1"/>
  <c r="A1856" i="5" a="1"/>
  <c r="A1856" i="5" s="1"/>
  <c r="B1857" i="5"/>
  <c r="B1858" i="5" l="1"/>
  <c r="C1857" i="5" a="1"/>
  <c r="C1857" i="5" s="1"/>
  <c r="A1857" i="5" a="1"/>
  <c r="A1857" i="5" s="1"/>
  <c r="C1858" i="5" l="1" a="1"/>
  <c r="C1858" i="5" s="1"/>
  <c r="A1858" i="5" a="1"/>
  <c r="A1858" i="5" s="1"/>
  <c r="B1859" i="5"/>
  <c r="B1860" i="5" l="1"/>
  <c r="C1859" i="5" a="1"/>
  <c r="C1859" i="5" s="1"/>
  <c r="A1859" i="5" a="1"/>
  <c r="A1859" i="5" s="1"/>
  <c r="C1860" i="5" l="1" a="1"/>
  <c r="C1860" i="5" s="1"/>
  <c r="A1860" i="5" a="1"/>
  <c r="A1860" i="5" s="1"/>
  <c r="B1861" i="5"/>
  <c r="B1862" i="5" l="1"/>
  <c r="C1861" i="5" a="1"/>
  <c r="C1861" i="5" s="1"/>
  <c r="A1861" i="5" a="1"/>
  <c r="A1861" i="5" s="1"/>
  <c r="A1862" i="5" l="1" a="1"/>
  <c r="A1862" i="5" s="1"/>
  <c r="B1863" i="5"/>
  <c r="C1862" i="5" a="1"/>
  <c r="C1862" i="5" s="1"/>
  <c r="B1864" i="5" l="1"/>
  <c r="C1863" i="5" a="1"/>
  <c r="C1863" i="5" s="1"/>
  <c r="A1863" i="5" a="1"/>
  <c r="A1863" i="5" s="1"/>
  <c r="A1864" i="5" l="1" a="1"/>
  <c r="A1864" i="5" s="1"/>
  <c r="B1865" i="5"/>
  <c r="C1864" i="5" a="1"/>
  <c r="C1864" i="5" s="1"/>
  <c r="C1865" i="5" l="1" a="1"/>
  <c r="C1865" i="5" s="1"/>
  <c r="A1865" i="5" a="1"/>
  <c r="A1865" i="5" s="1"/>
  <c r="B1866" i="5"/>
  <c r="B1867" i="5" l="1"/>
  <c r="A1866" i="5" a="1"/>
  <c r="A1866" i="5" s="1"/>
  <c r="C1866" i="5" a="1"/>
  <c r="C1866" i="5" s="1"/>
  <c r="C1867" i="5" l="1" a="1"/>
  <c r="C1867" i="5" s="1"/>
  <c r="A1867" i="5" a="1"/>
  <c r="A1867" i="5" s="1"/>
  <c r="B1868" i="5"/>
  <c r="B1869" i="5" l="1"/>
  <c r="C1868" i="5" a="1"/>
  <c r="C1868" i="5" s="1"/>
  <c r="A1868" i="5" a="1"/>
  <c r="A1868" i="5" s="1"/>
  <c r="C1869" i="5" l="1" a="1"/>
  <c r="C1869" i="5" s="1"/>
  <c r="A1869" i="5" a="1"/>
  <c r="A1869" i="5" s="1"/>
  <c r="B1870" i="5"/>
  <c r="B1871" i="5" l="1"/>
  <c r="A1870" i="5" a="1"/>
  <c r="A1870" i="5" s="1"/>
  <c r="C1870" i="5" a="1"/>
  <c r="C1870" i="5" s="1"/>
  <c r="C1871" i="5" l="1" a="1"/>
  <c r="C1871" i="5" s="1"/>
  <c r="A1871" i="5" a="1"/>
  <c r="A1871" i="5" s="1"/>
  <c r="B1872" i="5"/>
  <c r="C1872" i="5" l="1" a="1"/>
  <c r="C1872" i="5" s="1"/>
  <c r="B1873" i="5"/>
  <c r="A1872" i="5" a="1"/>
  <c r="A1872" i="5" s="1"/>
  <c r="B1874" i="5" l="1"/>
  <c r="C1873" i="5" a="1"/>
  <c r="C1873" i="5" s="1"/>
  <c r="A1873" i="5" a="1"/>
  <c r="A1873" i="5" s="1"/>
  <c r="A1874" i="5" l="1" a="1"/>
  <c r="A1874" i="5" s="1"/>
  <c r="B1875" i="5"/>
  <c r="C1874" i="5" a="1"/>
  <c r="C1874" i="5" s="1"/>
  <c r="C1875" i="5" l="1" a="1"/>
  <c r="C1875" i="5" s="1"/>
  <c r="A1875" i="5" a="1"/>
  <c r="A1875" i="5" s="1"/>
  <c r="B1876" i="5"/>
  <c r="B1877" i="5" l="1"/>
  <c r="C1876" i="5" a="1"/>
  <c r="C1876" i="5" s="1"/>
  <c r="A1876" i="5" a="1"/>
  <c r="A1876" i="5" s="1"/>
  <c r="C1877" i="5" l="1" a="1"/>
  <c r="C1877" i="5" s="1"/>
  <c r="A1877" i="5" a="1"/>
  <c r="A1877" i="5" s="1"/>
  <c r="B1878" i="5"/>
  <c r="B1879" i="5" l="1"/>
  <c r="C1878" i="5" a="1"/>
  <c r="C1878" i="5" s="1"/>
  <c r="A1878" i="5" a="1"/>
  <c r="A1878" i="5" s="1"/>
  <c r="C1879" i="5" l="1" a="1"/>
  <c r="C1879" i="5" s="1"/>
  <c r="A1879" i="5" a="1"/>
  <c r="A1879" i="5" s="1"/>
  <c r="B1880" i="5"/>
  <c r="B1881" i="5" l="1"/>
  <c r="C1880" i="5" a="1"/>
  <c r="C1880" i="5" s="1"/>
  <c r="A1880" i="5" a="1"/>
  <c r="A1880" i="5" s="1"/>
  <c r="A1881" i="5" l="1" a="1"/>
  <c r="A1881" i="5" s="1"/>
  <c r="C1881" i="5" a="1"/>
  <c r="C1881" i="5" s="1"/>
  <c r="B1882" i="5"/>
  <c r="C1882" i="5" l="1" a="1"/>
  <c r="C1882" i="5" s="1"/>
  <c r="A1882" i="5" a="1"/>
  <c r="A1882" i="5" s="1"/>
  <c r="B1883" i="5"/>
  <c r="B1884" i="5" l="1"/>
  <c r="C1883" i="5" a="1"/>
  <c r="C1883" i="5" s="1"/>
  <c r="A1883" i="5" a="1"/>
  <c r="A1883" i="5" s="1"/>
  <c r="C1884" i="5" l="1" a="1"/>
  <c r="C1884" i="5" s="1"/>
  <c r="A1884" i="5" a="1"/>
  <c r="A1884" i="5" s="1"/>
  <c r="B1885" i="5"/>
  <c r="B1886" i="5" l="1"/>
  <c r="C1885" i="5" a="1"/>
  <c r="C1885" i="5" s="1"/>
  <c r="A1885" i="5" a="1"/>
  <c r="A1885" i="5" s="1"/>
  <c r="C1886" i="5" l="1" a="1"/>
  <c r="C1886" i="5" s="1"/>
  <c r="A1886" i="5" a="1"/>
  <c r="A1886" i="5" s="1"/>
  <c r="B1887" i="5"/>
  <c r="B1888" i="5" l="1"/>
  <c r="A1887" i="5" a="1"/>
  <c r="A1887" i="5" s="1"/>
  <c r="C1887" i="5" a="1"/>
  <c r="C1887" i="5" s="1"/>
  <c r="A1888" i="5" l="1" a="1"/>
  <c r="A1888" i="5" s="1"/>
  <c r="B1889" i="5"/>
  <c r="C1888" i="5" a="1"/>
  <c r="C1888" i="5" s="1"/>
  <c r="C1889" i="5" l="1" a="1"/>
  <c r="C1889" i="5" s="1"/>
  <c r="A1889" i="5" a="1"/>
  <c r="A1889" i="5" s="1"/>
  <c r="B1890" i="5"/>
  <c r="B1891" i="5" l="1"/>
  <c r="C1890" i="5" a="1"/>
  <c r="C1890" i="5" s="1"/>
  <c r="A1890" i="5" a="1"/>
  <c r="A1890" i="5" s="1"/>
  <c r="C1891" i="5" l="1" a="1"/>
  <c r="C1891" i="5" s="1"/>
  <c r="B1892" i="5"/>
  <c r="A1891" i="5" a="1"/>
  <c r="A1891" i="5" s="1"/>
  <c r="B1893" i="5" l="1"/>
  <c r="A1892" i="5" a="1"/>
  <c r="A1892" i="5" s="1"/>
  <c r="C1892" i="5" a="1"/>
  <c r="C1892" i="5" s="1"/>
  <c r="C1893" i="5" l="1" a="1"/>
  <c r="C1893" i="5" s="1"/>
  <c r="A1893" i="5" a="1"/>
  <c r="A1893" i="5" s="1"/>
  <c r="B1894" i="5"/>
  <c r="B1895" i="5" l="1"/>
  <c r="C1894" i="5" a="1"/>
  <c r="C1894" i="5" s="1"/>
  <c r="A1894" i="5" a="1"/>
  <c r="A1894" i="5" s="1"/>
  <c r="A1895" i="5" l="1" a="1"/>
  <c r="A1895" i="5" s="1"/>
  <c r="B1896" i="5"/>
  <c r="C1895" i="5" a="1"/>
  <c r="C1895" i="5" s="1"/>
  <c r="B1897" i="5" l="1"/>
  <c r="C1896" i="5" a="1"/>
  <c r="C1896" i="5" s="1"/>
  <c r="A1896" i="5" a="1"/>
  <c r="A1896" i="5" s="1"/>
  <c r="A1897" i="5" l="1" a="1"/>
  <c r="A1897" i="5" s="1"/>
  <c r="C1897" i="5" a="1"/>
  <c r="C1897" i="5" s="1"/>
  <c r="B1898" i="5"/>
  <c r="C1898" i="5" l="1" a="1"/>
  <c r="C1898" i="5" s="1"/>
  <c r="B1899" i="5"/>
  <c r="A1898" i="5" a="1"/>
  <c r="A1898" i="5" s="1"/>
  <c r="A1899" i="5" l="1" a="1"/>
  <c r="A1899" i="5" s="1"/>
  <c r="C1899" i="5" a="1"/>
  <c r="C1899" i="5" s="1"/>
  <c r="B1900" i="5"/>
  <c r="C1900" i="5" l="1" a="1"/>
  <c r="C1900" i="5" s="1"/>
  <c r="A1900" i="5" a="1"/>
  <c r="A1900" i="5" s="1"/>
  <c r="B1901" i="5"/>
  <c r="B1902" i="5" l="1"/>
  <c r="C1901" i="5" a="1"/>
  <c r="C1901" i="5" s="1"/>
  <c r="A1901" i="5" a="1"/>
  <c r="A1901" i="5" s="1"/>
  <c r="C1902" i="5" l="1" a="1"/>
  <c r="C1902" i="5" s="1"/>
  <c r="A1902" i="5" a="1"/>
  <c r="A1902" i="5" s="1"/>
  <c r="B1903" i="5"/>
  <c r="B1904" i="5" l="1"/>
  <c r="A1903" i="5" a="1"/>
  <c r="A1903" i="5" s="1"/>
  <c r="C1903" i="5" a="1"/>
  <c r="C1903" i="5" s="1"/>
  <c r="C1904" i="5" l="1" a="1"/>
  <c r="C1904" i="5" s="1"/>
  <c r="B1905" i="5"/>
  <c r="A1904" i="5" a="1"/>
  <c r="A1904" i="5" s="1"/>
  <c r="B1906" i="5" l="1"/>
  <c r="C1905" i="5" a="1"/>
  <c r="C1905" i="5" s="1"/>
  <c r="A1905" i="5" a="1"/>
  <c r="A1905" i="5" s="1"/>
  <c r="C1906" i="5" l="1" a="1"/>
  <c r="C1906" i="5" s="1"/>
  <c r="A1906" i="5" a="1"/>
  <c r="A1906" i="5" s="1"/>
  <c r="B1907" i="5"/>
  <c r="C1907" i="5" l="1" a="1"/>
  <c r="C1907" i="5" s="1"/>
  <c r="B1908" i="5"/>
  <c r="A1907" i="5" a="1"/>
  <c r="A1907" i="5" s="1"/>
  <c r="B1909" i="5" l="1"/>
  <c r="C1908" i="5" a="1"/>
  <c r="C1908" i="5" s="1"/>
  <c r="A1908" i="5" a="1"/>
  <c r="A1908" i="5" s="1"/>
  <c r="B1910" i="5" l="1"/>
  <c r="C1909" i="5" a="1"/>
  <c r="C1909" i="5" s="1"/>
  <c r="A1909" i="5" a="1"/>
  <c r="A1909" i="5" s="1"/>
  <c r="C1910" i="5" l="1" a="1"/>
  <c r="C1910" i="5" s="1"/>
  <c r="A1910" i="5" a="1"/>
  <c r="A1910" i="5" s="1"/>
  <c r="B1911" i="5"/>
  <c r="B1912" i="5" l="1"/>
  <c r="C1911" i="5" a="1"/>
  <c r="C1911" i="5" s="1"/>
  <c r="A1911" i="5" a="1"/>
  <c r="A1911" i="5" s="1"/>
  <c r="C1912" i="5" l="1" a="1"/>
  <c r="C1912" i="5" s="1"/>
  <c r="B1913" i="5"/>
  <c r="A1912" i="5" a="1"/>
  <c r="A1912" i="5" s="1"/>
  <c r="A1913" i="5" l="1" a="1"/>
  <c r="A1913" i="5" s="1"/>
  <c r="B1914" i="5"/>
  <c r="C1913" i="5" a="1"/>
  <c r="C1913" i="5" s="1"/>
  <c r="C1914" i="5" l="1" a="1"/>
  <c r="C1914" i="5" s="1"/>
  <c r="A1914" i="5" a="1"/>
  <c r="A1914" i="5" s="1"/>
  <c r="B1915" i="5"/>
  <c r="B1916" i="5" l="1"/>
  <c r="C1915" i="5" a="1"/>
  <c r="C1915" i="5" s="1"/>
  <c r="A1915" i="5" a="1"/>
  <c r="A1915" i="5" s="1"/>
  <c r="B1917" i="5" l="1"/>
  <c r="C1916" i="5" a="1"/>
  <c r="C1916" i="5" s="1"/>
  <c r="A1916" i="5" a="1"/>
  <c r="A1916" i="5" s="1"/>
  <c r="C1917" i="5" l="1" a="1"/>
  <c r="C1917" i="5" s="1"/>
  <c r="A1917" i="5" a="1"/>
  <c r="A1917" i="5" s="1"/>
  <c r="B1918" i="5"/>
  <c r="B1919" i="5" l="1"/>
  <c r="C1918" i="5" a="1"/>
  <c r="C1918" i="5" s="1"/>
  <c r="A1918" i="5" a="1"/>
  <c r="A1918" i="5" s="1"/>
  <c r="C1919" i="5" l="1" a="1"/>
  <c r="C1919" i="5" s="1"/>
  <c r="B1920" i="5"/>
  <c r="A1919" i="5" a="1"/>
  <c r="A1919" i="5" s="1"/>
  <c r="A1920" i="5" l="1" a="1"/>
  <c r="A1920" i="5" s="1"/>
  <c r="B1921" i="5"/>
  <c r="C1920" i="5" a="1"/>
  <c r="C1920" i="5" s="1"/>
  <c r="C1921" i="5" l="1" a="1"/>
  <c r="C1921" i="5" s="1"/>
  <c r="A1921" i="5" a="1"/>
  <c r="A1921" i="5" s="1"/>
  <c r="B1922" i="5"/>
  <c r="B1923" i="5" l="1"/>
  <c r="C1922" i="5" a="1"/>
  <c r="C1922" i="5" s="1"/>
  <c r="A1922" i="5" a="1"/>
  <c r="A1922" i="5" s="1"/>
  <c r="B1924" i="5" l="1"/>
  <c r="C1923" i="5" a="1"/>
  <c r="C1923" i="5" s="1"/>
  <c r="A1923" i="5" a="1"/>
  <c r="A1923" i="5" s="1"/>
  <c r="C1924" i="5" l="1" a="1"/>
  <c r="C1924" i="5" s="1"/>
  <c r="A1924" i="5" a="1"/>
  <c r="A1924" i="5" s="1"/>
  <c r="B1925" i="5"/>
  <c r="B1926" i="5" l="1"/>
  <c r="C1925" i="5" a="1"/>
  <c r="C1925" i="5" s="1"/>
  <c r="A1925" i="5" a="1"/>
  <c r="A1925" i="5" s="1"/>
  <c r="C1926" i="5" l="1" a="1"/>
  <c r="C1926" i="5" s="1"/>
  <c r="B1927" i="5"/>
  <c r="A1926" i="5" a="1"/>
  <c r="A1926" i="5" s="1"/>
  <c r="A1927" i="5" l="1" a="1"/>
  <c r="A1927" i="5" s="1"/>
  <c r="B1928" i="5"/>
  <c r="C1927" i="5" a="1"/>
  <c r="C1927" i="5" s="1"/>
  <c r="C1928" i="5" l="1" a="1"/>
  <c r="C1928" i="5" s="1"/>
  <c r="A1928" i="5" a="1"/>
  <c r="A1928" i="5" s="1"/>
  <c r="B1929" i="5"/>
  <c r="C1929" i="5" l="1" a="1"/>
  <c r="C1929" i="5" s="1"/>
  <c r="A1929" i="5" a="1"/>
  <c r="A1929" i="5" s="1"/>
  <c r="B1930" i="5"/>
  <c r="C1930" i="5" l="1" a="1"/>
  <c r="C1930" i="5" s="1"/>
  <c r="A1930" i="5" a="1"/>
  <c r="A1930" i="5" s="1"/>
  <c r="B1931" i="5"/>
  <c r="B1932" i="5" l="1"/>
  <c r="C1931" i="5" a="1"/>
  <c r="C1931" i="5" s="1"/>
  <c r="A1931" i="5" a="1"/>
  <c r="A1931" i="5" s="1"/>
  <c r="C1932" i="5" l="1" a="1"/>
  <c r="C1932" i="5" s="1"/>
  <c r="A1932" i="5" a="1"/>
  <c r="A1932" i="5" s="1"/>
  <c r="B1933" i="5"/>
  <c r="B1934" i="5" l="1"/>
  <c r="C1933" i="5" a="1"/>
  <c r="C1933" i="5" s="1"/>
  <c r="A1933" i="5" a="1"/>
  <c r="A1933" i="5" s="1"/>
  <c r="C1934" i="5" l="1" a="1"/>
  <c r="C1934" i="5" s="1"/>
  <c r="B1935" i="5"/>
  <c r="A1934" i="5" a="1"/>
  <c r="A1934" i="5" s="1"/>
  <c r="B1936" i="5" l="1"/>
  <c r="C1935" i="5" a="1"/>
  <c r="C1935" i="5" s="1"/>
  <c r="A1935" i="5" a="1"/>
  <c r="A1935" i="5" s="1"/>
  <c r="C1936" i="5" l="1" a="1"/>
  <c r="C1936" i="5" s="1"/>
  <c r="A1936" i="5" a="1"/>
  <c r="A1936" i="5" s="1"/>
  <c r="B1937" i="5"/>
  <c r="C1937" i="5" l="1" a="1"/>
  <c r="C1937" i="5" s="1"/>
  <c r="A1937" i="5" a="1"/>
  <c r="A1937" i="5" s="1"/>
  <c r="B1938" i="5"/>
  <c r="B1939" i="5" l="1"/>
  <c r="C1938" i="5" a="1"/>
  <c r="C1938" i="5" s="1"/>
  <c r="A1938" i="5" a="1"/>
  <c r="A1938" i="5" s="1"/>
  <c r="B1940" i="5" l="1"/>
  <c r="C1939" i="5" a="1"/>
  <c r="C1939" i="5" s="1"/>
  <c r="A1939" i="5" a="1"/>
  <c r="A1939" i="5" s="1"/>
  <c r="B1941" i="5" l="1"/>
  <c r="C1940" i="5" a="1"/>
  <c r="C1940" i="5" s="1"/>
  <c r="A1940" i="5" a="1"/>
  <c r="A1940" i="5" s="1"/>
  <c r="C1941" i="5" l="1" a="1"/>
  <c r="C1941" i="5" s="1"/>
  <c r="B1942" i="5"/>
  <c r="A1941" i="5" a="1"/>
  <c r="A1941" i="5" s="1"/>
  <c r="A1942" i="5" l="1" a="1"/>
  <c r="A1942" i="5" s="1"/>
  <c r="B1943" i="5"/>
  <c r="C1942" i="5" a="1"/>
  <c r="C1942" i="5" s="1"/>
  <c r="B1944" i="5" l="1"/>
  <c r="C1943" i="5" a="1"/>
  <c r="C1943" i="5" s="1"/>
  <c r="A1943" i="5" a="1"/>
  <c r="A1943" i="5" s="1"/>
  <c r="C1944" i="5" l="1" a="1"/>
  <c r="C1944" i="5" s="1"/>
  <c r="B1945" i="5"/>
  <c r="A1944" i="5" a="1"/>
  <c r="A1944" i="5" s="1"/>
  <c r="B1946" i="5" l="1"/>
  <c r="C1945" i="5" a="1"/>
  <c r="C1945" i="5" s="1"/>
  <c r="A1945" i="5" a="1"/>
  <c r="A1945" i="5" s="1"/>
  <c r="B1947" i="5" l="1"/>
  <c r="C1946" i="5" a="1"/>
  <c r="C1946" i="5" s="1"/>
  <c r="A1946" i="5" a="1"/>
  <c r="A1946" i="5" s="1"/>
  <c r="A1947" i="5" l="1" a="1"/>
  <c r="A1947" i="5" s="1"/>
  <c r="C1947" i="5" a="1"/>
  <c r="C1947" i="5" s="1"/>
  <c r="B1948" i="5"/>
  <c r="B1949" i="5" l="1"/>
  <c r="C1948" i="5" a="1"/>
  <c r="C1948" i="5" s="1"/>
  <c r="A1948" i="5" a="1"/>
  <c r="A1948" i="5" s="1"/>
  <c r="B1950" i="5" l="1"/>
  <c r="A1949" i="5" a="1"/>
  <c r="A1949" i="5" s="1"/>
  <c r="C1949" i="5" a="1"/>
  <c r="C1949" i="5" s="1"/>
  <c r="A1950" i="5" l="1" a="1"/>
  <c r="A1950" i="5" s="1"/>
  <c r="B1951" i="5"/>
  <c r="C1950" i="5" a="1"/>
  <c r="C1950" i="5" s="1"/>
  <c r="C1951" i="5" l="1" a="1"/>
  <c r="C1951" i="5" s="1"/>
  <c r="A1951" i="5" a="1"/>
  <c r="A1951" i="5" s="1"/>
  <c r="B1952" i="5"/>
  <c r="B1953" i="5" l="1"/>
  <c r="C1952" i="5" a="1"/>
  <c r="C1952" i="5" s="1"/>
  <c r="A1952" i="5" a="1"/>
  <c r="A1952" i="5" s="1"/>
  <c r="C1953" i="5" l="1" a="1"/>
  <c r="C1953" i="5" s="1"/>
  <c r="B1954" i="5"/>
  <c r="A1953" i="5" a="1"/>
  <c r="A1953" i="5" s="1"/>
  <c r="C1954" i="5" l="1" a="1"/>
  <c r="C1954" i="5" s="1"/>
  <c r="B1955" i="5"/>
  <c r="A1954" i="5" a="1"/>
  <c r="A1954" i="5" s="1"/>
  <c r="C1955" i="5" l="1" a="1"/>
  <c r="C1955" i="5" s="1"/>
  <c r="A1955" i="5" a="1"/>
  <c r="A1955" i="5" s="1"/>
  <c r="B1956" i="5"/>
  <c r="B1957" i="5" l="1"/>
  <c r="C1956" i="5" a="1"/>
  <c r="C1956" i="5" s="1"/>
  <c r="A1956" i="5" a="1"/>
  <c r="A1956" i="5" s="1"/>
  <c r="B1958" i="5" l="1"/>
  <c r="A1957" i="5" a="1"/>
  <c r="A1957" i="5" s="1"/>
  <c r="C1957" i="5" a="1"/>
  <c r="C1957" i="5" s="1"/>
  <c r="C1958" i="5" l="1" a="1"/>
  <c r="C1958" i="5" s="1"/>
  <c r="B1959" i="5"/>
  <c r="A1958" i="5" a="1"/>
  <c r="A1958" i="5" s="1"/>
  <c r="B1960" i="5" l="1"/>
  <c r="A1959" i="5" a="1"/>
  <c r="A1959" i="5" s="1"/>
  <c r="C1959" i="5" a="1"/>
  <c r="C1959" i="5" s="1"/>
  <c r="A1960" i="5" l="1" a="1"/>
  <c r="A1960" i="5" s="1"/>
  <c r="B1961" i="5"/>
  <c r="C1960" i="5" a="1"/>
  <c r="C1960" i="5" s="1"/>
  <c r="B1962" i="5" l="1"/>
  <c r="A1961" i="5" a="1"/>
  <c r="A1961" i="5" s="1"/>
  <c r="C1961" i="5" a="1"/>
  <c r="C1961" i="5" s="1"/>
  <c r="C1962" i="5" l="1" a="1"/>
  <c r="C1962" i="5" s="1"/>
  <c r="A1962" i="5" a="1"/>
  <c r="A1962" i="5" s="1"/>
  <c r="B1963" i="5"/>
  <c r="C1963" i="5" l="1" a="1"/>
  <c r="C1963" i="5" s="1"/>
  <c r="B1964" i="5"/>
  <c r="A1963" i="5" a="1"/>
  <c r="A1963" i="5" s="1"/>
  <c r="A1964" i="5" l="1" a="1"/>
  <c r="A1964" i="5" s="1"/>
  <c r="B1965" i="5"/>
  <c r="C1964" i="5" a="1"/>
  <c r="C1964" i="5" s="1"/>
  <c r="C1965" i="5" l="1" a="1"/>
  <c r="C1965" i="5" s="1"/>
  <c r="B1966" i="5"/>
  <c r="A1965" i="5" a="1"/>
  <c r="A1965" i="5" s="1"/>
  <c r="B1967" i="5" l="1"/>
  <c r="C1966" i="5" a="1"/>
  <c r="C1966" i="5" s="1"/>
  <c r="A1966" i="5" a="1"/>
  <c r="A1966" i="5" s="1"/>
  <c r="B1968" i="5" l="1"/>
  <c r="A1967" i="5" a="1"/>
  <c r="A1967" i="5" s="1"/>
  <c r="C1967" i="5" a="1"/>
  <c r="C1967" i="5" s="1"/>
  <c r="C1968" i="5" l="1" a="1"/>
  <c r="C1968" i="5" s="1"/>
  <c r="A1968" i="5" a="1"/>
  <c r="A1968" i="5" s="1"/>
  <c r="B1969" i="5"/>
  <c r="A1969" i="5" l="1" a="1"/>
  <c r="A1969" i="5" s="1"/>
  <c r="B1970" i="5"/>
  <c r="C1969" i="5" a="1"/>
  <c r="C1969" i="5" s="1"/>
  <c r="C1970" i="5" l="1" a="1"/>
  <c r="C1970" i="5" s="1"/>
  <c r="B1971" i="5"/>
  <c r="A1970" i="5" a="1"/>
  <c r="A1970" i="5" s="1"/>
  <c r="B1972" i="5" l="1"/>
  <c r="C1971" i="5" a="1"/>
  <c r="C1971" i="5" s="1"/>
  <c r="A1971" i="5" a="1"/>
  <c r="A1971" i="5" s="1"/>
  <c r="C1972" i="5" l="1" a="1"/>
  <c r="C1972" i="5" s="1"/>
  <c r="B1973" i="5"/>
  <c r="A1972" i="5" a="1"/>
  <c r="A1972" i="5" s="1"/>
  <c r="B1974" i="5" l="1"/>
  <c r="C1973" i="5" a="1"/>
  <c r="C1973" i="5" s="1"/>
  <c r="A1973" i="5" a="1"/>
  <c r="A1973" i="5" s="1"/>
  <c r="A1974" i="5" l="1" a="1"/>
  <c r="A1974" i="5" s="1"/>
  <c r="B1975" i="5"/>
  <c r="C1974" i="5" a="1"/>
  <c r="C1974" i="5" s="1"/>
  <c r="B1976" i="5" l="1"/>
  <c r="C1975" i="5" a="1"/>
  <c r="C1975" i="5" s="1"/>
  <c r="A1975" i="5" a="1"/>
  <c r="A1975" i="5" s="1"/>
  <c r="A1976" i="5" l="1" a="1"/>
  <c r="A1976" i="5" s="1"/>
  <c r="B1977" i="5"/>
  <c r="C1976" i="5" a="1"/>
  <c r="C1976" i="5" s="1"/>
  <c r="I1976" i="5"/>
  <c r="C1977" i="5" l="1" a="1"/>
  <c r="C1977" i="5" s="1"/>
  <c r="A1977" i="5" a="1"/>
  <c r="A1977" i="5" s="1"/>
  <c r="B1978" i="5"/>
  <c r="A1978" i="5" l="1" a="1"/>
  <c r="A1978" i="5" s="1"/>
  <c r="B1979" i="5"/>
  <c r="C1978" i="5" a="1"/>
  <c r="C1978" i="5" s="1"/>
  <c r="C1979" i="5" l="1" a="1"/>
  <c r="C1979" i="5" s="1"/>
  <c r="A1979" i="5" a="1"/>
  <c r="A1979" i="5" s="1"/>
  <c r="B1980" i="5"/>
  <c r="B1981" i="5" l="1"/>
  <c r="C1980" i="5" a="1"/>
  <c r="C1980" i="5" s="1"/>
  <c r="A1980" i="5" a="1"/>
  <c r="A1980" i="5" s="1"/>
  <c r="A1981" i="5" l="1" a="1"/>
  <c r="A1981" i="5" s="1"/>
  <c r="B1982" i="5"/>
  <c r="C1981" i="5" a="1"/>
  <c r="C1981" i="5" s="1"/>
  <c r="B1983" i="5" l="1"/>
  <c r="C1982" i="5" a="1"/>
  <c r="C1982" i="5" s="1"/>
  <c r="A1982" i="5" a="1"/>
  <c r="A1982" i="5" s="1"/>
  <c r="C1983" i="5" l="1" a="1"/>
  <c r="C1983" i="5" s="1"/>
  <c r="B1984" i="5"/>
  <c r="A1983" i="5" a="1"/>
  <c r="A1983" i="5" s="1"/>
  <c r="A1984" i="5" l="1" a="1"/>
  <c r="A1984" i="5" s="1"/>
  <c r="B1985" i="5"/>
  <c r="C1984" i="5" a="1"/>
  <c r="C1984" i="5" s="1"/>
  <c r="C1985" i="5" l="1" a="1"/>
  <c r="C1985" i="5" s="1"/>
  <c r="A1985" i="5" a="1"/>
  <c r="A1985" i="5" s="1"/>
  <c r="B1986" i="5"/>
  <c r="C1986" i="5" l="1" a="1"/>
  <c r="C1986" i="5" s="1"/>
  <c r="B1987" i="5"/>
  <c r="I1986" i="5"/>
  <c r="A1986" i="5" a="1"/>
  <c r="A1986" i="5" s="1"/>
  <c r="I1784" i="5"/>
  <c r="I1807" i="5"/>
  <c r="I1835" i="5"/>
  <c r="I1900" i="5"/>
  <c r="I1901" i="5"/>
  <c r="I1683" i="5"/>
  <c r="I1737" i="5"/>
  <c r="I1841" i="5"/>
  <c r="I1965" i="5"/>
  <c r="I1782" i="5"/>
  <c r="I1757" i="5"/>
  <c r="I1816" i="5"/>
  <c r="I1843" i="5"/>
  <c r="I1907" i="5"/>
  <c r="I1966" i="5"/>
  <c r="I1850" i="5"/>
  <c r="I1970" i="5"/>
  <c r="I1939" i="5"/>
  <c r="I1887" i="5"/>
  <c r="I1710" i="5"/>
  <c r="I1728" i="5"/>
  <c r="I1913" i="5"/>
  <c r="I1673" i="5"/>
  <c r="I1722" i="5"/>
  <c r="I1856" i="5"/>
  <c r="I1916" i="5"/>
  <c r="I1714" i="5"/>
  <c r="I1823" i="5"/>
  <c r="I1794" i="5"/>
  <c r="I1857" i="5"/>
  <c r="I1922" i="5"/>
  <c r="I1812" i="5"/>
  <c r="I1863" i="5"/>
  <c r="I1923" i="5"/>
  <c r="I1767" i="5"/>
  <c r="I1800" i="5"/>
  <c r="I1693" i="5"/>
  <c r="I1868" i="5"/>
  <c r="I1927" i="5"/>
  <c r="I1776" i="5"/>
  <c r="I1717" i="5"/>
  <c r="I1700" i="5"/>
  <c r="I1873" i="5"/>
  <c r="I1935" i="5"/>
  <c r="I1883" i="5"/>
  <c r="I1952" i="5"/>
  <c r="I1703" i="5"/>
  <c r="I1760" i="5"/>
  <c r="I1876" i="5"/>
  <c r="I1686" i="5"/>
  <c r="I1771" i="5"/>
  <c r="I1679" i="5"/>
  <c r="I1729" i="5"/>
  <c r="I1879" i="5"/>
  <c r="I1945" i="5"/>
  <c r="I1946" i="5"/>
  <c r="I1689" i="5"/>
  <c r="I1743" i="5"/>
  <c r="I1834" i="5"/>
  <c r="I1891" i="5"/>
  <c r="I1955" i="5"/>
  <c r="I1961" i="5"/>
  <c r="I1802" i="5"/>
  <c r="I1747" i="5"/>
  <c r="I1983" i="5"/>
  <c r="B1988" i="5" l="1"/>
  <c r="C1987" i="5" a="1"/>
  <c r="C1987" i="5" s="1"/>
  <c r="A1987" i="5" a="1"/>
  <c r="A1987" i="5" s="1"/>
  <c r="B1989" i="5" l="1"/>
  <c r="C1988" i="5" a="1"/>
  <c r="C1988" i="5" s="1"/>
  <c r="A1988" i="5" a="1"/>
  <c r="A1988" i="5" s="1"/>
  <c r="A1989" i="5" l="1" a="1"/>
  <c r="A1989" i="5" s="1"/>
  <c r="B1990" i="5"/>
  <c r="C1989" i="5" a="1"/>
  <c r="C1989" i="5" s="1"/>
  <c r="I1990" i="5" l="1"/>
  <c r="C1990" i="5" a="1"/>
  <c r="C1990" i="5" s="1"/>
  <c r="B1991" i="5"/>
  <c r="A1990" i="5" a="1"/>
  <c r="A1990" i="5" s="1"/>
  <c r="A1991" i="5" l="1" a="1"/>
  <c r="A1991" i="5" s="1"/>
  <c r="B1992" i="5"/>
  <c r="C1991" i="5" a="1"/>
  <c r="C1991" i="5" s="1"/>
  <c r="B1993" i="5" l="1"/>
  <c r="C1992" i="5" a="1"/>
  <c r="C1992" i="5" s="1"/>
  <c r="A1992" i="5" a="1"/>
  <c r="A1992" i="5" s="1"/>
  <c r="C1993" i="5" l="1" a="1"/>
  <c r="C1993" i="5" s="1"/>
  <c r="B1994" i="5"/>
  <c r="A1993" i="5" a="1"/>
  <c r="A1993" i="5" s="1"/>
  <c r="B1995" i="5" l="1"/>
  <c r="C1994" i="5" a="1"/>
  <c r="C1994" i="5" s="1"/>
  <c r="A1994" i="5" a="1"/>
  <c r="A1994" i="5" s="1"/>
  <c r="I1995" i="5" l="1"/>
  <c r="C1995" i="5" a="1"/>
  <c r="C1995" i="5" s="1"/>
  <c r="B1996" i="5"/>
  <c r="A1995" i="5" a="1"/>
  <c r="A1995" i="5" s="1"/>
  <c r="A1996" i="5" l="1" a="1"/>
  <c r="A1996" i="5" s="1"/>
  <c r="B1997" i="5"/>
  <c r="C1996" i="5" a="1"/>
  <c r="C1996" i="5" s="1"/>
  <c r="B1998" i="5" l="1"/>
  <c r="C1997" i="5" a="1"/>
  <c r="C1997" i="5" s="1"/>
  <c r="A1997" i="5" a="1"/>
  <c r="A1997" i="5" s="1"/>
  <c r="I1997" i="5"/>
  <c r="C1998" i="5" l="1" a="1"/>
  <c r="C1998" i="5" s="1"/>
  <c r="B1999" i="5"/>
  <c r="A1998" i="5" a="1"/>
  <c r="A1998" i="5" s="1"/>
  <c r="B2000" i="5" l="1"/>
  <c r="A1999" i="5" a="1"/>
  <c r="A1999" i="5" s="1"/>
  <c r="C1999" i="5" a="1"/>
  <c r="C1999" i="5" s="1"/>
  <c r="C2000" i="5" l="1" a="1"/>
  <c r="C2000" i="5" s="1"/>
  <c r="A2000" i="5" a="1"/>
  <c r="A2000" i="5" s="1"/>
  <c r="B2001" i="5"/>
  <c r="B2002" i="5" l="1"/>
  <c r="I2001" i="5"/>
  <c r="C2001" i="5" a="1"/>
  <c r="C2001" i="5" s="1"/>
  <c r="A2001" i="5" a="1"/>
  <c r="A2001" i="5" s="1"/>
  <c r="C2002" i="5" l="1" a="1"/>
  <c r="C2002" i="5" s="1"/>
  <c r="B2003" i="5"/>
  <c r="A2002" i="5" a="1"/>
  <c r="A2002" i="5" s="1"/>
  <c r="B2004" i="5" l="1"/>
  <c r="C2003" i="5" a="1"/>
  <c r="C2003" i="5" s="1"/>
  <c r="A2003" i="5" a="1"/>
  <c r="A2003" i="5" s="1"/>
  <c r="C2004" i="5" l="1" a="1"/>
  <c r="C2004" i="5" s="1"/>
  <c r="B2005" i="5"/>
  <c r="A2004" i="5" a="1"/>
  <c r="A2004" i="5" s="1"/>
  <c r="B2006" i="5" l="1"/>
  <c r="C2005" i="5" a="1"/>
  <c r="C2005" i="5" s="1"/>
  <c r="A2005" i="5" a="1"/>
  <c r="A2005" i="5" s="1"/>
  <c r="A2006" i="5" l="1" a="1"/>
  <c r="A2006" i="5" s="1"/>
  <c r="B2007" i="5"/>
  <c r="C2006" i="5" a="1"/>
  <c r="C2006" i="5" s="1"/>
  <c r="C2007" i="5" l="1" a="1"/>
  <c r="C2007" i="5" s="1"/>
  <c r="I2007" i="5"/>
  <c r="B2008" i="5"/>
  <c r="A2007" i="5" a="1"/>
  <c r="A2007" i="5" s="1"/>
  <c r="B2009" i="5" l="1"/>
  <c r="A2008" i="5" a="1"/>
  <c r="A2008" i="5" s="1"/>
  <c r="C2008" i="5" a="1"/>
  <c r="C2008" i="5" s="1"/>
  <c r="A2009" i="5" l="1" a="1"/>
  <c r="A2009" i="5" s="1"/>
  <c r="B2010" i="5"/>
  <c r="C2009" i="5" a="1"/>
  <c r="C2009" i="5" s="1"/>
  <c r="B2011" i="5" l="1"/>
  <c r="A2010" i="5" a="1"/>
  <c r="A2010" i="5" s="1"/>
  <c r="C2010" i="5" a="1"/>
  <c r="C2010" i="5" s="1"/>
  <c r="I2010" i="5"/>
  <c r="C2011" i="5" l="1" a="1"/>
  <c r="C2011" i="5" s="1"/>
  <c r="A2011" i="5" a="1"/>
  <c r="A2011" i="5" s="1"/>
  <c r="B2012" i="5"/>
  <c r="C2012" i="5" l="1" a="1"/>
  <c r="C2012" i="5" s="1"/>
  <c r="B2013" i="5"/>
  <c r="A2012" i="5" a="1"/>
  <c r="A2012" i="5" s="1"/>
  <c r="I2013" i="5" l="1"/>
  <c r="A2013" i="5" a="1"/>
  <c r="A2013" i="5" s="1"/>
  <c r="C2013" i="5" a="1"/>
  <c r="C2013" i="5" s="1"/>
  <c r="B2014" i="5"/>
  <c r="C2014" i="5" l="1" a="1"/>
  <c r="C2014" i="5" s="1"/>
  <c r="B2015" i="5"/>
  <c r="A2014" i="5" a="1"/>
  <c r="A2014" i="5" s="1"/>
  <c r="B2016" i="5" l="1"/>
  <c r="C2015" i="5" a="1"/>
  <c r="C2015" i="5" s="1"/>
  <c r="A2015" i="5" a="1"/>
  <c r="A2015" i="5" s="1"/>
  <c r="I2016" i="5" l="1"/>
  <c r="B2017" i="5"/>
  <c r="C2016" i="5" a="1"/>
  <c r="C2016" i="5" s="1"/>
  <c r="A2016" i="5" a="1"/>
  <c r="A2016" i="5" s="1"/>
  <c r="C2017" i="5" l="1" a="1"/>
  <c r="C2017" i="5" s="1"/>
  <c r="A2017" i="5" a="1"/>
  <c r="A2017" i="5" s="1"/>
  <c r="B2018" i="5"/>
  <c r="B2019" i="5" l="1"/>
  <c r="C2018" i="5" a="1"/>
  <c r="C2018" i="5" s="1"/>
  <c r="A2018" i="5" a="1"/>
  <c r="A2018" i="5" s="1"/>
  <c r="C2019" i="5" l="1" a="1"/>
  <c r="C2019" i="5" s="1"/>
  <c r="B2020" i="5"/>
  <c r="A2019" i="5" a="1"/>
  <c r="A2019" i="5" s="1"/>
  <c r="B2021" i="5" l="1"/>
  <c r="C2020" i="5" a="1"/>
  <c r="C2020" i="5" s="1"/>
  <c r="A2020" i="5" a="1"/>
  <c r="A2020" i="5" s="1"/>
  <c r="C2021" i="5" l="1" a="1"/>
  <c r="C2021" i="5" s="1"/>
  <c r="A2021" i="5" a="1"/>
  <c r="A2021" i="5" s="1"/>
  <c r="B2022" i="5"/>
  <c r="B2023" i="5" l="1"/>
  <c r="I2022" i="5"/>
  <c r="C2022" i="5" a="1"/>
  <c r="C2022" i="5" s="1"/>
  <c r="A2022" i="5" a="1"/>
  <c r="A2022" i="5" s="1"/>
  <c r="A2023" i="5" l="1" a="1"/>
  <c r="A2023" i="5" s="1"/>
  <c r="B2024" i="5"/>
  <c r="C2023" i="5" a="1"/>
  <c r="C2023" i="5" s="1"/>
  <c r="B2025" i="5" l="1"/>
  <c r="A2024" i="5" a="1"/>
  <c r="A2024" i="5" s="1"/>
  <c r="C2024" i="5" a="1"/>
  <c r="C2024" i="5" s="1"/>
  <c r="A2025" i="5" l="1" a="1"/>
  <c r="A2025" i="5" s="1"/>
  <c r="B2026" i="5"/>
  <c r="C2025" i="5" a="1"/>
  <c r="C2025" i="5" s="1"/>
  <c r="C2026" i="5" l="1" a="1"/>
  <c r="C2026" i="5" s="1"/>
  <c r="A2026" i="5" a="1"/>
  <c r="A2026" i="5" s="1"/>
  <c r="B2027" i="5"/>
  <c r="A2027" i="5" l="1" a="1"/>
  <c r="A2027" i="5" s="1"/>
  <c r="C2027" i="5" a="1"/>
  <c r="C2027" i="5" s="1"/>
  <c r="B2028" i="5"/>
  <c r="I2027" i="5"/>
  <c r="I2018" i="5"/>
  <c r="I2025" i="5"/>
  <c r="C2028" i="5" l="1" a="1"/>
  <c r="C2028" i="5" s="1"/>
  <c r="A2028" i="5" a="1"/>
  <c r="A2028" i="5" s="1"/>
  <c r="B2029" i="5"/>
  <c r="B2030" i="5" l="1"/>
  <c r="I2029" i="5" s="1"/>
  <c r="C2029" i="5" a="1"/>
  <c r="C2029" i="5" s="1"/>
  <c r="A2029" i="5" a="1"/>
  <c r="A2029" i="5" s="1"/>
  <c r="I2030" i="5" l="1"/>
  <c r="C2030" i="5" a="1"/>
  <c r="C2030" i="5" s="1"/>
  <c r="A2030" i="5" a="1"/>
  <c r="A2030" i="5" s="1"/>
  <c r="B2031" i="5"/>
  <c r="I2024" i="5"/>
  <c r="I2023" i="5"/>
  <c r="I2026" i="5"/>
  <c r="I2028" i="5"/>
  <c r="B2032" i="5" l="1"/>
  <c r="I2031" i="5"/>
  <c r="A2031" i="5" a="1"/>
  <c r="A2031" i="5" s="1"/>
  <c r="C2031" i="5" a="1"/>
  <c r="C2031" i="5" s="1"/>
  <c r="C2032" i="5" l="1" a="1"/>
  <c r="C2032" i="5" s="1"/>
  <c r="B2033" i="5"/>
  <c r="I2032" i="5"/>
  <c r="A2032" i="5" a="1"/>
  <c r="A2032" i="5" s="1"/>
  <c r="I2033" i="5" l="1"/>
  <c r="B2034" i="5"/>
  <c r="C2033" i="5" a="1"/>
  <c r="C2033" i="5" s="1"/>
  <c r="A2033" i="5" a="1"/>
  <c r="A2033" i="5" s="1"/>
  <c r="C2034" i="5" l="1" a="1"/>
  <c r="C2034" i="5" s="1"/>
  <c r="A2034" i="5" a="1"/>
  <c r="A2034" i="5" s="1"/>
  <c r="B2035" i="5"/>
  <c r="I2034" i="5"/>
  <c r="C2035" i="5" l="1" a="1"/>
  <c r="C2035" i="5" s="1"/>
  <c r="B2036" i="5"/>
  <c r="I2035" i="5"/>
  <c r="A2035" i="5" a="1"/>
  <c r="A2035" i="5" s="1"/>
  <c r="B2037" i="5" l="1"/>
  <c r="C2036" i="5" a="1"/>
  <c r="C2036" i="5" s="1"/>
  <c r="I2036" i="5"/>
  <c r="A2036" i="5" a="1"/>
  <c r="A2036" i="5" s="1"/>
  <c r="B2038" i="5" l="1"/>
  <c r="C2037" i="5" a="1"/>
  <c r="C2037" i="5" s="1"/>
  <c r="A2037" i="5" a="1"/>
  <c r="A2037" i="5" s="1"/>
  <c r="I2037" i="5"/>
  <c r="A2038" i="5" l="1" a="1"/>
  <c r="A2038" i="5" s="1"/>
  <c r="B2039" i="5"/>
  <c r="I2038" i="5"/>
  <c r="C2038" i="5" a="1"/>
  <c r="C2038" i="5" s="1"/>
  <c r="I2039" i="5" l="1"/>
  <c r="C2039" i="5" a="1"/>
  <c r="C2039" i="5" s="1"/>
  <c r="B2040" i="5"/>
  <c r="A2039" i="5" a="1"/>
  <c r="A2039" i="5" s="1"/>
  <c r="I2040" i="5" l="1"/>
  <c r="A2040" i="5" a="1"/>
  <c r="A2040" i="5" s="1"/>
  <c r="B2041" i="5"/>
  <c r="C2040" i="5" a="1"/>
  <c r="C2040" i="5" s="1"/>
  <c r="B2042" i="5" l="1"/>
  <c r="C2041" i="5" a="1"/>
  <c r="C2041" i="5" s="1"/>
  <c r="A2041" i="5" a="1"/>
  <c r="A2041" i="5" s="1"/>
  <c r="I2041" i="5"/>
  <c r="C2042" i="5" l="1" a="1"/>
  <c r="C2042" i="5" s="1"/>
  <c r="B2043" i="5"/>
  <c r="A2042" i="5" a="1"/>
  <c r="A2042" i="5" s="1"/>
  <c r="I2042" i="5"/>
  <c r="B2044" i="5" l="1"/>
  <c r="I2043" i="5"/>
  <c r="C2043" i="5" a="1"/>
  <c r="C2043" i="5" s="1"/>
  <c r="A2043" i="5" a="1"/>
  <c r="A2043" i="5" s="1"/>
  <c r="A2044" i="5" l="1" a="1"/>
  <c r="A2044" i="5" s="1"/>
  <c r="B2045" i="5"/>
  <c r="C2044" i="5" a="1"/>
  <c r="C2044" i="5" s="1"/>
  <c r="I2044" i="5"/>
  <c r="I2045" i="5" l="1"/>
  <c r="B2046" i="5"/>
  <c r="C2045" i="5" a="1"/>
  <c r="C2045" i="5" s="1"/>
  <c r="A2045" i="5" a="1"/>
  <c r="A2045" i="5" s="1"/>
  <c r="A2046" i="5" l="1" a="1"/>
  <c r="A2046" i="5" s="1"/>
  <c r="B2047" i="5"/>
  <c r="I2046" i="5"/>
  <c r="C2046" i="5" a="1"/>
  <c r="C2046" i="5" s="1"/>
  <c r="I2047" i="5" l="1"/>
  <c r="C2047" i="5" a="1"/>
  <c r="C2047" i="5" s="1"/>
  <c r="B2048" i="5"/>
  <c r="A2047" i="5" a="1"/>
  <c r="A2047" i="5" s="1"/>
  <c r="B2049" i="5" l="1"/>
  <c r="A2048" i="5" a="1"/>
  <c r="A2048" i="5" s="1"/>
  <c r="C2048" i="5" a="1"/>
  <c r="C2048" i="5" s="1"/>
  <c r="I2048" i="5"/>
  <c r="C2049" i="5" l="1" a="1"/>
  <c r="C2049" i="5" s="1"/>
  <c r="B2050" i="5"/>
  <c r="I2049" i="5"/>
  <c r="A2049" i="5" a="1"/>
  <c r="A2049" i="5" s="1"/>
  <c r="B2051" i="5" l="1"/>
  <c r="A2050" i="5" a="1"/>
  <c r="A2050" i="5" s="1"/>
  <c r="I2050" i="5"/>
  <c r="C2050" i="5" a="1"/>
  <c r="C2050" i="5" s="1"/>
  <c r="B2052" i="5" l="1"/>
  <c r="I2051" i="5"/>
  <c r="C2051" i="5" a="1"/>
  <c r="C2051" i="5" s="1"/>
  <c r="A2051" i="5" a="1"/>
  <c r="A2051" i="5" s="1"/>
  <c r="I2052" i="5" l="1"/>
  <c r="A2052" i="5" a="1"/>
  <c r="A2052" i="5" s="1"/>
  <c r="B2053" i="5"/>
  <c r="C2052" i="5" a="1"/>
  <c r="C2052" i="5" s="1"/>
  <c r="B2054" i="5" l="1"/>
  <c r="I2053" i="5"/>
  <c r="C2053" i="5" a="1"/>
  <c r="C2053" i="5" s="1"/>
  <c r="A2053" i="5" a="1"/>
  <c r="A2053" i="5" s="1"/>
  <c r="I2054" i="5" l="1"/>
  <c r="C2054" i="5" a="1"/>
  <c r="C2054" i="5" s="1"/>
  <c r="A2054" i="5" a="1"/>
  <c r="A2054" i="5" s="1"/>
  <c r="B2055" i="5"/>
  <c r="B2056" i="5" l="1"/>
  <c r="I2055" i="5"/>
  <c r="C2055" i="5" a="1"/>
  <c r="C2055" i="5" s="1"/>
  <c r="A2055" i="5" a="1"/>
  <c r="A2055" i="5" s="1"/>
  <c r="C2056" i="5" l="1" a="1"/>
  <c r="C2056" i="5" s="1"/>
  <c r="A2056" i="5" a="1"/>
  <c r="A2056" i="5" s="1"/>
  <c r="B2057" i="5"/>
  <c r="I2056" i="5"/>
  <c r="B2058" i="5" l="1"/>
  <c r="I2057" i="5"/>
  <c r="C2057" i="5" a="1"/>
  <c r="C2057" i="5" s="1"/>
  <c r="A2057" i="5" a="1"/>
  <c r="A2057" i="5" s="1"/>
  <c r="C2058" i="5" l="1" a="1"/>
  <c r="C2058" i="5" s="1"/>
  <c r="A2058" i="5" a="1"/>
  <c r="A2058" i="5" s="1"/>
  <c r="B2059" i="5"/>
  <c r="I2058" i="5"/>
  <c r="I2059" i="5" l="1"/>
  <c r="B2060" i="5"/>
  <c r="C2059" i="5" a="1"/>
  <c r="C2059" i="5" s="1"/>
  <c r="A2059" i="5" a="1"/>
  <c r="A2059" i="5" s="1"/>
  <c r="C2060" i="5" l="1" a="1"/>
  <c r="C2060" i="5" s="1"/>
  <c r="A2060" i="5" a="1"/>
  <c r="A2060" i="5" s="1"/>
  <c r="B2061" i="5"/>
  <c r="I2060" i="5"/>
  <c r="I2061" i="5" l="1"/>
  <c r="C2061" i="5" a="1"/>
  <c r="C2061" i="5" s="1"/>
  <c r="B2062" i="5"/>
  <c r="A2061" i="5" a="1"/>
  <c r="A2061" i="5" s="1"/>
  <c r="B2063" i="5" l="1"/>
  <c r="C2062" i="5" a="1"/>
  <c r="C2062" i="5" s="1"/>
  <c r="A2062" i="5" a="1"/>
  <c r="A2062" i="5" s="1"/>
  <c r="I2062" i="5"/>
  <c r="C2063" i="5" l="1" a="1"/>
  <c r="C2063" i="5" s="1"/>
  <c r="B2064" i="5"/>
  <c r="I2063" i="5"/>
  <c r="A2063" i="5" a="1"/>
  <c r="A2063" i="5" s="1"/>
  <c r="B2065" i="5" l="1"/>
  <c r="C2064" i="5" a="1"/>
  <c r="C2064" i="5" s="1"/>
  <c r="A2064" i="5" a="1"/>
  <c r="A2064" i="5" s="1"/>
  <c r="I2064" i="5"/>
  <c r="B2066" i="5" l="1"/>
  <c r="I2065" i="5"/>
  <c r="A2065" i="5" a="1"/>
  <c r="A2065" i="5" s="1"/>
  <c r="C2065" i="5" a="1"/>
  <c r="C2065" i="5" s="1"/>
  <c r="I2066" i="5" l="1"/>
  <c r="C2066" i="5" a="1"/>
  <c r="C2066" i="5" s="1"/>
  <c r="A2066" i="5" a="1"/>
  <c r="A2066" i="5" s="1"/>
  <c r="B2067" i="5"/>
  <c r="B2068" i="5" l="1"/>
  <c r="I2067" i="5"/>
  <c r="C2067" i="5" a="1"/>
  <c r="C2067" i="5" s="1"/>
  <c r="A2067" i="5" a="1"/>
  <c r="A2067" i="5" s="1"/>
  <c r="I2068" i="5" l="1"/>
  <c r="C2068" i="5" a="1"/>
  <c r="C2068" i="5" s="1"/>
  <c r="A2068" i="5" a="1"/>
  <c r="A2068" i="5" s="1"/>
  <c r="B2069" i="5"/>
  <c r="B2070" i="5" l="1"/>
  <c r="C2069" i="5" a="1"/>
  <c r="C2069" i="5" s="1"/>
  <c r="A2069" i="5" a="1"/>
  <c r="A2069" i="5" s="1"/>
  <c r="I2069" i="5"/>
  <c r="C2070" i="5" l="1" a="1"/>
  <c r="C2070" i="5" s="1"/>
  <c r="B2071" i="5"/>
  <c r="I2070" i="5"/>
  <c r="A2070" i="5" a="1"/>
  <c r="A2070" i="5" s="1"/>
  <c r="B2072" i="5" l="1"/>
  <c r="A2071" i="5" a="1"/>
  <c r="A2071" i="5" s="1"/>
  <c r="C2071" i="5" a="1"/>
  <c r="C2071" i="5" s="1"/>
  <c r="I2071" i="5"/>
  <c r="C2072" i="5" l="1" a="1"/>
  <c r="C2072" i="5" s="1"/>
  <c r="B2073" i="5"/>
  <c r="I2072" i="5"/>
  <c r="A2072" i="5" a="1"/>
  <c r="A2072" i="5" s="1"/>
  <c r="I2073" i="5" l="1"/>
  <c r="C2073" i="5" a="1"/>
  <c r="C2073" i="5" s="1"/>
  <c r="B2074" i="5"/>
  <c r="A2073" i="5" a="1"/>
  <c r="A2073" i="5" s="1"/>
  <c r="A2074" i="5" l="1" a="1"/>
  <c r="A2074" i="5" s="1"/>
  <c r="B2075" i="5"/>
  <c r="I1308" i="5" s="1"/>
  <c r="I2074" i="5"/>
  <c r="C2074" i="5" a="1"/>
  <c r="C2074" i="5" s="1"/>
  <c r="I1110" i="5" l="1"/>
  <c r="I1282" i="5"/>
  <c r="I2075" i="5"/>
  <c r="C2075" i="5" a="1"/>
  <c r="C2075" i="5" s="1"/>
  <c r="A2075" i="5" a="1"/>
  <c r="A2075" i="5" s="1"/>
  <c r="I1061" i="5"/>
  <c r="I1059" i="5"/>
  <c r="I1060" i="5"/>
  <c r="I1062" i="5"/>
  <c r="I1068" i="5"/>
  <c r="I1066" i="5"/>
  <c r="I1065" i="5"/>
  <c r="I1067" i="5"/>
  <c r="I1063" i="5"/>
  <c r="I1070" i="5"/>
  <c r="I1072" i="5"/>
  <c r="I1071" i="5"/>
  <c r="I1073" i="5"/>
  <c r="I1079" i="5"/>
  <c r="I1076" i="5"/>
  <c r="I1078" i="5"/>
  <c r="I1081" i="5"/>
  <c r="I1082" i="5"/>
  <c r="I1083" i="5"/>
  <c r="I1089" i="5"/>
  <c r="I1086" i="5"/>
  <c r="I1084" i="5"/>
  <c r="I1077" i="5"/>
  <c r="I1088" i="5"/>
  <c r="I1093" i="5"/>
  <c r="I1094" i="5"/>
  <c r="I1087" i="5"/>
  <c r="I1097" i="5"/>
  <c r="I1099" i="5"/>
  <c r="I1100" i="5"/>
  <c r="I1102" i="5"/>
  <c r="I1096" i="5"/>
  <c r="I1092" i="5"/>
  <c r="I1091" i="5"/>
  <c r="I1105" i="5"/>
  <c r="I1107" i="5"/>
  <c r="I1101" i="5"/>
  <c r="I1108" i="5"/>
  <c r="I1114" i="5"/>
  <c r="I1109" i="5"/>
  <c r="I1118" i="5"/>
  <c r="I1112" i="5"/>
  <c r="I1104" i="5"/>
  <c r="I1106" i="5"/>
  <c r="I1113" i="5"/>
  <c r="I1121" i="5"/>
  <c r="I1117" i="5"/>
  <c r="I1115" i="5"/>
  <c r="I1124" i="5"/>
  <c r="I1120" i="5"/>
  <c r="I1111" i="5"/>
  <c r="I1122" i="5"/>
  <c r="I1125" i="5"/>
  <c r="I1128" i="5"/>
  <c r="I1133" i="5"/>
  <c r="I1123" i="5"/>
  <c r="I1131" i="5"/>
  <c r="I1129" i="5"/>
  <c r="I1132" i="5"/>
  <c r="I1134" i="5"/>
  <c r="I1138" i="5"/>
  <c r="I1127" i="5"/>
  <c r="I1136" i="5"/>
  <c r="I1135" i="5"/>
  <c r="I1140" i="5"/>
  <c r="I1142" i="5"/>
  <c r="I1141" i="5"/>
  <c r="I1147" i="5"/>
  <c r="I1148" i="5"/>
  <c r="I1149" i="5"/>
  <c r="I1145" i="5"/>
  <c r="I1143" i="5"/>
  <c r="I1152" i="5"/>
  <c r="I1153" i="5"/>
  <c r="I1146" i="5"/>
  <c r="I1150" i="5"/>
  <c r="I1154" i="5"/>
  <c r="I1155" i="5"/>
  <c r="I1160" i="5"/>
  <c r="I1159" i="5"/>
  <c r="I1161" i="5"/>
  <c r="I1158" i="5"/>
  <c r="I1163" i="5"/>
  <c r="I1157" i="5"/>
  <c r="I1168" i="5"/>
  <c r="I1169" i="5"/>
  <c r="I1171" i="5"/>
  <c r="I1167" i="5"/>
  <c r="I1165" i="5"/>
  <c r="I1173" i="5"/>
  <c r="I1164" i="5"/>
  <c r="I1179" i="5"/>
  <c r="I1177" i="5"/>
  <c r="I1176" i="5"/>
  <c r="I1182" i="5"/>
  <c r="I1183" i="5"/>
  <c r="I1184" i="5"/>
  <c r="I1172" i="5"/>
  <c r="I1174" i="5"/>
  <c r="I1181" i="5"/>
  <c r="I1186" i="5"/>
  <c r="I1190" i="5"/>
  <c r="I1178" i="5"/>
  <c r="I1187" i="5"/>
  <c r="I1192" i="5"/>
  <c r="I1188" i="5"/>
  <c r="I1196" i="5"/>
  <c r="I1199" i="5"/>
  <c r="I1198" i="5"/>
  <c r="I1193" i="5"/>
  <c r="I1201" i="5"/>
  <c r="I1191" i="5"/>
  <c r="I1206" i="5"/>
  <c r="I1203" i="5"/>
  <c r="I1202" i="5"/>
  <c r="I1205" i="5"/>
  <c r="I1200" i="5"/>
  <c r="I1197" i="5"/>
  <c r="I1208" i="5"/>
  <c r="I1209" i="5"/>
  <c r="I1215" i="5"/>
  <c r="I1211" i="5"/>
  <c r="I1210" i="5"/>
  <c r="I1216" i="5"/>
  <c r="I1219" i="5"/>
  <c r="I1214" i="5"/>
  <c r="I1213" i="5"/>
  <c r="I1225" i="5"/>
  <c r="I1218" i="5"/>
  <c r="I1224" i="5"/>
  <c r="I1226" i="5"/>
  <c r="I1232" i="5"/>
  <c r="I1228" i="5"/>
  <c r="I1222" i="5"/>
  <c r="I1221" i="5"/>
  <c r="I1231" i="5"/>
  <c r="I1229" i="5"/>
  <c r="I1237" i="5"/>
  <c r="I1241" i="5"/>
  <c r="I1233" i="5"/>
  <c r="I1227" i="5"/>
  <c r="I1235" i="5"/>
  <c r="I1236" i="5"/>
  <c r="I1242" i="5"/>
  <c r="I1245" i="5"/>
  <c r="I1239" i="5"/>
  <c r="I1243" i="5"/>
  <c r="I1244" i="5"/>
  <c r="I1249" i="5"/>
  <c r="I1240" i="5"/>
  <c r="I1250" i="5"/>
  <c r="I1253" i="5"/>
  <c r="I1247" i="5"/>
  <c r="I1252" i="5"/>
  <c r="I1254" i="5"/>
  <c r="I1257" i="5"/>
  <c r="I1251" i="5"/>
  <c r="I1259" i="5"/>
  <c r="I1264" i="5"/>
  <c r="I1265" i="5"/>
  <c r="I1263" i="5"/>
  <c r="I1271" i="5"/>
  <c r="I1269" i="5"/>
  <c r="I1261" i="5"/>
  <c r="I1256" i="5"/>
  <c r="I1275" i="5"/>
  <c r="I1260" i="5"/>
  <c r="I1270" i="5"/>
  <c r="I1272" i="5"/>
  <c r="I1274" i="5"/>
  <c r="I1273" i="5"/>
  <c r="I1278" i="5"/>
  <c r="I1058" i="5"/>
  <c r="I1268" i="5"/>
  <c r="I1267" i="5"/>
  <c r="I1277" i="5"/>
  <c r="I1280" i="5"/>
  <c r="I1284" i="5"/>
  <c r="I1286" i="5"/>
  <c r="I1287" i="5"/>
  <c r="I1281" i="5"/>
  <c r="I1279" i="5"/>
  <c r="I1289" i="5"/>
  <c r="I1285" i="5"/>
  <c r="I1283" i="5"/>
  <c r="I1291" i="5"/>
  <c r="I1296" i="5"/>
  <c r="I1294" i="5"/>
  <c r="I1298" i="5"/>
  <c r="I1300" i="5"/>
  <c r="I1303" i="5"/>
  <c r="I1302" i="5"/>
  <c r="I1301" i="5"/>
  <c r="I1305" i="5"/>
  <c r="I1306" i="5"/>
  <c r="I1295" i="5"/>
  <c r="I1293" i="5"/>
  <c r="I1310" i="5"/>
  <c r="I1304" i="5"/>
  <c r="I1313" i="5"/>
  <c r="I1309" i="5"/>
  <c r="I1311" i="5"/>
  <c r="I1307" i="5"/>
  <c r="I1312" i="5"/>
  <c r="I1318" i="5"/>
  <c r="I1316" i="5"/>
  <c r="I1317" i="5"/>
  <c r="I1322" i="5"/>
  <c r="I1323" i="5"/>
  <c r="I1319" i="5"/>
  <c r="I1329" i="5"/>
  <c r="I1331" i="5"/>
  <c r="I1326" i="5"/>
  <c r="I1330" i="5"/>
  <c r="I1327" i="5"/>
  <c r="I1321" i="5"/>
  <c r="I1336" i="5"/>
  <c r="I1340" i="5"/>
  <c r="I1339" i="5"/>
  <c r="I1335" i="5"/>
  <c r="I1325" i="5"/>
  <c r="I1080" i="5"/>
  <c r="I1098" i="5"/>
  <c r="I1085" i="5"/>
  <c r="I1069" i="5"/>
  <c r="I1103" i="5"/>
  <c r="I1090" i="5"/>
  <c r="I1064" i="5"/>
  <c r="I1095" i="5"/>
  <c r="I1332" i="5"/>
  <c r="I1075" i="5"/>
  <c r="I1074" i="5"/>
  <c r="I1334" i="5"/>
  <c r="I1337" i="5"/>
  <c r="I1347" i="5"/>
  <c r="I1341" i="5"/>
  <c r="I1342" i="5"/>
  <c r="I1343" i="5"/>
  <c r="I1344" i="5"/>
  <c r="I1354" i="5"/>
  <c r="I1352" i="5"/>
  <c r="I1353" i="5"/>
  <c r="I1346" i="5"/>
  <c r="I1180" i="5"/>
  <c r="I1162" i="5"/>
  <c r="I1262" i="5"/>
  <c r="I1116" i="5"/>
  <c r="I1119" i="5"/>
  <c r="I1139" i="5"/>
  <c r="I1258" i="5"/>
  <c r="I1126" i="5"/>
  <c r="I1175" i="5"/>
  <c r="I1212" i="5"/>
  <c r="I1207" i="5"/>
  <c r="I1194" i="5"/>
  <c r="I1223" i="5"/>
  <c r="I1220" i="5"/>
  <c r="I1276" i="5"/>
  <c r="I1217" i="5"/>
  <c r="I1137" i="5"/>
  <c r="I1248" i="5"/>
  <c r="I1166" i="5"/>
  <c r="I1195" i="5"/>
  <c r="I1189" i="5"/>
  <c r="I1238" i="5"/>
  <c r="I1130" i="5"/>
  <c r="I1246" i="5"/>
  <c r="I1230" i="5"/>
  <c r="I1170" i="5"/>
  <c r="I1204" i="5"/>
  <c r="I1255" i="5"/>
  <c r="I1357" i="5"/>
  <c r="I1144" i="5"/>
  <c r="I1266" i="5"/>
  <c r="I1151" i="5"/>
  <c r="I1234" i="5"/>
  <c r="I1185" i="5"/>
  <c r="I1156" i="5"/>
  <c r="I1349" i="5"/>
  <c r="I1351" i="5"/>
  <c r="I1356" i="5"/>
  <c r="I1358" i="5"/>
  <c r="I1360" i="5"/>
  <c r="I1365" i="5"/>
  <c r="I1367" i="5"/>
  <c r="I1372" i="5"/>
  <c r="I1364" i="5"/>
  <c r="I1359" i="5"/>
  <c r="I1363" i="5"/>
  <c r="I1366" i="5"/>
  <c r="I1371" i="5"/>
  <c r="I1362" i="5"/>
  <c r="I1369" i="5"/>
  <c r="I1370" i="5"/>
  <c r="I1375" i="5"/>
  <c r="I1376" i="5"/>
  <c r="I1380" i="5"/>
  <c r="I1384" i="5"/>
  <c r="I1374" i="5"/>
  <c r="I1381" i="5"/>
  <c r="I1378" i="5"/>
  <c r="I1382" i="5"/>
  <c r="I1379" i="5"/>
  <c r="I1387" i="5"/>
  <c r="I1385" i="5"/>
  <c r="I1386" i="5"/>
  <c r="I1390" i="5"/>
  <c r="I1394" i="5"/>
  <c r="I1391" i="5"/>
  <c r="I1392" i="5"/>
  <c r="I1393" i="5"/>
  <c r="I1396" i="5"/>
  <c r="I1398" i="5"/>
  <c r="I1400" i="5"/>
  <c r="I1401" i="5"/>
  <c r="I1397" i="5"/>
  <c r="I1407" i="5"/>
  <c r="I1406" i="5"/>
  <c r="I1405" i="5"/>
  <c r="I1412" i="5"/>
  <c r="I1411" i="5"/>
  <c r="I1409" i="5"/>
  <c r="I1299" i="5"/>
  <c r="I1297" i="5"/>
  <c r="I1403" i="5"/>
  <c r="I1288" i="5"/>
  <c r="I1404" i="5"/>
  <c r="I1292" i="5"/>
  <c r="I1416" i="5"/>
  <c r="I1417" i="5"/>
  <c r="I1418" i="5"/>
  <c r="I1414" i="5"/>
  <c r="I1413" i="5"/>
  <c r="I1422" i="5"/>
  <c r="I1425" i="5"/>
  <c r="I1419" i="5"/>
  <c r="I1424" i="5"/>
  <c r="I1426" i="5"/>
  <c r="I1423" i="5"/>
  <c r="I1428" i="5"/>
  <c r="I1431" i="5"/>
  <c r="I1436" i="5"/>
  <c r="I1433" i="5"/>
  <c r="I1432" i="5"/>
  <c r="I1430" i="5"/>
  <c r="I1437" i="5"/>
  <c r="I1435" i="5"/>
  <c r="I1446" i="5"/>
  <c r="I1440" i="5"/>
  <c r="I1439" i="5"/>
  <c r="I1444" i="5"/>
  <c r="I1450" i="5"/>
  <c r="I1452" i="5"/>
  <c r="I1445" i="5"/>
  <c r="I1442" i="5"/>
  <c r="I1447" i="5"/>
  <c r="I1449" i="5"/>
  <c r="I1451" i="5"/>
  <c r="I1345" i="5"/>
  <c r="I1333" i="5"/>
  <c r="I1324" i="5"/>
  <c r="I1314" i="5"/>
  <c r="I1320" i="5"/>
  <c r="I1338" i="5"/>
  <c r="I1441" i="5"/>
  <c r="I1328" i="5"/>
  <c r="I1315" i="5"/>
  <c r="I1456" i="5"/>
  <c r="I1460" i="5"/>
  <c r="I1458" i="5"/>
  <c r="I1459" i="5"/>
  <c r="I1462" i="5"/>
  <c r="I1466" i="5"/>
  <c r="I1465" i="5"/>
  <c r="I1454" i="5"/>
  <c r="I1453" i="5"/>
  <c r="I1464" i="5"/>
  <c r="I1457" i="5"/>
  <c r="I1467" i="5"/>
  <c r="I1468" i="5"/>
  <c r="I1470" i="5"/>
  <c r="I1469" i="5"/>
  <c r="I1474" i="5"/>
  <c r="I1473" i="5"/>
  <c r="I1482" i="5"/>
  <c r="I1477" i="5"/>
  <c r="I1478" i="5"/>
  <c r="I1479" i="5"/>
  <c r="I1476" i="5"/>
  <c r="I1481" i="5"/>
  <c r="I1486" i="5"/>
  <c r="I1472" i="5"/>
  <c r="I1488" i="5"/>
  <c r="I1487" i="5"/>
  <c r="I1485" i="5"/>
  <c r="I1484" i="5"/>
  <c r="I1490" i="5"/>
  <c r="I1483" i="5"/>
  <c r="I1493" i="5"/>
  <c r="I1497" i="5"/>
  <c r="I1494" i="5"/>
  <c r="I1495" i="5"/>
  <c r="I1492" i="5"/>
  <c r="I1498" i="5"/>
  <c r="I1499" i="5"/>
  <c r="I1501" i="5"/>
  <c r="I1502" i="5"/>
  <c r="I1355" i="5"/>
  <c r="I1350" i="5"/>
  <c r="I1503" i="5"/>
  <c r="I1507" i="5"/>
  <c r="I1514" i="5"/>
  <c r="I1512" i="5"/>
  <c r="I1506" i="5"/>
  <c r="I1510" i="5"/>
  <c r="I1505" i="5"/>
  <c r="I1509" i="5"/>
  <c r="I1513" i="5"/>
  <c r="I1517" i="5"/>
  <c r="I1516" i="5"/>
  <c r="I1518" i="5"/>
  <c r="I1521" i="5"/>
  <c r="I1529" i="5"/>
  <c r="I1523" i="5"/>
  <c r="I1527" i="5"/>
  <c r="I1524" i="5"/>
  <c r="I1530" i="5"/>
  <c r="I1526" i="5"/>
  <c r="I1522" i="5"/>
  <c r="I1535" i="5"/>
  <c r="I1528" i="5"/>
  <c r="I1520" i="5"/>
  <c r="I1534" i="5"/>
  <c r="I1533" i="5"/>
  <c r="I1532" i="5"/>
  <c r="I1540" i="5"/>
  <c r="I1541" i="5"/>
  <c r="I1545" i="5"/>
  <c r="I1539" i="5"/>
  <c r="I1538" i="5"/>
  <c r="I1547" i="5"/>
  <c r="I1550" i="5"/>
  <c r="I1549" i="5"/>
  <c r="I1548" i="5"/>
  <c r="I1543" i="5"/>
  <c r="I1537" i="5"/>
  <c r="I1553" i="5"/>
  <c r="I1544" i="5"/>
  <c r="I1551" i="5"/>
  <c r="I1556" i="5"/>
  <c r="I1558" i="5"/>
  <c r="I1560" i="5"/>
  <c r="I1554" i="5"/>
  <c r="I1567" i="5"/>
  <c r="I1557" i="5"/>
  <c r="I1559" i="5"/>
  <c r="I1562" i="5"/>
  <c r="I1568" i="5"/>
  <c r="I1565" i="5"/>
  <c r="I1566" i="5"/>
  <c r="I1564" i="5"/>
  <c r="I1571" i="5"/>
  <c r="I1570" i="5"/>
  <c r="I1574" i="5"/>
  <c r="I1572" i="5"/>
  <c r="I1577" i="5"/>
  <c r="I1578" i="5"/>
  <c r="I1579" i="5"/>
  <c r="I1402" i="5"/>
  <c r="I1415" i="5"/>
  <c r="I1377" i="5"/>
  <c r="I1368" i="5"/>
  <c r="I1410" i="5"/>
  <c r="I1383" i="5"/>
  <c r="I1395" i="5"/>
  <c r="I1388" i="5"/>
  <c r="I1373" i="5"/>
  <c r="I1408" i="5"/>
  <c r="I1389" i="5"/>
  <c r="I1399" i="5"/>
  <c r="I1585" i="5"/>
  <c r="I1587" i="5"/>
  <c r="I1582" i="5"/>
  <c r="I1586" i="5"/>
  <c r="I1580" i="5"/>
  <c r="I1596" i="5"/>
  <c r="I1591" i="5"/>
  <c r="I1584" i="5"/>
  <c r="I1583" i="5"/>
  <c r="I1427" i="5"/>
  <c r="I1438" i="5"/>
  <c r="I1434" i="5"/>
  <c r="I1421" i="5"/>
  <c r="I1590" i="5"/>
  <c r="I1448" i="5"/>
  <c r="I1455" i="5"/>
  <c r="I1599" i="5"/>
  <c r="I1443" i="5"/>
  <c r="I1429" i="5"/>
  <c r="I1589" i="5"/>
  <c r="I1595" i="5"/>
  <c r="I1593" i="5"/>
  <c r="I1602" i="5"/>
  <c r="I1598" i="5"/>
  <c r="I1607" i="5"/>
  <c r="I1597" i="5"/>
  <c r="I1601" i="5"/>
  <c r="I1605" i="5"/>
  <c r="I1606" i="5"/>
  <c r="I1610" i="5"/>
  <c r="I1604" i="5"/>
  <c r="I1615" i="5"/>
  <c r="I1618" i="5"/>
  <c r="I1616" i="5"/>
  <c r="I1612" i="5"/>
  <c r="I1609" i="5"/>
  <c r="I1614" i="5"/>
  <c r="I1619" i="5"/>
  <c r="I1621" i="5"/>
  <c r="I1620" i="5"/>
  <c r="I1624" i="5"/>
  <c r="I1625" i="5"/>
  <c r="I1627" i="5"/>
  <c r="I1631" i="5"/>
  <c r="I1628" i="5"/>
  <c r="I1508" i="5"/>
  <c r="I1630" i="5"/>
  <c r="I1491" i="5"/>
  <c r="I1475" i="5"/>
  <c r="I1623" i="5"/>
  <c r="I1489" i="5"/>
  <c r="I1504" i="5"/>
  <c r="I1500" i="5"/>
  <c r="I1471" i="5"/>
  <c r="I1463" i="5"/>
  <c r="I1480" i="5"/>
  <c r="I1496" i="5"/>
  <c r="I1635" i="5"/>
  <c r="I1638" i="5"/>
  <c r="I1634" i="5"/>
  <c r="I1633" i="5"/>
  <c r="I1632" i="5"/>
  <c r="I1639" i="5"/>
  <c r="I1641" i="5"/>
  <c r="I1642" i="5"/>
  <c r="I1643" i="5"/>
  <c r="I1644" i="5"/>
  <c r="I1640" i="5"/>
  <c r="I1646" i="5"/>
  <c r="I1653" i="5"/>
  <c r="I1649" i="5"/>
  <c r="I1650" i="5"/>
  <c r="I1648" i="5"/>
  <c r="I1654" i="5"/>
  <c r="I1652" i="5"/>
  <c r="I1651" i="5"/>
  <c r="I1660" i="5"/>
  <c r="I1657" i="5"/>
  <c r="I1658" i="5"/>
  <c r="I1581" i="5"/>
  <c r="I1525" i="5"/>
  <c r="I1573" i="5"/>
  <c r="I1519" i="5"/>
  <c r="I1561" i="5"/>
  <c r="I1563" i="5"/>
  <c r="I1542" i="5"/>
  <c r="I1555" i="5"/>
  <c r="I1552" i="5"/>
  <c r="I1659" i="5"/>
  <c r="I1531" i="5"/>
  <c r="I1569" i="5"/>
  <c r="I1515" i="5"/>
  <c r="I1546" i="5"/>
  <c r="I1536" i="5"/>
  <c r="I1661" i="5"/>
  <c r="I1576" i="5"/>
  <c r="I1669" i="5"/>
  <c r="I1667" i="5"/>
  <c r="I1666" i="5"/>
  <c r="I1672" i="5"/>
  <c r="I1670" i="5"/>
  <c r="I1671" i="5"/>
  <c r="I1665" i="5"/>
  <c r="I1664" i="5"/>
  <c r="I1675" i="5"/>
  <c r="I1663" i="5"/>
  <c r="I1676" i="5"/>
  <c r="I1677" i="5"/>
  <c r="I1682" i="5"/>
  <c r="I1678" i="5"/>
  <c r="I1674" i="5"/>
  <c r="I1680" i="5"/>
  <c r="I1681" i="5"/>
  <c r="I1688" i="5"/>
  <c r="I1685" i="5"/>
  <c r="I1690" i="5"/>
  <c r="I1687" i="5"/>
  <c r="I1684" i="5"/>
  <c r="I1692" i="5"/>
  <c r="I1691" i="5"/>
  <c r="I1694" i="5"/>
  <c r="I1699" i="5"/>
  <c r="I1698" i="5"/>
  <c r="I1697" i="5"/>
  <c r="I1696" i="5"/>
  <c r="I1705" i="5"/>
  <c r="I1704" i="5"/>
  <c r="I1702" i="5"/>
  <c r="I1706" i="5"/>
  <c r="I1707" i="5"/>
  <c r="I1695" i="5"/>
  <c r="I1708" i="5"/>
  <c r="I1712" i="5"/>
  <c r="I1701" i="5"/>
  <c r="I1713" i="5"/>
  <c r="I1709" i="5"/>
  <c r="I1715" i="5"/>
  <c r="I1718" i="5"/>
  <c r="I1716" i="5"/>
  <c r="I1719" i="5"/>
  <c r="I1721" i="5"/>
  <c r="I1720" i="5"/>
  <c r="I1711" i="5"/>
  <c r="I1723" i="5"/>
  <c r="I1726" i="5"/>
  <c r="I1724" i="5"/>
  <c r="I1725" i="5"/>
  <c r="I1732" i="5"/>
  <c r="I1733" i="5"/>
  <c r="I1727" i="5"/>
  <c r="I1735" i="5"/>
  <c r="I1730" i="5"/>
  <c r="I1731" i="5"/>
  <c r="I1741" i="5"/>
  <c r="I1740" i="5"/>
  <c r="I1744" i="5"/>
  <c r="I1738" i="5"/>
  <c r="I1739" i="5"/>
  <c r="I1736" i="5"/>
  <c r="I1746" i="5"/>
  <c r="I1594" i="5"/>
  <c r="I1592" i="5"/>
  <c r="I1734" i="5"/>
  <c r="I1600" i="5"/>
  <c r="I1748" i="5"/>
  <c r="I1751" i="5"/>
  <c r="I1742" i="5"/>
  <c r="I1750" i="5"/>
  <c r="I1745" i="5"/>
  <c r="I1756" i="5"/>
  <c r="I1759" i="5"/>
  <c r="I1754" i="5"/>
  <c r="I1752" i="5"/>
  <c r="I1749" i="5"/>
  <c r="I1755" i="5"/>
  <c r="I1758" i="5"/>
  <c r="I1762" i="5"/>
  <c r="I1761" i="5"/>
  <c r="I1763" i="5"/>
  <c r="I1770" i="5"/>
  <c r="I1765" i="5"/>
  <c r="I1766" i="5"/>
  <c r="I1769" i="5"/>
  <c r="I1768" i="5"/>
  <c r="I1764" i="5"/>
  <c r="I1777" i="5"/>
  <c r="I1775" i="5"/>
  <c r="I1774" i="5"/>
  <c r="I1772" i="5"/>
  <c r="I1778" i="5"/>
  <c r="I1779" i="5"/>
  <c r="I1781" i="5"/>
  <c r="I1783" i="5"/>
  <c r="I1785" i="5"/>
  <c r="I1788" i="5"/>
  <c r="I1786" i="5"/>
  <c r="I1790" i="5"/>
  <c r="I1773" i="5"/>
  <c r="I1787" i="5"/>
  <c r="I1789" i="5"/>
  <c r="I1797" i="5"/>
  <c r="I1780" i="5"/>
  <c r="I1793" i="5"/>
  <c r="I1799" i="5"/>
  <c r="I1801" i="5"/>
  <c r="I1791" i="5"/>
  <c r="I1792" i="5"/>
  <c r="I1798" i="5"/>
  <c r="I1803" i="5"/>
  <c r="I1795" i="5"/>
  <c r="I1796" i="5"/>
  <c r="I1808" i="5"/>
  <c r="I1813" i="5"/>
  <c r="I1811" i="5"/>
  <c r="I1805" i="5"/>
  <c r="I1806" i="5"/>
  <c r="I1815" i="5"/>
  <c r="I1818" i="5"/>
  <c r="I1819" i="5"/>
  <c r="I1817" i="5"/>
  <c r="I1810" i="5"/>
  <c r="I1809" i="5"/>
  <c r="I1804" i="5"/>
  <c r="I1611" i="5"/>
  <c r="I1617" i="5"/>
  <c r="I1814" i="5"/>
  <c r="I1608" i="5"/>
  <c r="I1626" i="5"/>
  <c r="I1613" i="5"/>
  <c r="I1629" i="5"/>
  <c r="I1636" i="5"/>
  <c r="I1622" i="5"/>
  <c r="I1820" i="5"/>
  <c r="I1825" i="5"/>
  <c r="I1822" i="5"/>
  <c r="I1831" i="5"/>
  <c r="I1821" i="5"/>
  <c r="I1832" i="5"/>
  <c r="I1826" i="5"/>
  <c r="I1829" i="5"/>
  <c r="I1830" i="5"/>
  <c r="I1827" i="5"/>
  <c r="I1828" i="5"/>
  <c r="I1838" i="5"/>
  <c r="I1840" i="5"/>
  <c r="I1833" i="5"/>
  <c r="I1837" i="5"/>
  <c r="I1836" i="5"/>
  <c r="I1844" i="5"/>
  <c r="I1842" i="5"/>
  <c r="I1839" i="5"/>
  <c r="I1846" i="5"/>
  <c r="I1845" i="5"/>
  <c r="I1849" i="5"/>
  <c r="I1848" i="5"/>
  <c r="I1852" i="5"/>
  <c r="I1855" i="5"/>
  <c r="I1851" i="5"/>
  <c r="I1853" i="5"/>
  <c r="I1859" i="5"/>
  <c r="I1854" i="5"/>
  <c r="I1847" i="5"/>
  <c r="I1860" i="5"/>
  <c r="I1862" i="5"/>
  <c r="I1861" i="5"/>
  <c r="I1867" i="5"/>
  <c r="I1858" i="5"/>
  <c r="I1865" i="5"/>
  <c r="I1870" i="5"/>
  <c r="I1869" i="5"/>
  <c r="I1866" i="5"/>
  <c r="I1871" i="5"/>
  <c r="I1875" i="5"/>
  <c r="I1874" i="5"/>
  <c r="I1872" i="5"/>
  <c r="I1864" i="5"/>
  <c r="I1877" i="5"/>
  <c r="I1878" i="5"/>
  <c r="I1882" i="5"/>
  <c r="I1881" i="5"/>
  <c r="I1885" i="5"/>
  <c r="I1886" i="5"/>
  <c r="I1884" i="5"/>
  <c r="I1889" i="5"/>
  <c r="I1890" i="5"/>
  <c r="I1894" i="5"/>
  <c r="I1893" i="5"/>
  <c r="I1880" i="5"/>
  <c r="I1896" i="5"/>
  <c r="I1888" i="5"/>
  <c r="I1892" i="5"/>
  <c r="I1899" i="5"/>
  <c r="I1897" i="5"/>
  <c r="I1898" i="5"/>
  <c r="I1902" i="5"/>
  <c r="I1905" i="5"/>
  <c r="I1903" i="5"/>
  <c r="I1904" i="5"/>
  <c r="I1895" i="5"/>
  <c r="I1910" i="5"/>
  <c r="I1908" i="5"/>
  <c r="I1912" i="5"/>
  <c r="I1906" i="5"/>
  <c r="I1914" i="5"/>
  <c r="I1909" i="5"/>
  <c r="I1915" i="5"/>
  <c r="I1911" i="5"/>
  <c r="I1917" i="5"/>
  <c r="I1918" i="5"/>
  <c r="I1921" i="5"/>
  <c r="I1920" i="5"/>
  <c r="I1925" i="5"/>
  <c r="I1924" i="5"/>
  <c r="I1919" i="5"/>
  <c r="I1928" i="5"/>
  <c r="I1933" i="5"/>
  <c r="I1930" i="5"/>
  <c r="I1934" i="5"/>
  <c r="I1938" i="5"/>
  <c r="I1926" i="5"/>
  <c r="I1936" i="5"/>
  <c r="I1929" i="5"/>
  <c r="I1932" i="5"/>
  <c r="I1931" i="5"/>
  <c r="I1937" i="5"/>
  <c r="I1942" i="5"/>
  <c r="I1944" i="5"/>
  <c r="I1948" i="5"/>
  <c r="I1943" i="5"/>
  <c r="I1941" i="5"/>
  <c r="I1950" i="5"/>
  <c r="I1947" i="5"/>
  <c r="I1940" i="5"/>
  <c r="I1954" i="5"/>
  <c r="I1949" i="5"/>
  <c r="I1953" i="5"/>
  <c r="I1960" i="5"/>
  <c r="I1951" i="5"/>
  <c r="I1957" i="5"/>
  <c r="I1959" i="5"/>
  <c r="I1958" i="5"/>
  <c r="I1962" i="5"/>
  <c r="I1956" i="5"/>
  <c r="I1968" i="5"/>
  <c r="I1963" i="5"/>
  <c r="I1964" i="5"/>
  <c r="I1967" i="5"/>
  <c r="I1647" i="5"/>
  <c r="I1645" i="5"/>
  <c r="I1655" i="5"/>
  <c r="I1656" i="5"/>
  <c r="I1972" i="5"/>
  <c r="I1662" i="5"/>
  <c r="I1975" i="5"/>
  <c r="I1974" i="5"/>
  <c r="I1969" i="5"/>
  <c r="I1977" i="5"/>
  <c r="I1973" i="5"/>
  <c r="I1971" i="5"/>
  <c r="I1978" i="5"/>
  <c r="I1979" i="5"/>
  <c r="I1980" i="5"/>
  <c r="I1982" i="5"/>
  <c r="I1987" i="5"/>
  <c r="I1981" i="5"/>
  <c r="I1988" i="5"/>
  <c r="I1985" i="5"/>
  <c r="I1989" i="5"/>
  <c r="I1984" i="5"/>
  <c r="I1992" i="5"/>
  <c r="I1993" i="5"/>
  <c r="I1994" i="5"/>
  <c r="I1996" i="5"/>
  <c r="I1991" i="5"/>
  <c r="I2000" i="5"/>
  <c r="I1998" i="5"/>
  <c r="I1999" i="5"/>
  <c r="I2008" i="5"/>
  <c r="I2005" i="5"/>
  <c r="I2006" i="5"/>
  <c r="I2009" i="5"/>
  <c r="I2004" i="5"/>
  <c r="I2003" i="5"/>
  <c r="I2002" i="5"/>
  <c r="I2011" i="5"/>
  <c r="I2012" i="5"/>
  <c r="I2017" i="5"/>
  <c r="I2015" i="5"/>
  <c r="I2020" i="5"/>
  <c r="I2019" i="5"/>
  <c r="I2014" i="5"/>
  <c r="I20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88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ID#AAABqsPsySo
Nicolas Gonzalez    (2025-09-08 12:32:28)
A Partir del evento siguiente a este el mosca se sumó a los grand Slams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NCgGIWnX12tu+I6MfTsMXpOXdqg=="/>
    </ext>
  </extLst>
</comments>
</file>

<file path=xl/sharedStrings.xml><?xml version="1.0" encoding="utf-8"?>
<sst xmlns="http://schemas.openxmlformats.org/spreadsheetml/2006/main" count="2649" uniqueCount="49">
  <si>
    <t>Evento</t>
  </si>
  <si>
    <t>Fecha</t>
  </si>
  <si>
    <t>Partida</t>
  </si>
  <si>
    <t>Jugador 1</t>
  </si>
  <si>
    <t>Jugador 2</t>
  </si>
  <si>
    <t>Jugador 3</t>
  </si>
  <si>
    <t>Jugador 4</t>
  </si>
  <si>
    <t>Jugador 5</t>
  </si>
  <si>
    <t>Jugador 6</t>
  </si>
  <si>
    <t>Total Jugadores</t>
  </si>
  <si>
    <t>Ubicación</t>
  </si>
  <si>
    <t>Grand Slam</t>
  </si>
  <si>
    <t>Gallo</t>
  </si>
  <si>
    <t>Ivo</t>
  </si>
  <si>
    <t>Max</t>
  </si>
  <si>
    <t>Sofi</t>
  </si>
  <si>
    <t>Gaspa</t>
  </si>
  <si>
    <t xml:space="preserve">Gasta </t>
  </si>
  <si>
    <t>Rodri</t>
  </si>
  <si>
    <t>Hugo</t>
  </si>
  <si>
    <t>Cami (prima Hugo)</t>
  </si>
  <si>
    <t>Moch</t>
  </si>
  <si>
    <t>Beto</t>
  </si>
  <si>
    <t>GS</t>
  </si>
  <si>
    <t>Costa</t>
  </si>
  <si>
    <t>Gasta</t>
  </si>
  <si>
    <t>Abegol</t>
  </si>
  <si>
    <t>Jota</t>
  </si>
  <si>
    <t>Chino</t>
  </si>
  <si>
    <t>Partida 1 (3/1)</t>
  </si>
  <si>
    <t>Partida 2</t>
  </si>
  <si>
    <t>Partida 3</t>
  </si>
  <si>
    <t>Partida 1 (6/1)</t>
  </si>
  <si>
    <t>Partida 2 (6/1)</t>
  </si>
  <si>
    <t>Partida 3 (6/1)</t>
  </si>
  <si>
    <t>Partida 4 (6/1)</t>
  </si>
  <si>
    <t>Jugadores</t>
  </si>
  <si>
    <t>Puntos tablero</t>
  </si>
  <si>
    <t>Ejército más grande</t>
  </si>
  <si>
    <t>Camino más largo</t>
  </si>
  <si>
    <t>PV</t>
  </si>
  <si>
    <t>Puntos totales</t>
  </si>
  <si>
    <t>puntos tablero</t>
  </si>
  <si>
    <t>ejército más grande</t>
  </si>
  <si>
    <t>camino más largo</t>
  </si>
  <si>
    <t>pv</t>
  </si>
  <si>
    <t>puntos total</t>
  </si>
  <si>
    <t>Rank por partida</t>
  </si>
  <si>
    <t>Penalidad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</si>
</sst>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"/>
    <numFmt numFmtId="165" formatCode="dd/mm/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D9E6FC"/>
        <bgColor rgb="FFD9E6FC"/>
      </patternFill>
    </fill>
    <fill>
      <patternFill patternType="solid">
        <fgColor rgb="FFFAD9D6"/>
        <bgColor indexed="64"/>
      </patternFill>
    </fill>
    <fill>
      <patternFill patternType="solid">
        <fgColor rgb="FFD2F1DA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 applyAlignment="1"/>
    <xf numFmtId="0" fontId="2" fillId="2" borderId="3" xfId="0" applyFont="1" applyFill="1" applyBorder="1"/>
    <xf numFmtId="0" fontId="3" fillId="3" borderId="4" xfId="0" applyFont="1" applyFill="1" applyBorder="1"/>
    <xf numFmtId="14" fontId="4" fillId="3" borderId="4" xfId="0" applyNumberFormat="1" applyFont="1" applyFill="1" applyBorder="1"/>
    <xf numFmtId="0" fontId="4" fillId="3" borderId="4" xfId="0" applyFont="1" applyFill="1" applyBorder="1"/>
    <xf numFmtId="0" fontId="3" fillId="4" borderId="4" xfId="0" applyFont="1" applyFill="1" applyBorder="1"/>
    <xf numFmtId="14" fontId="4" fillId="4" borderId="4" xfId="0" applyNumberFormat="1" applyFont="1" applyFill="1" applyBorder="1"/>
    <xf numFmtId="0" fontId="4" fillId="4" borderId="4" xfId="0" applyFont="1" applyFill="1" applyBorder="1"/>
    <xf numFmtId="14" fontId="3" fillId="4" borderId="4" xfId="0" applyNumberFormat="1" applyFont="1" applyFill="1" applyBorder="1"/>
    <xf numFmtId="14" fontId="3" fillId="3" borderId="4" xfId="0" applyNumberFormat="1" applyFont="1" applyFill="1" applyBorder="1"/>
    <xf numFmtId="0" fontId="4" fillId="3" borderId="4" xfId="0" applyFont="1" applyFill="1" applyBorder="1" applyAlignment="1"/>
    <xf numFmtId="0" fontId="4" fillId="4" borderId="4" xfId="0" applyFont="1" applyFill="1" applyBorder="1" applyAlignment="1"/>
    <xf numFmtId="0" fontId="3" fillId="3" borderId="4" xfId="0" applyFont="1" applyFill="1" applyBorder="1" applyAlignment="1"/>
    <xf numFmtId="14" fontId="3" fillId="3" borderId="4" xfId="0" applyNumberFormat="1" applyFont="1" applyFill="1" applyBorder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14" fontId="1" fillId="0" borderId="0" xfId="0" applyNumberFormat="1" applyFont="1" applyAlignment="1"/>
    <xf numFmtId="0" fontId="1" fillId="5" borderId="0" xfId="0" applyFont="1" applyFill="1" applyAlignment="1"/>
    <xf numFmtId="164" fontId="1" fillId="5" borderId="0" xfId="0" applyNumberFormat="1" applyFont="1" applyFill="1" applyAlignment="1"/>
    <xf numFmtId="0" fontId="4" fillId="0" borderId="0" xfId="0" applyFont="1"/>
    <xf numFmtId="0" fontId="4" fillId="6" borderId="4" xfId="0" applyFont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4" fillId="7" borderId="4" xfId="0" applyFont="1" applyFill="1" applyBorder="1"/>
    <xf numFmtId="0" fontId="4" fillId="6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8" borderId="6" xfId="0" applyFont="1" applyFill="1" applyBorder="1"/>
    <xf numFmtId="0" fontId="5" fillId="8" borderId="6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5" fillId="8" borderId="7" xfId="0" applyFont="1" applyFill="1" applyBorder="1" applyAlignment="1">
      <alignment wrapText="1"/>
    </xf>
    <xf numFmtId="14" fontId="4" fillId="3" borderId="8" xfId="0" applyNumberFormat="1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3" borderId="9" xfId="0" applyFont="1" applyFill="1" applyBorder="1"/>
    <xf numFmtId="14" fontId="4" fillId="4" borderId="8" xfId="0" applyNumberFormat="1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3" fillId="4" borderId="9" xfId="0" applyFont="1" applyFill="1" applyBorder="1"/>
    <xf numFmtId="14" fontId="3" fillId="4" borderId="8" xfId="0" applyNumberFormat="1" applyFont="1" applyFill="1" applyBorder="1"/>
    <xf numFmtId="14" fontId="3" fillId="3" borderId="8" xfId="0" applyNumberFormat="1" applyFont="1" applyFill="1" applyBorder="1"/>
    <xf numFmtId="14" fontId="3" fillId="4" borderId="10" xfId="0" applyNumberFormat="1" applyFont="1" applyFill="1" applyBorder="1"/>
    <xf numFmtId="0" fontId="3" fillId="4" borderId="11" xfId="0" applyFont="1" applyFill="1" applyBorder="1"/>
    <xf numFmtId="0" fontId="4" fillId="4" borderId="11" xfId="0" applyFont="1" applyFill="1" applyBorder="1"/>
    <xf numFmtId="0" fontId="3" fillId="4" borderId="12" xfId="0" applyFont="1" applyFill="1" applyBorder="1"/>
    <xf numFmtId="0" fontId="4" fillId="4" borderId="11" xfId="0" applyFont="1" applyFill="1" applyBorder="1" applyAlignment="1"/>
    <xf numFmtId="14" fontId="3" fillId="4" borderId="1" xfId="0" applyNumberFormat="1" applyFont="1" applyFill="1" applyBorder="1"/>
    <xf numFmtId="0" fontId="4" fillId="4" borderId="1" xfId="0" applyFont="1" applyFill="1" applyBorder="1" applyAlignment="1"/>
    <xf numFmtId="0" fontId="3" fillId="4" borderId="13" xfId="0" applyFont="1" applyFill="1" applyBorder="1"/>
    <xf numFmtId="0" fontId="3" fillId="0" borderId="1" xfId="0" applyFont="1" applyBorder="1"/>
    <xf numFmtId="0" fontId="3" fillId="0" borderId="1" xfId="0" applyFont="1" applyBorder="1" applyAlignment="1"/>
    <xf numFmtId="0" fontId="3" fillId="0" borderId="13" xfId="0" applyFont="1" applyBorder="1"/>
    <xf numFmtId="0" fontId="3" fillId="9" borderId="1" xfId="0" applyFont="1" applyFill="1" applyBorder="1"/>
    <xf numFmtId="0" fontId="3" fillId="0" borderId="13" xfId="0" applyFont="1" applyBorder="1" applyAlignment="1"/>
    <xf numFmtId="0" fontId="3" fillId="3" borderId="9" xfId="0" applyFont="1" applyFill="1" applyBorder="1" applyAlignment="1"/>
    <xf numFmtId="0" fontId="6" fillId="0" borderId="0" xfId="0" applyFont="1" applyAlignment="1">
      <alignment horizontal="right" wrapText="1"/>
    </xf>
    <xf numFmtId="14" fontId="6" fillId="0" borderId="0" xfId="0" applyNumberFormat="1" applyFont="1" applyAlignment="1">
      <alignment horizontal="right" wrapText="1"/>
    </xf>
    <xf numFmtId="0" fontId="6" fillId="0" borderId="0" xfId="0" applyFont="1" applyAlignment="1">
      <alignment wrapText="1"/>
    </xf>
    <xf numFmtId="0" fontId="6" fillId="10" borderId="0" xfId="0" applyFont="1" applyFill="1" applyAlignment="1">
      <alignment horizontal="right" wrapText="1"/>
    </xf>
    <xf numFmtId="0" fontId="6" fillId="10" borderId="14" xfId="0" applyFont="1" applyFill="1" applyBorder="1" applyAlignment="1">
      <alignment horizontal="right" wrapText="1"/>
    </xf>
    <xf numFmtId="0" fontId="6" fillId="10" borderId="15" xfId="0" applyFont="1" applyFill="1" applyBorder="1" applyAlignment="1">
      <alignment horizontal="right" wrapText="1"/>
    </xf>
    <xf numFmtId="0" fontId="6" fillId="10" borderId="15" xfId="0" applyFont="1" applyFill="1" applyBorder="1" applyAlignment="1">
      <alignment wrapText="1"/>
    </xf>
    <xf numFmtId="0" fontId="6" fillId="10" borderId="16" xfId="0" applyFont="1" applyFill="1" applyBorder="1" applyAlignment="1">
      <alignment horizontal="right" wrapText="1"/>
    </xf>
    <xf numFmtId="0" fontId="6" fillId="10" borderId="17" xfId="0" applyFont="1" applyFill="1" applyBorder="1" applyAlignment="1">
      <alignment horizontal="right" wrapText="1"/>
    </xf>
    <xf numFmtId="0" fontId="6" fillId="10" borderId="17" xfId="0" applyFont="1" applyFill="1" applyBorder="1" applyAlignment="1">
      <alignment wrapText="1"/>
    </xf>
    <xf numFmtId="0" fontId="6" fillId="11" borderId="16" xfId="0" applyFont="1" applyFill="1" applyBorder="1" applyAlignment="1">
      <alignment horizontal="right" wrapText="1"/>
    </xf>
    <xf numFmtId="0" fontId="6" fillId="11" borderId="17" xfId="0" applyFont="1" applyFill="1" applyBorder="1" applyAlignment="1">
      <alignment horizontal="right" wrapText="1"/>
    </xf>
    <xf numFmtId="0" fontId="6" fillId="11" borderId="17" xfId="0" applyFont="1" applyFill="1" applyBorder="1" applyAlignment="1">
      <alignment wrapText="1"/>
    </xf>
  </cellXfs>
  <cellStyles count="1">
    <cellStyle name="Normal" xfId="0" builtinId="0"/>
  </cellStyles>
  <dxfs count="7">
    <dxf>
      <fill>
        <patternFill patternType="solid">
          <fgColor rgb="FFD2F1DA"/>
          <bgColor rgb="FFD2F1DA"/>
        </patternFill>
      </fill>
    </dxf>
    <dxf>
      <fill>
        <patternFill patternType="solid">
          <fgColor rgb="FFFAD9D6"/>
          <bgColor rgb="FFFAD9D6"/>
        </patternFill>
      </fill>
    </dxf>
    <dxf>
      <fill>
        <patternFill patternType="solid">
          <fgColor rgb="FFFAD9D6"/>
          <bgColor rgb="FFFAD9D6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Resultados dashboard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2075">
  <tableColumns count="10">
    <tableColumn id="1" xr3:uid="{00000000-0010-0000-0000-000001000000}" name="Fecha"/>
    <tableColumn id="2" xr3:uid="{00000000-0010-0000-0000-000002000000}" name="Partida"/>
    <tableColumn id="3" xr3:uid="{00000000-0010-0000-0000-000003000000}" name="Jugadores"/>
    <tableColumn id="4" xr3:uid="{00000000-0010-0000-0000-000004000000}" name="Puntos tablero"/>
    <tableColumn id="5" xr3:uid="{00000000-0010-0000-0000-000005000000}" name="PV"/>
    <tableColumn id="6" xr3:uid="{00000000-0010-0000-0000-000006000000}" name="Ejército más grande"/>
    <tableColumn id="7" xr3:uid="{00000000-0010-0000-0000-000007000000}" name="Camino más largo"/>
    <tableColumn id="8" xr3:uid="{00000000-0010-0000-0000-000008000000}" name="Puntos totales"/>
    <tableColumn id="9" xr3:uid="{00000000-0010-0000-0000-000009000000}" name="Rank por partida"/>
    <tableColumn id="10" xr3:uid="{00000000-0010-0000-0000-00000A000000}" name="Penalidad"/>
  </tableColumns>
  <tableStyleInfo name="Resultados dashbo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  <outlinePr summaryBelow="0" summaryRight="0"/>
  </sheetPr>
  <dimension ref="A1:L999"/>
  <sheetViews>
    <sheetView showGridLines="0" topLeftCell="A429" workbookViewId="0">
      <selection activeCell="A449" sqref="A449:K453"/>
    </sheetView>
  </sheetViews>
  <sheetFormatPr defaultColWidth="12.5703125" defaultRowHeight="15" customHeight="1" x14ac:dyDescent="0.2"/>
  <cols>
    <col min="10" max="10" width="15.7109375" customWidth="1"/>
  </cols>
  <sheetData>
    <row r="1" spans="1:12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</row>
    <row r="2" spans="1:12" ht="15.75" customHeight="1" x14ac:dyDescent="0.2">
      <c r="A2" s="6">
        <v>1</v>
      </c>
      <c r="B2" s="7">
        <v>45294</v>
      </c>
      <c r="C2" s="6">
        <v>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/>
      <c r="J2" s="6">
        <f t="shared" ref="J2:J256" si="0">+COUNTA(D2:I2)</f>
        <v>5</v>
      </c>
      <c r="K2" s="1" t="s">
        <v>13</v>
      </c>
    </row>
    <row r="3" spans="1:12" ht="15.75" customHeight="1" x14ac:dyDescent="0.2">
      <c r="A3" s="9">
        <v>1</v>
      </c>
      <c r="B3" s="10">
        <v>45294</v>
      </c>
      <c r="C3" s="9">
        <v>2</v>
      </c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1"/>
      <c r="J3" s="9">
        <f t="shared" si="0"/>
        <v>5</v>
      </c>
      <c r="K3" s="1" t="s">
        <v>13</v>
      </c>
    </row>
    <row r="4" spans="1:12" ht="15.75" customHeight="1" x14ac:dyDescent="0.2">
      <c r="A4" s="6">
        <v>1</v>
      </c>
      <c r="B4" s="7">
        <v>45294</v>
      </c>
      <c r="C4" s="6">
        <v>3</v>
      </c>
      <c r="D4" s="8" t="s">
        <v>12</v>
      </c>
      <c r="E4" s="8" t="s">
        <v>13</v>
      </c>
      <c r="F4" s="8" t="s">
        <v>14</v>
      </c>
      <c r="G4" s="8" t="s">
        <v>15</v>
      </c>
      <c r="H4" s="8"/>
      <c r="I4" s="8"/>
      <c r="J4" s="6">
        <f t="shared" si="0"/>
        <v>4</v>
      </c>
      <c r="K4" s="1" t="s">
        <v>13</v>
      </c>
    </row>
    <row r="5" spans="1:12" ht="15.75" customHeight="1" x14ac:dyDescent="0.2">
      <c r="A5" s="9">
        <v>2</v>
      </c>
      <c r="B5" s="12">
        <v>45297</v>
      </c>
      <c r="C5" s="9">
        <v>4</v>
      </c>
      <c r="D5" s="11" t="s">
        <v>13</v>
      </c>
      <c r="E5" s="11" t="s">
        <v>14</v>
      </c>
      <c r="F5" s="11" t="s">
        <v>16</v>
      </c>
      <c r="G5" s="11" t="s">
        <v>17</v>
      </c>
      <c r="H5" s="11"/>
      <c r="I5" s="11"/>
      <c r="J5" s="9">
        <f t="shared" si="0"/>
        <v>4</v>
      </c>
      <c r="K5" s="1" t="s">
        <v>16</v>
      </c>
    </row>
    <row r="6" spans="1:12" ht="15.75" customHeight="1" x14ac:dyDescent="0.2">
      <c r="A6" s="6">
        <v>2</v>
      </c>
      <c r="B6" s="13">
        <v>45297</v>
      </c>
      <c r="C6" s="6">
        <v>5</v>
      </c>
      <c r="D6" s="8" t="s">
        <v>13</v>
      </c>
      <c r="E6" s="8" t="s">
        <v>14</v>
      </c>
      <c r="F6" s="8" t="s">
        <v>16</v>
      </c>
      <c r="G6" s="8" t="s">
        <v>17</v>
      </c>
      <c r="H6" s="8" t="s">
        <v>18</v>
      </c>
      <c r="I6" s="8"/>
      <c r="J6" s="6">
        <f t="shared" si="0"/>
        <v>5</v>
      </c>
      <c r="K6" s="1" t="s">
        <v>16</v>
      </c>
    </row>
    <row r="7" spans="1:12" ht="15.75" customHeight="1" x14ac:dyDescent="0.2">
      <c r="A7" s="9">
        <v>2</v>
      </c>
      <c r="B7" s="12">
        <v>45297</v>
      </c>
      <c r="C7" s="9">
        <v>6</v>
      </c>
      <c r="D7" s="11" t="s">
        <v>12</v>
      </c>
      <c r="E7" s="11" t="s">
        <v>13</v>
      </c>
      <c r="F7" s="11" t="s">
        <v>14</v>
      </c>
      <c r="G7" s="11" t="s">
        <v>17</v>
      </c>
      <c r="H7" s="11"/>
      <c r="I7" s="11"/>
      <c r="J7" s="9">
        <f t="shared" si="0"/>
        <v>4</v>
      </c>
      <c r="K7" s="1" t="s">
        <v>16</v>
      </c>
    </row>
    <row r="8" spans="1:12" ht="15.75" customHeight="1" x14ac:dyDescent="0.2">
      <c r="A8" s="6">
        <v>2</v>
      </c>
      <c r="B8" s="13">
        <v>45297</v>
      </c>
      <c r="C8" s="6">
        <v>7</v>
      </c>
      <c r="D8" s="8" t="s">
        <v>12</v>
      </c>
      <c r="E8" s="8" t="s">
        <v>13</v>
      </c>
      <c r="F8" s="8" t="s">
        <v>14</v>
      </c>
      <c r="G8" s="8" t="s">
        <v>16</v>
      </c>
      <c r="H8" s="8" t="s">
        <v>17</v>
      </c>
      <c r="I8" s="8"/>
      <c r="J8" s="6">
        <f t="shared" si="0"/>
        <v>5</v>
      </c>
      <c r="K8" s="1" t="s">
        <v>16</v>
      </c>
    </row>
    <row r="9" spans="1:12" ht="15.75" customHeight="1" x14ac:dyDescent="0.2">
      <c r="A9" s="9">
        <v>2</v>
      </c>
      <c r="B9" s="12">
        <v>45297</v>
      </c>
      <c r="C9" s="9">
        <v>8</v>
      </c>
      <c r="D9" s="11" t="s">
        <v>12</v>
      </c>
      <c r="E9" s="11" t="s">
        <v>13</v>
      </c>
      <c r="F9" s="11" t="s">
        <v>14</v>
      </c>
      <c r="G9" s="11" t="s">
        <v>16</v>
      </c>
      <c r="H9" s="11" t="s">
        <v>17</v>
      </c>
      <c r="I9" s="11"/>
      <c r="J9" s="9">
        <f t="shared" si="0"/>
        <v>5</v>
      </c>
      <c r="K9" s="1" t="s">
        <v>16</v>
      </c>
    </row>
    <row r="10" spans="1:12" ht="15.75" customHeight="1" x14ac:dyDescent="0.2">
      <c r="A10" s="6">
        <v>3</v>
      </c>
      <c r="B10" s="13">
        <v>45304</v>
      </c>
      <c r="C10" s="6">
        <f t="shared" ref="C10:C14" si="1">C9+1</f>
        <v>9</v>
      </c>
      <c r="D10" s="8" t="s">
        <v>12</v>
      </c>
      <c r="E10" s="8" t="s">
        <v>13</v>
      </c>
      <c r="F10" s="8" t="s">
        <v>16</v>
      </c>
      <c r="G10" s="14" t="s">
        <v>18</v>
      </c>
      <c r="H10" s="8"/>
      <c r="I10" s="8"/>
      <c r="J10" s="6">
        <f t="shared" si="0"/>
        <v>4</v>
      </c>
      <c r="K10" s="1" t="s">
        <v>16</v>
      </c>
    </row>
    <row r="11" spans="1:12" ht="15.75" customHeight="1" x14ac:dyDescent="0.2">
      <c r="A11" s="9">
        <v>3</v>
      </c>
      <c r="B11" s="12">
        <v>45304</v>
      </c>
      <c r="C11" s="9">
        <f t="shared" si="1"/>
        <v>10</v>
      </c>
      <c r="D11" s="11" t="s">
        <v>12</v>
      </c>
      <c r="E11" s="11" t="s">
        <v>13</v>
      </c>
      <c r="F11" s="11" t="s">
        <v>16</v>
      </c>
      <c r="G11" s="11" t="s">
        <v>19</v>
      </c>
      <c r="H11" s="11" t="s">
        <v>18</v>
      </c>
      <c r="I11" s="11"/>
      <c r="J11" s="9">
        <f t="shared" si="0"/>
        <v>5</v>
      </c>
      <c r="K11" s="1" t="s">
        <v>16</v>
      </c>
    </row>
    <row r="12" spans="1:12" ht="15.75" customHeight="1" x14ac:dyDescent="0.2">
      <c r="A12" s="6">
        <v>3</v>
      </c>
      <c r="B12" s="13">
        <v>45304</v>
      </c>
      <c r="C12" s="6">
        <f t="shared" si="1"/>
        <v>11</v>
      </c>
      <c r="D12" s="8" t="s">
        <v>12</v>
      </c>
      <c r="E12" s="8" t="s">
        <v>13</v>
      </c>
      <c r="F12" s="8" t="s">
        <v>16</v>
      </c>
      <c r="G12" s="8" t="s">
        <v>19</v>
      </c>
      <c r="H12" s="8" t="s">
        <v>18</v>
      </c>
      <c r="I12" s="14" t="s">
        <v>15</v>
      </c>
      <c r="J12" s="6">
        <f t="shared" si="0"/>
        <v>6</v>
      </c>
      <c r="K12" s="1" t="s">
        <v>16</v>
      </c>
    </row>
    <row r="13" spans="1:12" ht="15.75" customHeight="1" x14ac:dyDescent="0.2">
      <c r="A13" s="9">
        <v>3</v>
      </c>
      <c r="B13" s="12">
        <v>45304</v>
      </c>
      <c r="C13" s="9">
        <f t="shared" si="1"/>
        <v>12</v>
      </c>
      <c r="D13" s="11" t="s">
        <v>12</v>
      </c>
      <c r="E13" s="11" t="s">
        <v>13</v>
      </c>
      <c r="F13" s="11" t="s">
        <v>16</v>
      </c>
      <c r="G13" s="11" t="s">
        <v>19</v>
      </c>
      <c r="H13" s="11" t="s">
        <v>18</v>
      </c>
      <c r="I13" s="15" t="s">
        <v>15</v>
      </c>
      <c r="J13" s="9">
        <f t="shared" si="0"/>
        <v>6</v>
      </c>
      <c r="K13" s="1" t="s">
        <v>16</v>
      </c>
    </row>
    <row r="14" spans="1:12" ht="15.75" customHeight="1" x14ac:dyDescent="0.2">
      <c r="A14" s="6">
        <v>3</v>
      </c>
      <c r="B14" s="13">
        <v>45304</v>
      </c>
      <c r="C14" s="6">
        <f t="shared" si="1"/>
        <v>13</v>
      </c>
      <c r="D14" s="8" t="s">
        <v>12</v>
      </c>
      <c r="E14" s="8" t="s">
        <v>13</v>
      </c>
      <c r="F14" s="8" t="s">
        <v>16</v>
      </c>
      <c r="G14" s="8" t="s">
        <v>19</v>
      </c>
      <c r="H14" s="8" t="s">
        <v>18</v>
      </c>
      <c r="I14" s="16" t="s">
        <v>15</v>
      </c>
      <c r="J14" s="6">
        <f t="shared" si="0"/>
        <v>6</v>
      </c>
      <c r="K14" s="1" t="s">
        <v>16</v>
      </c>
    </row>
    <row r="15" spans="1:12" ht="15.75" customHeight="1" x14ac:dyDescent="0.2">
      <c r="A15" s="6">
        <v>3</v>
      </c>
      <c r="B15" s="13">
        <v>45304</v>
      </c>
      <c r="C15" s="6">
        <v>14</v>
      </c>
      <c r="D15" s="8" t="s">
        <v>12</v>
      </c>
      <c r="E15" s="8" t="s">
        <v>13</v>
      </c>
      <c r="F15" s="8" t="s">
        <v>16</v>
      </c>
      <c r="G15" s="14" t="s">
        <v>15</v>
      </c>
      <c r="H15" s="8"/>
      <c r="I15" s="16"/>
      <c r="J15" s="6">
        <f t="shared" si="0"/>
        <v>4</v>
      </c>
      <c r="K15" s="1" t="s">
        <v>16</v>
      </c>
    </row>
    <row r="16" spans="1:12" ht="15.75" customHeight="1" x14ac:dyDescent="0.2">
      <c r="A16" s="16">
        <v>4</v>
      </c>
      <c r="B16" s="17">
        <v>45310</v>
      </c>
      <c r="C16" s="16">
        <v>15</v>
      </c>
      <c r="D16" s="8" t="s">
        <v>12</v>
      </c>
      <c r="E16" s="8" t="s">
        <v>13</v>
      </c>
      <c r="F16" s="14" t="s">
        <v>19</v>
      </c>
      <c r="G16" s="14" t="s">
        <v>15</v>
      </c>
      <c r="H16" s="8"/>
      <c r="I16" s="16"/>
      <c r="J16" s="6">
        <f t="shared" si="0"/>
        <v>4</v>
      </c>
      <c r="K16" s="1" t="s">
        <v>13</v>
      </c>
    </row>
    <row r="17" spans="1:11" ht="15.75" customHeight="1" x14ac:dyDescent="0.2">
      <c r="A17" s="16">
        <v>4</v>
      </c>
      <c r="B17" s="17">
        <v>45310</v>
      </c>
      <c r="C17" s="16">
        <v>16</v>
      </c>
      <c r="D17" s="8" t="s">
        <v>12</v>
      </c>
      <c r="E17" s="8" t="s">
        <v>13</v>
      </c>
      <c r="F17" s="14" t="s">
        <v>19</v>
      </c>
      <c r="G17" s="14" t="s">
        <v>15</v>
      </c>
      <c r="H17" s="8"/>
      <c r="I17" s="16"/>
      <c r="J17" s="6">
        <f t="shared" si="0"/>
        <v>4</v>
      </c>
      <c r="K17" s="1" t="s">
        <v>13</v>
      </c>
    </row>
    <row r="18" spans="1:11" ht="15.75" customHeight="1" x14ac:dyDescent="0.2">
      <c r="A18" s="16">
        <v>5</v>
      </c>
      <c r="B18" s="17">
        <v>45315</v>
      </c>
      <c r="C18" s="16">
        <v>17</v>
      </c>
      <c r="D18" s="8" t="s">
        <v>13</v>
      </c>
      <c r="E18" s="14" t="s">
        <v>19</v>
      </c>
      <c r="F18" s="14" t="s">
        <v>16</v>
      </c>
      <c r="G18" s="14" t="s">
        <v>14</v>
      </c>
      <c r="H18" s="8"/>
      <c r="I18" s="16"/>
      <c r="J18" s="6">
        <f t="shared" si="0"/>
        <v>4</v>
      </c>
      <c r="K18" s="1" t="s">
        <v>13</v>
      </c>
    </row>
    <row r="19" spans="1:11" ht="15.75" customHeight="1" x14ac:dyDescent="0.2">
      <c r="A19" s="16">
        <v>5</v>
      </c>
      <c r="B19" s="17">
        <v>45315</v>
      </c>
      <c r="C19" s="16">
        <v>18</v>
      </c>
      <c r="D19" s="8" t="s">
        <v>13</v>
      </c>
      <c r="E19" s="14" t="s">
        <v>19</v>
      </c>
      <c r="F19" s="14" t="s">
        <v>16</v>
      </c>
      <c r="G19" s="14" t="s">
        <v>14</v>
      </c>
      <c r="H19" s="8"/>
      <c r="I19" s="16"/>
      <c r="J19" s="6">
        <f t="shared" si="0"/>
        <v>4</v>
      </c>
      <c r="K19" s="1" t="s">
        <v>13</v>
      </c>
    </row>
    <row r="20" spans="1:11" ht="15.75" customHeight="1" x14ac:dyDescent="0.2">
      <c r="A20" s="16">
        <v>5</v>
      </c>
      <c r="B20" s="17">
        <v>45315</v>
      </c>
      <c r="C20" s="16">
        <v>19</v>
      </c>
      <c r="D20" s="8" t="s">
        <v>13</v>
      </c>
      <c r="E20" s="14" t="s">
        <v>19</v>
      </c>
      <c r="F20" s="14" t="s">
        <v>16</v>
      </c>
      <c r="G20" s="14" t="s">
        <v>14</v>
      </c>
      <c r="H20" s="8"/>
      <c r="I20" s="16"/>
      <c r="J20" s="6">
        <f t="shared" si="0"/>
        <v>4</v>
      </c>
      <c r="K20" s="1" t="s">
        <v>13</v>
      </c>
    </row>
    <row r="21" spans="1:11" ht="15.75" customHeight="1" x14ac:dyDescent="0.2">
      <c r="A21" s="16">
        <v>6</v>
      </c>
      <c r="B21" s="17">
        <v>45325</v>
      </c>
      <c r="C21" s="16">
        <v>20</v>
      </c>
      <c r="D21" s="8" t="s">
        <v>12</v>
      </c>
      <c r="E21" s="14" t="s">
        <v>14</v>
      </c>
      <c r="F21" s="14" t="s">
        <v>16</v>
      </c>
      <c r="G21" s="14" t="s">
        <v>19</v>
      </c>
      <c r="H21" s="8" t="s">
        <v>13</v>
      </c>
      <c r="I21" s="16" t="s">
        <v>18</v>
      </c>
      <c r="J21" s="6">
        <f t="shared" si="0"/>
        <v>6</v>
      </c>
      <c r="K21" s="1" t="s">
        <v>19</v>
      </c>
    </row>
    <row r="22" spans="1:11" ht="15.75" customHeight="1" x14ac:dyDescent="0.2">
      <c r="A22" s="16">
        <v>6</v>
      </c>
      <c r="B22" s="17">
        <v>45325</v>
      </c>
      <c r="C22" s="16">
        <v>21</v>
      </c>
      <c r="D22" s="8" t="s">
        <v>19</v>
      </c>
      <c r="E22" s="14" t="s">
        <v>13</v>
      </c>
      <c r="F22" s="14" t="s">
        <v>14</v>
      </c>
      <c r="G22" s="14" t="s">
        <v>18</v>
      </c>
      <c r="H22" s="8" t="s">
        <v>20</v>
      </c>
      <c r="I22" s="16"/>
      <c r="J22" s="6">
        <f t="shared" si="0"/>
        <v>5</v>
      </c>
      <c r="K22" s="1" t="s">
        <v>19</v>
      </c>
    </row>
    <row r="23" spans="1:11" ht="15.75" customHeight="1" x14ac:dyDescent="0.2">
      <c r="A23" s="16">
        <v>6</v>
      </c>
      <c r="B23" s="17">
        <v>45325</v>
      </c>
      <c r="C23" s="16">
        <v>22</v>
      </c>
      <c r="D23" s="8" t="s">
        <v>12</v>
      </c>
      <c r="E23" s="14" t="s">
        <v>13</v>
      </c>
      <c r="F23" s="14" t="s">
        <v>14</v>
      </c>
      <c r="G23" s="14" t="s">
        <v>16</v>
      </c>
      <c r="H23" s="8"/>
      <c r="I23" s="16"/>
      <c r="J23" s="6">
        <f t="shared" si="0"/>
        <v>4</v>
      </c>
      <c r="K23" s="1" t="s">
        <v>19</v>
      </c>
    </row>
    <row r="24" spans="1:11" ht="15.75" customHeight="1" x14ac:dyDescent="0.2">
      <c r="A24" s="1">
        <v>7</v>
      </c>
      <c r="B24" s="18">
        <v>45332</v>
      </c>
      <c r="C24" s="1">
        <v>23</v>
      </c>
      <c r="D24" s="1" t="s">
        <v>12</v>
      </c>
      <c r="E24" s="1" t="s">
        <v>16</v>
      </c>
      <c r="F24" s="1" t="s">
        <v>14</v>
      </c>
      <c r="G24" s="1" t="s">
        <v>19</v>
      </c>
      <c r="J24" s="6">
        <f t="shared" si="0"/>
        <v>4</v>
      </c>
      <c r="K24" s="1" t="s">
        <v>14</v>
      </c>
    </row>
    <row r="25" spans="1:11" ht="15.75" customHeight="1" x14ac:dyDescent="0.2">
      <c r="A25" s="1">
        <v>7</v>
      </c>
      <c r="B25" s="18">
        <v>45332</v>
      </c>
      <c r="C25" s="1">
        <v>24</v>
      </c>
      <c r="D25" s="1" t="s">
        <v>12</v>
      </c>
      <c r="E25" s="1" t="s">
        <v>16</v>
      </c>
      <c r="F25" s="1" t="s">
        <v>14</v>
      </c>
      <c r="G25" s="1" t="s">
        <v>19</v>
      </c>
      <c r="J25" s="6">
        <f t="shared" si="0"/>
        <v>4</v>
      </c>
      <c r="K25" s="1" t="s">
        <v>14</v>
      </c>
    </row>
    <row r="26" spans="1:11" ht="15.75" customHeight="1" x14ac:dyDescent="0.2">
      <c r="A26" s="1">
        <v>7</v>
      </c>
      <c r="B26" s="19">
        <v>45332</v>
      </c>
      <c r="C26" s="1">
        <v>25</v>
      </c>
      <c r="D26" s="1" t="s">
        <v>12</v>
      </c>
      <c r="E26" s="1" t="s">
        <v>16</v>
      </c>
      <c r="F26" s="1" t="s">
        <v>14</v>
      </c>
      <c r="G26" s="1" t="s">
        <v>19</v>
      </c>
      <c r="J26" s="6">
        <f t="shared" si="0"/>
        <v>4</v>
      </c>
      <c r="K26" s="1" t="s">
        <v>14</v>
      </c>
    </row>
    <row r="27" spans="1:11" ht="15.75" customHeight="1" x14ac:dyDescent="0.2">
      <c r="A27" s="1">
        <v>7</v>
      </c>
      <c r="B27" s="19">
        <v>45332</v>
      </c>
      <c r="C27" s="1">
        <v>26</v>
      </c>
      <c r="D27" s="1" t="s">
        <v>12</v>
      </c>
      <c r="E27" s="1" t="s">
        <v>16</v>
      </c>
      <c r="F27" s="1" t="s">
        <v>14</v>
      </c>
      <c r="G27" s="1" t="s">
        <v>19</v>
      </c>
      <c r="J27" s="6">
        <f t="shared" si="0"/>
        <v>4</v>
      </c>
      <c r="K27" s="1" t="s">
        <v>14</v>
      </c>
    </row>
    <row r="28" spans="1:11" ht="15.75" customHeight="1" x14ac:dyDescent="0.2">
      <c r="A28" s="1">
        <v>7</v>
      </c>
      <c r="B28" s="19">
        <v>45332</v>
      </c>
      <c r="C28" s="1">
        <v>27</v>
      </c>
      <c r="D28" s="1" t="s">
        <v>12</v>
      </c>
      <c r="E28" s="1" t="s">
        <v>16</v>
      </c>
      <c r="F28" s="1" t="s">
        <v>14</v>
      </c>
      <c r="G28" s="1" t="s">
        <v>19</v>
      </c>
      <c r="J28" s="6">
        <f t="shared" si="0"/>
        <v>4</v>
      </c>
      <c r="K28" s="1" t="s">
        <v>14</v>
      </c>
    </row>
    <row r="29" spans="1:11" ht="15.75" customHeight="1" x14ac:dyDescent="0.2">
      <c r="A29" s="1">
        <v>8</v>
      </c>
      <c r="B29" s="18">
        <v>45339</v>
      </c>
      <c r="C29" s="1">
        <v>28</v>
      </c>
      <c r="D29" s="1" t="s">
        <v>12</v>
      </c>
      <c r="E29" s="1" t="s">
        <v>16</v>
      </c>
      <c r="F29" s="1" t="s">
        <v>14</v>
      </c>
      <c r="G29" s="1" t="s">
        <v>15</v>
      </c>
      <c r="H29" s="1"/>
      <c r="J29" s="6">
        <f t="shared" si="0"/>
        <v>4</v>
      </c>
      <c r="K29" s="1" t="s">
        <v>19</v>
      </c>
    </row>
    <row r="30" spans="1:11" ht="15.75" customHeight="1" x14ac:dyDescent="0.2">
      <c r="A30" s="1">
        <v>8</v>
      </c>
      <c r="B30" s="18">
        <v>45339</v>
      </c>
      <c r="C30" s="1">
        <v>29</v>
      </c>
      <c r="D30" s="1" t="s">
        <v>13</v>
      </c>
      <c r="E30" s="1" t="s">
        <v>19</v>
      </c>
      <c r="F30" s="1" t="s">
        <v>21</v>
      </c>
      <c r="G30" s="1" t="s">
        <v>18</v>
      </c>
      <c r="H30" s="1" t="s">
        <v>22</v>
      </c>
      <c r="J30" s="6">
        <f t="shared" si="0"/>
        <v>5</v>
      </c>
      <c r="K30" s="1" t="s">
        <v>19</v>
      </c>
    </row>
    <row r="31" spans="1:11" ht="15.75" customHeight="1" x14ac:dyDescent="0.2">
      <c r="A31" s="1">
        <v>8</v>
      </c>
      <c r="B31" s="18">
        <v>45339</v>
      </c>
      <c r="C31" s="1">
        <v>30</v>
      </c>
      <c r="D31" s="1" t="s">
        <v>12</v>
      </c>
      <c r="E31" s="1" t="s">
        <v>16</v>
      </c>
      <c r="F31" s="1" t="s">
        <v>14</v>
      </c>
      <c r="G31" s="1" t="s">
        <v>15</v>
      </c>
      <c r="J31" s="6">
        <f t="shared" si="0"/>
        <v>4</v>
      </c>
      <c r="K31" s="1" t="s">
        <v>19</v>
      </c>
    </row>
    <row r="32" spans="1:11" ht="15.75" customHeight="1" x14ac:dyDescent="0.2">
      <c r="A32" s="1">
        <v>8</v>
      </c>
      <c r="B32" s="18">
        <v>45339</v>
      </c>
      <c r="C32" s="1">
        <v>31</v>
      </c>
      <c r="D32" s="1" t="s">
        <v>12</v>
      </c>
      <c r="E32" s="1" t="s">
        <v>13</v>
      </c>
      <c r="F32" s="1" t="s">
        <v>19</v>
      </c>
      <c r="G32" s="1" t="s">
        <v>15</v>
      </c>
      <c r="H32" s="1" t="s">
        <v>14</v>
      </c>
      <c r="I32" s="1" t="s">
        <v>18</v>
      </c>
      <c r="J32" s="6">
        <f t="shared" si="0"/>
        <v>6</v>
      </c>
      <c r="K32" s="1" t="s">
        <v>19</v>
      </c>
    </row>
    <row r="33" spans="1:11" ht="15.75" customHeight="1" x14ac:dyDescent="0.2">
      <c r="A33" s="1">
        <v>8</v>
      </c>
      <c r="B33" s="18">
        <v>45339</v>
      </c>
      <c r="C33" s="1">
        <v>32</v>
      </c>
      <c r="D33" s="1" t="s">
        <v>12</v>
      </c>
      <c r="E33" s="1" t="s">
        <v>14</v>
      </c>
      <c r="F33" s="1" t="s">
        <v>19</v>
      </c>
      <c r="G33" s="1" t="s">
        <v>15</v>
      </c>
      <c r="J33" s="6">
        <f t="shared" si="0"/>
        <v>4</v>
      </c>
      <c r="K33" s="1" t="s">
        <v>19</v>
      </c>
    </row>
    <row r="34" spans="1:11" ht="15.75" customHeight="1" x14ac:dyDescent="0.2">
      <c r="A34" s="1">
        <v>9</v>
      </c>
      <c r="B34" s="18">
        <v>45343</v>
      </c>
      <c r="C34" s="1">
        <v>33</v>
      </c>
      <c r="D34" s="1" t="s">
        <v>12</v>
      </c>
      <c r="E34" s="1" t="s">
        <v>14</v>
      </c>
      <c r="F34" s="1" t="s">
        <v>19</v>
      </c>
      <c r="G34" s="1" t="s">
        <v>13</v>
      </c>
      <c r="H34" s="1" t="s">
        <v>18</v>
      </c>
      <c r="J34" s="6">
        <f t="shared" si="0"/>
        <v>5</v>
      </c>
      <c r="K34" s="1" t="s">
        <v>19</v>
      </c>
    </row>
    <row r="35" spans="1:11" ht="15.75" customHeight="1" x14ac:dyDescent="0.2">
      <c r="A35" s="1">
        <v>9</v>
      </c>
      <c r="B35" s="18">
        <v>45343</v>
      </c>
      <c r="C35" s="1">
        <v>34</v>
      </c>
      <c r="D35" s="1" t="s">
        <v>12</v>
      </c>
      <c r="E35" s="1" t="s">
        <v>14</v>
      </c>
      <c r="F35" s="1" t="s">
        <v>19</v>
      </c>
      <c r="G35" s="1" t="s">
        <v>13</v>
      </c>
      <c r="H35" s="1" t="s">
        <v>18</v>
      </c>
      <c r="J35" s="6">
        <f t="shared" si="0"/>
        <v>5</v>
      </c>
      <c r="K35" s="1" t="s">
        <v>19</v>
      </c>
    </row>
    <row r="36" spans="1:11" ht="15.75" customHeight="1" x14ac:dyDescent="0.2">
      <c r="A36" s="1">
        <v>10</v>
      </c>
      <c r="B36" s="18">
        <v>45347</v>
      </c>
      <c r="C36" s="1">
        <v>35</v>
      </c>
      <c r="D36" s="1" t="s">
        <v>12</v>
      </c>
      <c r="E36" s="1" t="s">
        <v>14</v>
      </c>
      <c r="F36" s="1" t="s">
        <v>19</v>
      </c>
      <c r="G36" s="1" t="s">
        <v>13</v>
      </c>
      <c r="H36" s="1" t="s">
        <v>15</v>
      </c>
      <c r="J36" s="6">
        <f t="shared" si="0"/>
        <v>5</v>
      </c>
      <c r="K36" s="1" t="s">
        <v>19</v>
      </c>
    </row>
    <row r="37" spans="1:11" ht="15.75" customHeight="1" x14ac:dyDescent="0.2">
      <c r="A37" s="1">
        <v>10</v>
      </c>
      <c r="B37" s="18">
        <v>45347</v>
      </c>
      <c r="C37" s="1">
        <v>36</v>
      </c>
      <c r="D37" s="1" t="s">
        <v>12</v>
      </c>
      <c r="E37" s="1" t="s">
        <v>14</v>
      </c>
      <c r="F37" s="1" t="s">
        <v>19</v>
      </c>
      <c r="G37" s="1" t="s">
        <v>13</v>
      </c>
      <c r="J37" s="6">
        <f t="shared" si="0"/>
        <v>4</v>
      </c>
      <c r="K37" s="1" t="s">
        <v>19</v>
      </c>
    </row>
    <row r="38" spans="1:11" ht="15.75" customHeight="1" x14ac:dyDescent="0.2">
      <c r="A38" s="1">
        <v>10</v>
      </c>
      <c r="B38" s="18">
        <v>45347</v>
      </c>
      <c r="C38" s="1">
        <v>37</v>
      </c>
      <c r="D38" s="1" t="s">
        <v>12</v>
      </c>
      <c r="E38" s="1" t="s">
        <v>14</v>
      </c>
      <c r="F38" s="1" t="s">
        <v>19</v>
      </c>
      <c r="G38" s="1" t="s">
        <v>13</v>
      </c>
      <c r="J38" s="6">
        <f t="shared" si="0"/>
        <v>4</v>
      </c>
      <c r="K38" s="1" t="s">
        <v>19</v>
      </c>
    </row>
    <row r="39" spans="1:11" ht="15.75" customHeight="1" x14ac:dyDescent="0.2">
      <c r="A39" s="1">
        <v>10</v>
      </c>
      <c r="B39" s="18">
        <v>45347</v>
      </c>
      <c r="C39" s="1">
        <v>38</v>
      </c>
      <c r="D39" s="1" t="s">
        <v>12</v>
      </c>
      <c r="E39" s="1" t="s">
        <v>14</v>
      </c>
      <c r="F39" s="1" t="s">
        <v>19</v>
      </c>
      <c r="G39" s="1" t="s">
        <v>13</v>
      </c>
      <c r="J39" s="6">
        <f t="shared" si="0"/>
        <v>4</v>
      </c>
      <c r="K39" s="1" t="s">
        <v>19</v>
      </c>
    </row>
    <row r="40" spans="1:11" ht="15.75" customHeight="1" x14ac:dyDescent="0.2">
      <c r="A40" s="1">
        <v>11</v>
      </c>
      <c r="B40" s="18">
        <v>45353</v>
      </c>
      <c r="C40" s="1">
        <v>39</v>
      </c>
      <c r="D40" s="1" t="s">
        <v>12</v>
      </c>
      <c r="E40" s="1" t="s">
        <v>14</v>
      </c>
      <c r="F40" s="1" t="s">
        <v>19</v>
      </c>
      <c r="G40" s="1" t="s">
        <v>15</v>
      </c>
      <c r="J40" s="6">
        <f t="shared" si="0"/>
        <v>4</v>
      </c>
      <c r="K40" s="1" t="s">
        <v>12</v>
      </c>
    </row>
    <row r="41" spans="1:11" ht="15.75" customHeight="1" x14ac:dyDescent="0.2">
      <c r="A41" s="1">
        <v>11</v>
      </c>
      <c r="B41" s="18">
        <v>45353</v>
      </c>
      <c r="C41" s="1">
        <v>40</v>
      </c>
      <c r="D41" s="1" t="s">
        <v>12</v>
      </c>
      <c r="E41" s="1" t="s">
        <v>14</v>
      </c>
      <c r="F41" s="1" t="s">
        <v>19</v>
      </c>
      <c r="G41" s="1" t="s">
        <v>15</v>
      </c>
      <c r="J41" s="6">
        <f t="shared" si="0"/>
        <v>4</v>
      </c>
      <c r="K41" s="1" t="s">
        <v>12</v>
      </c>
    </row>
    <row r="42" spans="1:11" ht="15.75" customHeight="1" x14ac:dyDescent="0.2">
      <c r="A42" s="1">
        <v>11</v>
      </c>
      <c r="B42" s="18">
        <v>45353</v>
      </c>
      <c r="C42" s="1">
        <v>41</v>
      </c>
      <c r="D42" s="1" t="s">
        <v>12</v>
      </c>
      <c r="E42" s="1" t="s">
        <v>14</v>
      </c>
      <c r="F42" s="1" t="s">
        <v>19</v>
      </c>
      <c r="G42" s="1" t="s">
        <v>15</v>
      </c>
      <c r="J42" s="6">
        <f t="shared" si="0"/>
        <v>4</v>
      </c>
      <c r="K42" s="1" t="s">
        <v>12</v>
      </c>
    </row>
    <row r="43" spans="1:11" ht="15.75" customHeight="1" x14ac:dyDescent="0.2">
      <c r="A43" s="1">
        <v>11</v>
      </c>
      <c r="B43" s="18">
        <v>45353</v>
      </c>
      <c r="C43" s="1">
        <v>42</v>
      </c>
      <c r="D43" s="1" t="s">
        <v>12</v>
      </c>
      <c r="E43" s="1" t="s">
        <v>14</v>
      </c>
      <c r="F43" s="1" t="s">
        <v>19</v>
      </c>
      <c r="G43" s="1" t="s">
        <v>15</v>
      </c>
      <c r="J43" s="6">
        <f t="shared" si="0"/>
        <v>4</v>
      </c>
      <c r="K43" s="1" t="s">
        <v>12</v>
      </c>
    </row>
    <row r="44" spans="1:11" ht="15.75" customHeight="1" x14ac:dyDescent="0.2">
      <c r="A44" s="1">
        <v>11</v>
      </c>
      <c r="B44" s="18">
        <v>45353</v>
      </c>
      <c r="C44" s="1">
        <v>43</v>
      </c>
      <c r="D44" s="1" t="s">
        <v>12</v>
      </c>
      <c r="E44" s="1" t="s">
        <v>14</v>
      </c>
      <c r="F44" s="1" t="s">
        <v>19</v>
      </c>
      <c r="G44" s="1" t="s">
        <v>15</v>
      </c>
      <c r="H44" s="1" t="s">
        <v>13</v>
      </c>
      <c r="J44" s="6">
        <f t="shared" si="0"/>
        <v>5</v>
      </c>
      <c r="K44" s="1" t="s">
        <v>12</v>
      </c>
    </row>
    <row r="45" spans="1:11" ht="15.75" customHeight="1" x14ac:dyDescent="0.2">
      <c r="A45" s="1">
        <v>11</v>
      </c>
      <c r="B45" s="18">
        <v>45353</v>
      </c>
      <c r="C45" s="1">
        <v>44</v>
      </c>
      <c r="D45" s="1" t="s">
        <v>12</v>
      </c>
      <c r="E45" s="1" t="s">
        <v>14</v>
      </c>
      <c r="F45" s="1" t="s">
        <v>19</v>
      </c>
      <c r="G45" s="1" t="s">
        <v>15</v>
      </c>
      <c r="H45" s="1" t="s">
        <v>13</v>
      </c>
      <c r="J45" s="6">
        <f t="shared" si="0"/>
        <v>5</v>
      </c>
      <c r="K45" s="1" t="s">
        <v>12</v>
      </c>
    </row>
    <row r="46" spans="1:11" ht="15.75" customHeight="1" x14ac:dyDescent="0.2">
      <c r="A46" s="1">
        <v>11</v>
      </c>
      <c r="B46" s="18">
        <v>45353</v>
      </c>
      <c r="C46" s="1">
        <v>45</v>
      </c>
      <c r="D46" s="1" t="s">
        <v>12</v>
      </c>
      <c r="E46" s="1" t="s">
        <v>14</v>
      </c>
      <c r="F46" s="1" t="s">
        <v>19</v>
      </c>
      <c r="G46" s="1" t="s">
        <v>15</v>
      </c>
      <c r="H46" s="1" t="s">
        <v>13</v>
      </c>
      <c r="J46" s="6">
        <f t="shared" si="0"/>
        <v>5</v>
      </c>
      <c r="K46" s="1" t="s">
        <v>12</v>
      </c>
    </row>
    <row r="47" spans="1:11" ht="15.75" customHeight="1" x14ac:dyDescent="0.2">
      <c r="A47" s="1">
        <v>12</v>
      </c>
      <c r="B47" s="18">
        <v>45357</v>
      </c>
      <c r="C47" s="1">
        <v>46</v>
      </c>
      <c r="D47" s="1" t="s">
        <v>12</v>
      </c>
      <c r="E47" s="1" t="s">
        <v>14</v>
      </c>
      <c r="F47" s="1" t="s">
        <v>19</v>
      </c>
      <c r="G47" s="1" t="s">
        <v>13</v>
      </c>
      <c r="H47" s="1" t="s">
        <v>16</v>
      </c>
      <c r="I47" s="1" t="s">
        <v>22</v>
      </c>
      <c r="J47" s="6">
        <f t="shared" si="0"/>
        <v>6</v>
      </c>
      <c r="K47" s="1" t="s">
        <v>13</v>
      </c>
    </row>
    <row r="48" spans="1:11" ht="15.75" customHeight="1" x14ac:dyDescent="0.2">
      <c r="A48" s="1">
        <v>13</v>
      </c>
      <c r="B48" s="18">
        <v>45360</v>
      </c>
      <c r="C48" s="1">
        <v>47</v>
      </c>
      <c r="D48" s="1" t="s">
        <v>12</v>
      </c>
      <c r="E48" s="1" t="s">
        <v>14</v>
      </c>
      <c r="F48" s="1" t="s">
        <v>19</v>
      </c>
      <c r="G48" s="1" t="s">
        <v>13</v>
      </c>
      <c r="H48" s="1" t="s">
        <v>16</v>
      </c>
      <c r="I48" s="1" t="s">
        <v>21</v>
      </c>
      <c r="J48" s="6">
        <f t="shared" si="0"/>
        <v>6</v>
      </c>
      <c r="K48" s="1" t="s">
        <v>19</v>
      </c>
    </row>
    <row r="49" spans="1:11" ht="15.75" customHeight="1" x14ac:dyDescent="0.2">
      <c r="A49" s="1">
        <v>13</v>
      </c>
      <c r="B49" s="18">
        <v>45360</v>
      </c>
      <c r="C49" s="1">
        <v>48</v>
      </c>
      <c r="D49" s="1" t="s">
        <v>12</v>
      </c>
      <c r="E49" s="1" t="s">
        <v>14</v>
      </c>
      <c r="F49" s="1" t="s">
        <v>19</v>
      </c>
      <c r="G49" s="1" t="s">
        <v>13</v>
      </c>
      <c r="H49" s="1" t="s">
        <v>16</v>
      </c>
      <c r="I49" s="1" t="s">
        <v>21</v>
      </c>
      <c r="J49" s="6">
        <f t="shared" si="0"/>
        <v>6</v>
      </c>
      <c r="K49" s="1" t="s">
        <v>19</v>
      </c>
    </row>
    <row r="50" spans="1:11" ht="15.75" customHeight="1" x14ac:dyDescent="0.2">
      <c r="A50" s="1">
        <v>13</v>
      </c>
      <c r="B50" s="18">
        <v>45360</v>
      </c>
      <c r="C50" s="1">
        <v>49</v>
      </c>
      <c r="D50" s="1" t="s">
        <v>12</v>
      </c>
      <c r="E50" s="1" t="s">
        <v>14</v>
      </c>
      <c r="F50" s="1" t="s">
        <v>19</v>
      </c>
      <c r="G50" s="1" t="s">
        <v>13</v>
      </c>
      <c r="H50" s="1" t="s">
        <v>16</v>
      </c>
      <c r="I50" s="1" t="s">
        <v>21</v>
      </c>
      <c r="J50" s="6">
        <f t="shared" si="0"/>
        <v>6</v>
      </c>
      <c r="K50" s="1" t="s">
        <v>19</v>
      </c>
    </row>
    <row r="51" spans="1:11" ht="15.75" customHeight="1" x14ac:dyDescent="0.2">
      <c r="A51" s="1">
        <v>13</v>
      </c>
      <c r="B51" s="18">
        <v>45360</v>
      </c>
      <c r="C51" s="1">
        <v>50</v>
      </c>
      <c r="D51" s="1" t="s">
        <v>12</v>
      </c>
      <c r="E51" s="1" t="s">
        <v>14</v>
      </c>
      <c r="F51" s="1" t="s">
        <v>19</v>
      </c>
      <c r="G51" s="1" t="s">
        <v>16</v>
      </c>
      <c r="H51" s="1" t="s">
        <v>21</v>
      </c>
      <c r="J51" s="6">
        <f t="shared" si="0"/>
        <v>5</v>
      </c>
      <c r="K51" s="1" t="s">
        <v>19</v>
      </c>
    </row>
    <row r="52" spans="1:11" ht="15.75" customHeight="1" x14ac:dyDescent="0.2">
      <c r="A52" s="1">
        <v>14</v>
      </c>
      <c r="B52" s="18">
        <v>45363</v>
      </c>
      <c r="C52" s="1">
        <v>51</v>
      </c>
      <c r="D52" s="1" t="s">
        <v>12</v>
      </c>
      <c r="E52" s="1" t="s">
        <v>14</v>
      </c>
      <c r="F52" s="1" t="s">
        <v>19</v>
      </c>
      <c r="G52" s="1" t="s">
        <v>18</v>
      </c>
      <c r="H52" s="1" t="s">
        <v>13</v>
      </c>
      <c r="J52" s="6">
        <f t="shared" si="0"/>
        <v>5</v>
      </c>
      <c r="K52" s="1" t="s">
        <v>12</v>
      </c>
    </row>
    <row r="53" spans="1:11" ht="15.75" customHeight="1" x14ac:dyDescent="0.2">
      <c r="A53" s="1">
        <v>14</v>
      </c>
      <c r="B53" s="18">
        <v>45363</v>
      </c>
      <c r="C53" s="1">
        <v>52</v>
      </c>
      <c r="D53" s="1" t="s">
        <v>12</v>
      </c>
      <c r="E53" s="1" t="s">
        <v>14</v>
      </c>
      <c r="F53" s="1" t="s">
        <v>19</v>
      </c>
      <c r="G53" s="1" t="s">
        <v>18</v>
      </c>
      <c r="H53" s="1" t="s">
        <v>13</v>
      </c>
      <c r="J53" s="6">
        <f t="shared" si="0"/>
        <v>5</v>
      </c>
      <c r="K53" s="1" t="s">
        <v>12</v>
      </c>
    </row>
    <row r="54" spans="1:11" ht="15.75" customHeight="1" x14ac:dyDescent="0.2">
      <c r="A54" s="1">
        <v>14</v>
      </c>
      <c r="B54" s="18">
        <v>45363</v>
      </c>
      <c r="C54" s="1">
        <v>53</v>
      </c>
      <c r="D54" s="1" t="s">
        <v>12</v>
      </c>
      <c r="E54" s="1" t="s">
        <v>14</v>
      </c>
      <c r="F54" s="1" t="s">
        <v>19</v>
      </c>
      <c r="G54" s="1" t="s">
        <v>18</v>
      </c>
      <c r="H54" s="1" t="s">
        <v>13</v>
      </c>
      <c r="J54" s="6">
        <f t="shared" si="0"/>
        <v>5</v>
      </c>
      <c r="K54" s="1" t="s">
        <v>12</v>
      </c>
    </row>
    <row r="55" spans="1:11" ht="15.75" customHeight="1" x14ac:dyDescent="0.2">
      <c r="A55" s="1">
        <v>15</v>
      </c>
      <c r="B55" s="18">
        <v>45373</v>
      </c>
      <c r="C55" s="1">
        <v>54</v>
      </c>
      <c r="D55" s="1" t="s">
        <v>12</v>
      </c>
      <c r="E55" s="1" t="s">
        <v>14</v>
      </c>
      <c r="F55" s="1" t="s">
        <v>19</v>
      </c>
      <c r="G55" s="1" t="s">
        <v>16</v>
      </c>
      <c r="J55" s="6">
        <f t="shared" si="0"/>
        <v>4</v>
      </c>
      <c r="K55" s="1" t="s">
        <v>19</v>
      </c>
    </row>
    <row r="56" spans="1:11" ht="15.75" customHeight="1" x14ac:dyDescent="0.2">
      <c r="A56" s="1">
        <v>15</v>
      </c>
      <c r="B56" s="18">
        <v>45373</v>
      </c>
      <c r="C56" s="1">
        <v>55</v>
      </c>
      <c r="D56" s="1" t="s">
        <v>12</v>
      </c>
      <c r="E56" s="1" t="s">
        <v>14</v>
      </c>
      <c r="F56" s="1" t="s">
        <v>19</v>
      </c>
      <c r="G56" s="1" t="s">
        <v>16</v>
      </c>
      <c r="J56" s="6">
        <f t="shared" si="0"/>
        <v>4</v>
      </c>
      <c r="K56" s="1" t="s">
        <v>19</v>
      </c>
    </row>
    <row r="57" spans="1:11" ht="15.75" customHeight="1" x14ac:dyDescent="0.2">
      <c r="A57" s="1">
        <v>15</v>
      </c>
      <c r="B57" s="18">
        <v>45373</v>
      </c>
      <c r="C57" s="1">
        <v>56</v>
      </c>
      <c r="D57" s="1" t="s">
        <v>12</v>
      </c>
      <c r="E57" s="1" t="s">
        <v>14</v>
      </c>
      <c r="F57" s="1" t="s">
        <v>19</v>
      </c>
      <c r="G57" s="1" t="s">
        <v>16</v>
      </c>
      <c r="J57" s="6">
        <f t="shared" si="0"/>
        <v>4</v>
      </c>
      <c r="K57" s="1" t="s">
        <v>19</v>
      </c>
    </row>
    <row r="58" spans="1:11" ht="15.75" customHeight="1" x14ac:dyDescent="0.2">
      <c r="A58" s="1">
        <v>16</v>
      </c>
      <c r="B58" s="18">
        <v>45375</v>
      </c>
      <c r="C58" s="1">
        <v>57</v>
      </c>
      <c r="D58" s="1" t="s">
        <v>12</v>
      </c>
      <c r="E58" s="1" t="s">
        <v>14</v>
      </c>
      <c r="F58" s="1" t="s">
        <v>13</v>
      </c>
      <c r="G58" s="1" t="s">
        <v>15</v>
      </c>
      <c r="J58" s="6">
        <f t="shared" si="0"/>
        <v>4</v>
      </c>
      <c r="K58" s="1" t="s">
        <v>12</v>
      </c>
    </row>
    <row r="59" spans="1:11" ht="15.75" customHeight="1" x14ac:dyDescent="0.2">
      <c r="A59" s="1">
        <v>16</v>
      </c>
      <c r="B59" s="18">
        <v>45375</v>
      </c>
      <c r="C59" s="1">
        <v>58</v>
      </c>
      <c r="D59" s="1" t="s">
        <v>12</v>
      </c>
      <c r="E59" s="1" t="s">
        <v>14</v>
      </c>
      <c r="F59" s="1" t="s">
        <v>13</v>
      </c>
      <c r="G59" s="1" t="s">
        <v>15</v>
      </c>
      <c r="J59" s="6">
        <f t="shared" si="0"/>
        <v>4</v>
      </c>
      <c r="K59" s="1" t="s">
        <v>12</v>
      </c>
    </row>
    <row r="60" spans="1:11" ht="15.75" customHeight="1" x14ac:dyDescent="0.2">
      <c r="A60" s="1">
        <v>16</v>
      </c>
      <c r="B60" s="18">
        <v>45375</v>
      </c>
      <c r="C60" s="1">
        <v>59</v>
      </c>
      <c r="D60" s="1" t="s">
        <v>12</v>
      </c>
      <c r="E60" s="1" t="s">
        <v>14</v>
      </c>
      <c r="F60" s="1" t="s">
        <v>13</v>
      </c>
      <c r="G60" s="1" t="s">
        <v>15</v>
      </c>
      <c r="J60" s="6">
        <f t="shared" si="0"/>
        <v>4</v>
      </c>
      <c r="K60" s="1" t="s">
        <v>12</v>
      </c>
    </row>
    <row r="61" spans="1:11" ht="15.75" customHeight="1" x14ac:dyDescent="0.2">
      <c r="A61" s="1">
        <v>17</v>
      </c>
      <c r="B61" s="18">
        <v>45379</v>
      </c>
      <c r="C61" s="1">
        <v>60</v>
      </c>
      <c r="D61" s="1" t="s">
        <v>12</v>
      </c>
      <c r="E61" s="1" t="s">
        <v>14</v>
      </c>
      <c r="F61" s="1" t="s">
        <v>13</v>
      </c>
      <c r="G61" s="1" t="s">
        <v>16</v>
      </c>
      <c r="H61" s="1" t="s">
        <v>19</v>
      </c>
      <c r="J61" s="6">
        <f t="shared" si="0"/>
        <v>5</v>
      </c>
      <c r="K61" s="1" t="s">
        <v>13</v>
      </c>
    </row>
    <row r="62" spans="1:11" ht="15.75" customHeight="1" x14ac:dyDescent="0.2">
      <c r="A62" s="1">
        <v>17</v>
      </c>
      <c r="B62" s="18">
        <v>45379</v>
      </c>
      <c r="C62" s="1">
        <v>61</v>
      </c>
      <c r="D62" s="1" t="s">
        <v>12</v>
      </c>
      <c r="E62" s="1" t="s">
        <v>14</v>
      </c>
      <c r="F62" s="1" t="s">
        <v>13</v>
      </c>
      <c r="G62" s="1" t="s">
        <v>16</v>
      </c>
      <c r="H62" s="1" t="s">
        <v>19</v>
      </c>
      <c r="J62" s="6">
        <f t="shared" si="0"/>
        <v>5</v>
      </c>
      <c r="K62" s="1" t="s">
        <v>13</v>
      </c>
    </row>
    <row r="63" spans="1:11" ht="15.75" customHeight="1" x14ac:dyDescent="0.2">
      <c r="A63" s="1">
        <v>17</v>
      </c>
      <c r="B63" s="18">
        <v>45379</v>
      </c>
      <c r="C63" s="1">
        <v>62</v>
      </c>
      <c r="D63" s="1" t="s">
        <v>12</v>
      </c>
      <c r="E63" s="1" t="s">
        <v>14</v>
      </c>
      <c r="F63" s="1" t="s">
        <v>13</v>
      </c>
      <c r="G63" s="1" t="s">
        <v>16</v>
      </c>
      <c r="H63" s="1" t="s">
        <v>19</v>
      </c>
      <c r="J63" s="6">
        <f t="shared" si="0"/>
        <v>5</v>
      </c>
      <c r="K63" s="1" t="s">
        <v>13</v>
      </c>
    </row>
    <row r="64" spans="1:11" ht="15.75" customHeight="1" x14ac:dyDescent="0.2">
      <c r="A64" s="1">
        <v>17</v>
      </c>
      <c r="B64" s="18">
        <v>45379</v>
      </c>
      <c r="C64" s="1">
        <v>63</v>
      </c>
      <c r="D64" s="1" t="s">
        <v>12</v>
      </c>
      <c r="E64" s="1" t="s">
        <v>14</v>
      </c>
      <c r="F64" s="1" t="s">
        <v>13</v>
      </c>
      <c r="G64" s="1" t="s">
        <v>16</v>
      </c>
      <c r="H64" s="1" t="s">
        <v>19</v>
      </c>
      <c r="J64" s="6">
        <f t="shared" si="0"/>
        <v>5</v>
      </c>
      <c r="K64" s="1" t="s">
        <v>13</v>
      </c>
    </row>
    <row r="65" spans="1:12" ht="15.75" customHeight="1" x14ac:dyDescent="0.2">
      <c r="A65" s="1">
        <v>18</v>
      </c>
      <c r="B65" s="18">
        <v>45382</v>
      </c>
      <c r="C65" s="1">
        <v>64</v>
      </c>
      <c r="D65" s="1" t="s">
        <v>12</v>
      </c>
      <c r="E65" s="1" t="s">
        <v>14</v>
      </c>
      <c r="F65" s="1" t="s">
        <v>16</v>
      </c>
      <c r="G65" s="1" t="s">
        <v>21</v>
      </c>
      <c r="J65" s="6">
        <f t="shared" si="0"/>
        <v>4</v>
      </c>
      <c r="K65" s="1" t="s">
        <v>14</v>
      </c>
    </row>
    <row r="66" spans="1:12" ht="15.75" customHeight="1" x14ac:dyDescent="0.2">
      <c r="A66" s="1">
        <v>18</v>
      </c>
      <c r="B66" s="18">
        <v>45382</v>
      </c>
      <c r="C66" s="1">
        <v>65</v>
      </c>
      <c r="D66" s="1" t="s">
        <v>12</v>
      </c>
      <c r="E66" s="1" t="s">
        <v>14</v>
      </c>
      <c r="F66" s="1" t="s">
        <v>16</v>
      </c>
      <c r="G66" s="1" t="s">
        <v>13</v>
      </c>
      <c r="H66" s="1" t="s">
        <v>21</v>
      </c>
      <c r="J66" s="6">
        <f t="shared" si="0"/>
        <v>5</v>
      </c>
      <c r="K66" s="1" t="s">
        <v>14</v>
      </c>
    </row>
    <row r="67" spans="1:12" ht="15.75" customHeight="1" x14ac:dyDescent="0.2">
      <c r="A67" s="1">
        <v>18</v>
      </c>
      <c r="B67" s="18">
        <v>45382</v>
      </c>
      <c r="C67" s="1">
        <v>66</v>
      </c>
      <c r="D67" s="1" t="s">
        <v>12</v>
      </c>
      <c r="E67" s="1" t="s">
        <v>14</v>
      </c>
      <c r="F67" s="1" t="s">
        <v>16</v>
      </c>
      <c r="G67" s="1" t="s">
        <v>13</v>
      </c>
      <c r="H67" s="1" t="s">
        <v>21</v>
      </c>
      <c r="J67" s="6">
        <f t="shared" si="0"/>
        <v>5</v>
      </c>
      <c r="K67" s="1" t="s">
        <v>14</v>
      </c>
    </row>
    <row r="68" spans="1:12" ht="15.75" customHeight="1" x14ac:dyDescent="0.2">
      <c r="A68" s="1">
        <v>18</v>
      </c>
      <c r="B68" s="18">
        <v>45382</v>
      </c>
      <c r="C68" s="1">
        <v>67</v>
      </c>
      <c r="D68" s="1" t="s">
        <v>12</v>
      </c>
      <c r="E68" s="1" t="s">
        <v>14</v>
      </c>
      <c r="F68" s="1" t="s">
        <v>16</v>
      </c>
      <c r="G68" s="1" t="s">
        <v>13</v>
      </c>
      <c r="H68" s="1" t="s">
        <v>21</v>
      </c>
      <c r="J68" s="6">
        <f t="shared" si="0"/>
        <v>5</v>
      </c>
      <c r="K68" s="1" t="s">
        <v>14</v>
      </c>
    </row>
    <row r="69" spans="1:12" ht="15.75" customHeight="1" x14ac:dyDescent="0.2">
      <c r="A69" s="1">
        <v>19</v>
      </c>
      <c r="B69" s="18">
        <v>45390</v>
      </c>
      <c r="C69" s="1">
        <v>68</v>
      </c>
      <c r="D69" s="1" t="s">
        <v>12</v>
      </c>
      <c r="E69" s="1" t="s">
        <v>14</v>
      </c>
      <c r="F69" s="1" t="s">
        <v>19</v>
      </c>
      <c r="G69" s="1" t="s">
        <v>13</v>
      </c>
      <c r="J69" s="6">
        <f t="shared" si="0"/>
        <v>4</v>
      </c>
      <c r="K69" s="1" t="s">
        <v>19</v>
      </c>
    </row>
    <row r="70" spans="1:12" ht="15.75" customHeight="1" x14ac:dyDescent="0.2">
      <c r="A70" s="1">
        <v>19</v>
      </c>
      <c r="B70" s="18">
        <v>45390</v>
      </c>
      <c r="C70" s="1">
        <v>69</v>
      </c>
      <c r="D70" s="1" t="s">
        <v>12</v>
      </c>
      <c r="E70" s="1" t="s">
        <v>14</v>
      </c>
      <c r="F70" s="1" t="s">
        <v>19</v>
      </c>
      <c r="G70" s="1" t="s">
        <v>13</v>
      </c>
      <c r="J70" s="6">
        <f t="shared" si="0"/>
        <v>4</v>
      </c>
      <c r="K70" s="1" t="s">
        <v>19</v>
      </c>
    </row>
    <row r="71" spans="1:12" ht="15.75" customHeight="1" x14ac:dyDescent="0.2">
      <c r="A71" s="1">
        <v>19</v>
      </c>
      <c r="B71" s="18">
        <v>45390</v>
      </c>
      <c r="C71" s="1">
        <v>70</v>
      </c>
      <c r="D71" s="1" t="s">
        <v>12</v>
      </c>
      <c r="E71" s="1" t="s">
        <v>14</v>
      </c>
      <c r="F71" s="1" t="s">
        <v>19</v>
      </c>
      <c r="G71" s="1" t="s">
        <v>13</v>
      </c>
      <c r="J71" s="6">
        <f t="shared" si="0"/>
        <v>4</v>
      </c>
      <c r="K71" s="1" t="s">
        <v>19</v>
      </c>
    </row>
    <row r="72" spans="1:12" ht="15.75" customHeight="1" x14ac:dyDescent="0.2">
      <c r="A72" s="1">
        <v>19</v>
      </c>
      <c r="B72" s="18">
        <v>45390</v>
      </c>
      <c r="C72" s="1">
        <v>71</v>
      </c>
      <c r="D72" s="1" t="s">
        <v>12</v>
      </c>
      <c r="E72" s="1" t="s">
        <v>14</v>
      </c>
      <c r="F72" s="1" t="s">
        <v>19</v>
      </c>
      <c r="G72" s="1" t="s">
        <v>13</v>
      </c>
      <c r="J72" s="6">
        <f t="shared" si="0"/>
        <v>4</v>
      </c>
      <c r="K72" s="1" t="s">
        <v>19</v>
      </c>
    </row>
    <row r="73" spans="1:12" ht="15.75" customHeight="1" x14ac:dyDescent="0.2">
      <c r="A73" s="1">
        <v>20</v>
      </c>
      <c r="B73" s="18">
        <v>45394</v>
      </c>
      <c r="C73" s="1">
        <v>72</v>
      </c>
      <c r="D73" s="1" t="s">
        <v>12</v>
      </c>
      <c r="E73" s="1" t="s">
        <v>14</v>
      </c>
      <c r="F73" s="1" t="s">
        <v>19</v>
      </c>
      <c r="G73" s="1" t="s">
        <v>13</v>
      </c>
      <c r="H73" s="1" t="s">
        <v>16</v>
      </c>
      <c r="J73" s="6">
        <f t="shared" si="0"/>
        <v>5</v>
      </c>
      <c r="K73" s="1" t="s">
        <v>14</v>
      </c>
      <c r="L73" s="1" t="s">
        <v>23</v>
      </c>
    </row>
    <row r="74" spans="1:12" ht="15.75" customHeight="1" x14ac:dyDescent="0.2">
      <c r="A74" s="1">
        <v>20</v>
      </c>
      <c r="B74" s="18">
        <v>45394</v>
      </c>
      <c r="C74" s="1">
        <v>73</v>
      </c>
      <c r="D74" s="1" t="s">
        <v>12</v>
      </c>
      <c r="E74" s="1" t="s">
        <v>14</v>
      </c>
      <c r="F74" s="1" t="s">
        <v>19</v>
      </c>
      <c r="G74" s="1" t="s">
        <v>13</v>
      </c>
      <c r="H74" s="1" t="s">
        <v>16</v>
      </c>
      <c r="J74" s="6">
        <f t="shared" si="0"/>
        <v>5</v>
      </c>
      <c r="K74" s="1" t="s">
        <v>14</v>
      </c>
      <c r="L74" s="1" t="s">
        <v>23</v>
      </c>
    </row>
    <row r="75" spans="1:12" ht="15.75" customHeight="1" x14ac:dyDescent="0.2">
      <c r="A75" s="1">
        <v>20</v>
      </c>
      <c r="B75" s="18">
        <v>45394</v>
      </c>
      <c r="C75" s="1">
        <v>74</v>
      </c>
      <c r="D75" s="1" t="s">
        <v>12</v>
      </c>
      <c r="E75" s="1" t="s">
        <v>14</v>
      </c>
      <c r="F75" s="1" t="s">
        <v>19</v>
      </c>
      <c r="G75" s="1" t="s">
        <v>13</v>
      </c>
      <c r="H75" s="1" t="s">
        <v>16</v>
      </c>
      <c r="J75" s="6">
        <f t="shared" si="0"/>
        <v>5</v>
      </c>
      <c r="K75" s="1" t="s">
        <v>14</v>
      </c>
      <c r="L75" s="1" t="s">
        <v>23</v>
      </c>
    </row>
    <row r="76" spans="1:12" ht="15.75" customHeight="1" x14ac:dyDescent="0.2">
      <c r="A76" s="1">
        <v>21</v>
      </c>
      <c r="B76" s="18">
        <v>45397</v>
      </c>
      <c r="C76" s="1">
        <v>75</v>
      </c>
      <c r="D76" s="1" t="s">
        <v>12</v>
      </c>
      <c r="E76" s="1" t="s">
        <v>14</v>
      </c>
      <c r="F76" s="1" t="s">
        <v>13</v>
      </c>
      <c r="G76" s="1" t="s">
        <v>18</v>
      </c>
      <c r="J76" s="6">
        <f t="shared" si="0"/>
        <v>4</v>
      </c>
      <c r="K76" s="1" t="s">
        <v>13</v>
      </c>
    </row>
    <row r="77" spans="1:12" ht="15.75" customHeight="1" x14ac:dyDescent="0.2">
      <c r="A77" s="1">
        <v>21</v>
      </c>
      <c r="B77" s="18">
        <v>45397</v>
      </c>
      <c r="C77" s="1">
        <v>76</v>
      </c>
      <c r="D77" s="1" t="s">
        <v>12</v>
      </c>
      <c r="E77" s="1" t="s">
        <v>14</v>
      </c>
      <c r="F77" s="1" t="s">
        <v>13</v>
      </c>
      <c r="G77" s="1" t="s">
        <v>18</v>
      </c>
      <c r="J77" s="6">
        <f t="shared" si="0"/>
        <v>4</v>
      </c>
      <c r="K77" s="1" t="s">
        <v>13</v>
      </c>
    </row>
    <row r="78" spans="1:12" ht="15.75" customHeight="1" x14ac:dyDescent="0.2">
      <c r="A78" s="1">
        <v>21</v>
      </c>
      <c r="B78" s="18">
        <v>45397</v>
      </c>
      <c r="C78" s="1">
        <v>77</v>
      </c>
      <c r="D78" s="1" t="s">
        <v>12</v>
      </c>
      <c r="E78" s="1" t="s">
        <v>14</v>
      </c>
      <c r="F78" s="1" t="s">
        <v>13</v>
      </c>
      <c r="G78" s="1" t="s">
        <v>18</v>
      </c>
      <c r="J78" s="6">
        <f t="shared" si="0"/>
        <v>4</v>
      </c>
      <c r="K78" s="1" t="s">
        <v>13</v>
      </c>
    </row>
    <row r="79" spans="1:12" ht="15.75" customHeight="1" x14ac:dyDescent="0.2">
      <c r="A79" s="1">
        <v>22</v>
      </c>
      <c r="B79" s="18">
        <v>45399</v>
      </c>
      <c r="C79" s="1">
        <v>78</v>
      </c>
      <c r="D79" s="1" t="s">
        <v>12</v>
      </c>
      <c r="E79" s="1" t="s">
        <v>14</v>
      </c>
      <c r="F79" s="1" t="s">
        <v>13</v>
      </c>
      <c r="G79" s="1" t="s">
        <v>19</v>
      </c>
      <c r="H79" s="1" t="s">
        <v>16</v>
      </c>
      <c r="I79" s="1" t="s">
        <v>21</v>
      </c>
      <c r="J79" s="6">
        <f t="shared" si="0"/>
        <v>6</v>
      </c>
      <c r="K79" s="1" t="s">
        <v>19</v>
      </c>
    </row>
    <row r="80" spans="1:12" ht="15.75" customHeight="1" x14ac:dyDescent="0.2">
      <c r="A80" s="1">
        <v>22</v>
      </c>
      <c r="B80" s="18">
        <v>45399</v>
      </c>
      <c r="C80" s="1">
        <v>79</v>
      </c>
      <c r="D80" s="1" t="s">
        <v>12</v>
      </c>
      <c r="E80" s="1" t="s">
        <v>14</v>
      </c>
      <c r="F80" s="1" t="s">
        <v>13</v>
      </c>
      <c r="G80" s="1" t="s">
        <v>19</v>
      </c>
      <c r="H80" s="1" t="s">
        <v>16</v>
      </c>
      <c r="I80" s="1" t="s">
        <v>21</v>
      </c>
      <c r="J80" s="6">
        <f t="shared" si="0"/>
        <v>6</v>
      </c>
      <c r="K80" s="1" t="s">
        <v>19</v>
      </c>
    </row>
    <row r="81" spans="1:11" ht="15.75" customHeight="1" x14ac:dyDescent="0.2">
      <c r="A81" s="1">
        <v>23</v>
      </c>
      <c r="B81" s="18">
        <v>45408</v>
      </c>
      <c r="C81" s="1">
        <v>80</v>
      </c>
      <c r="D81" s="1" t="s">
        <v>12</v>
      </c>
      <c r="E81" s="1" t="s">
        <v>14</v>
      </c>
      <c r="F81" s="1" t="s">
        <v>13</v>
      </c>
      <c r="G81" s="1" t="s">
        <v>16</v>
      </c>
      <c r="H81" s="1" t="s">
        <v>18</v>
      </c>
      <c r="J81" s="6">
        <f t="shared" si="0"/>
        <v>5</v>
      </c>
      <c r="K81" s="1" t="s">
        <v>13</v>
      </c>
    </row>
    <row r="82" spans="1:11" ht="15.75" customHeight="1" x14ac:dyDescent="0.2">
      <c r="A82" s="1">
        <v>23</v>
      </c>
      <c r="B82" s="18">
        <v>45408</v>
      </c>
      <c r="C82" s="1">
        <v>81</v>
      </c>
      <c r="D82" s="1" t="s">
        <v>12</v>
      </c>
      <c r="E82" s="1" t="s">
        <v>14</v>
      </c>
      <c r="F82" s="1" t="s">
        <v>13</v>
      </c>
      <c r="G82" s="1" t="s">
        <v>16</v>
      </c>
      <c r="H82" s="1" t="s">
        <v>18</v>
      </c>
      <c r="J82" s="6">
        <f t="shared" si="0"/>
        <v>5</v>
      </c>
      <c r="K82" s="1" t="s">
        <v>13</v>
      </c>
    </row>
    <row r="83" spans="1:11" ht="15.75" customHeight="1" x14ac:dyDescent="0.2">
      <c r="A83" s="1">
        <v>23</v>
      </c>
      <c r="B83" s="18">
        <v>45408</v>
      </c>
      <c r="C83" s="1">
        <v>82</v>
      </c>
      <c r="D83" s="1" t="s">
        <v>12</v>
      </c>
      <c r="E83" s="1" t="s">
        <v>14</v>
      </c>
      <c r="F83" s="1" t="s">
        <v>13</v>
      </c>
      <c r="G83" s="1" t="s">
        <v>16</v>
      </c>
      <c r="H83" s="1" t="s">
        <v>18</v>
      </c>
      <c r="J83" s="6">
        <f t="shared" si="0"/>
        <v>5</v>
      </c>
      <c r="K83" s="1" t="s">
        <v>13</v>
      </c>
    </row>
    <row r="84" spans="1:11" ht="15.75" customHeight="1" x14ac:dyDescent="0.2">
      <c r="A84" s="1">
        <v>23</v>
      </c>
      <c r="B84" s="18">
        <v>45408</v>
      </c>
      <c r="C84" s="1">
        <v>83</v>
      </c>
      <c r="D84" s="1" t="s">
        <v>12</v>
      </c>
      <c r="E84" s="1" t="s">
        <v>14</v>
      </c>
      <c r="F84" s="1" t="s">
        <v>13</v>
      </c>
      <c r="G84" s="1" t="s">
        <v>16</v>
      </c>
      <c r="J84" s="6">
        <f t="shared" si="0"/>
        <v>4</v>
      </c>
      <c r="K84" s="1" t="s">
        <v>13</v>
      </c>
    </row>
    <row r="85" spans="1:11" ht="15.75" customHeight="1" x14ac:dyDescent="0.2">
      <c r="A85" s="1">
        <v>23</v>
      </c>
      <c r="B85" s="18">
        <v>45408</v>
      </c>
      <c r="C85" s="1">
        <v>84</v>
      </c>
      <c r="D85" s="1" t="s">
        <v>12</v>
      </c>
      <c r="E85" s="1" t="s">
        <v>14</v>
      </c>
      <c r="F85" s="1" t="s">
        <v>13</v>
      </c>
      <c r="G85" s="1" t="s">
        <v>16</v>
      </c>
      <c r="J85" s="6">
        <f t="shared" si="0"/>
        <v>4</v>
      </c>
      <c r="K85" s="1" t="s">
        <v>13</v>
      </c>
    </row>
    <row r="86" spans="1:11" ht="15.75" customHeight="1" x14ac:dyDescent="0.2">
      <c r="A86" s="1">
        <v>24</v>
      </c>
      <c r="B86" s="18">
        <v>45412</v>
      </c>
      <c r="C86" s="1">
        <v>85</v>
      </c>
      <c r="D86" s="1" t="s">
        <v>12</v>
      </c>
      <c r="E86" s="1" t="s">
        <v>13</v>
      </c>
      <c r="F86" s="1" t="s">
        <v>16</v>
      </c>
      <c r="G86" s="1" t="s">
        <v>19</v>
      </c>
      <c r="H86" s="1" t="s">
        <v>18</v>
      </c>
      <c r="J86" s="6">
        <f t="shared" si="0"/>
        <v>5</v>
      </c>
      <c r="K86" s="1" t="s">
        <v>19</v>
      </c>
    </row>
    <row r="87" spans="1:11" ht="15.75" customHeight="1" x14ac:dyDescent="0.2">
      <c r="A87" s="1">
        <v>24</v>
      </c>
      <c r="B87" s="18">
        <v>45412</v>
      </c>
      <c r="C87" s="1">
        <v>86</v>
      </c>
      <c r="D87" s="1" t="s">
        <v>12</v>
      </c>
      <c r="E87" s="1" t="s">
        <v>13</v>
      </c>
      <c r="F87" s="1" t="s">
        <v>16</v>
      </c>
      <c r="G87" s="1" t="s">
        <v>19</v>
      </c>
      <c r="H87" s="1" t="s">
        <v>18</v>
      </c>
      <c r="J87" s="6">
        <f t="shared" si="0"/>
        <v>5</v>
      </c>
      <c r="K87" s="1" t="s">
        <v>19</v>
      </c>
    </row>
    <row r="88" spans="1:11" ht="15.75" customHeight="1" x14ac:dyDescent="0.2">
      <c r="A88" s="1">
        <v>24</v>
      </c>
      <c r="B88" s="18">
        <v>45412</v>
      </c>
      <c r="C88" s="1">
        <v>87</v>
      </c>
      <c r="D88" s="1" t="s">
        <v>12</v>
      </c>
      <c r="E88" s="1" t="s">
        <v>13</v>
      </c>
      <c r="F88" s="1" t="s">
        <v>16</v>
      </c>
      <c r="G88" s="1" t="s">
        <v>19</v>
      </c>
      <c r="H88" s="1" t="s">
        <v>18</v>
      </c>
      <c r="J88" s="6">
        <f t="shared" si="0"/>
        <v>5</v>
      </c>
      <c r="K88" s="1" t="s">
        <v>19</v>
      </c>
    </row>
    <row r="89" spans="1:11" ht="15.75" customHeight="1" x14ac:dyDescent="0.2">
      <c r="A89" s="1">
        <v>25</v>
      </c>
      <c r="B89" s="18">
        <v>45415</v>
      </c>
      <c r="C89" s="1">
        <v>88</v>
      </c>
      <c r="D89" s="1" t="s">
        <v>13</v>
      </c>
      <c r="E89" s="1" t="s">
        <v>14</v>
      </c>
      <c r="F89" s="1" t="s">
        <v>16</v>
      </c>
      <c r="G89" s="1" t="s">
        <v>19</v>
      </c>
      <c r="J89" s="6">
        <f t="shared" si="0"/>
        <v>4</v>
      </c>
      <c r="K89" s="1" t="s">
        <v>14</v>
      </c>
    </row>
    <row r="90" spans="1:11" ht="15.75" customHeight="1" x14ac:dyDescent="0.2">
      <c r="A90" s="1">
        <v>25</v>
      </c>
      <c r="B90" s="18">
        <v>45415</v>
      </c>
      <c r="C90" s="1">
        <v>89</v>
      </c>
      <c r="D90" s="1" t="s">
        <v>13</v>
      </c>
      <c r="E90" s="1" t="s">
        <v>14</v>
      </c>
      <c r="F90" s="1" t="s">
        <v>16</v>
      </c>
      <c r="G90" s="1" t="s">
        <v>19</v>
      </c>
      <c r="J90" s="6">
        <f t="shared" si="0"/>
        <v>4</v>
      </c>
      <c r="K90" s="1" t="s">
        <v>14</v>
      </c>
    </row>
    <row r="91" spans="1:11" ht="15.75" customHeight="1" x14ac:dyDescent="0.2">
      <c r="A91" s="1">
        <v>25</v>
      </c>
      <c r="B91" s="18">
        <v>45415</v>
      </c>
      <c r="C91" s="1">
        <v>90</v>
      </c>
      <c r="D91" s="1" t="s">
        <v>13</v>
      </c>
      <c r="E91" s="1" t="s">
        <v>14</v>
      </c>
      <c r="F91" s="1" t="s">
        <v>16</v>
      </c>
      <c r="G91" s="1" t="s">
        <v>19</v>
      </c>
      <c r="J91" s="6">
        <f t="shared" si="0"/>
        <v>4</v>
      </c>
      <c r="K91" s="1" t="s">
        <v>14</v>
      </c>
    </row>
    <row r="92" spans="1:11" ht="15.75" customHeight="1" x14ac:dyDescent="0.2">
      <c r="A92" s="1">
        <v>26</v>
      </c>
      <c r="B92" s="18">
        <v>45419</v>
      </c>
      <c r="C92" s="1">
        <v>91</v>
      </c>
      <c r="D92" s="1" t="s">
        <v>13</v>
      </c>
      <c r="E92" s="1" t="s">
        <v>14</v>
      </c>
      <c r="F92" s="1" t="s">
        <v>19</v>
      </c>
      <c r="G92" s="1" t="s">
        <v>18</v>
      </c>
      <c r="J92" s="6">
        <f t="shared" si="0"/>
        <v>4</v>
      </c>
      <c r="K92" s="1" t="s">
        <v>19</v>
      </c>
    </row>
    <row r="93" spans="1:11" ht="15.75" customHeight="1" x14ac:dyDescent="0.2">
      <c r="A93" s="1">
        <v>26</v>
      </c>
      <c r="B93" s="18">
        <v>45419</v>
      </c>
      <c r="C93" s="1">
        <v>92</v>
      </c>
      <c r="D93" s="1" t="s">
        <v>13</v>
      </c>
      <c r="E93" s="1" t="s">
        <v>14</v>
      </c>
      <c r="F93" s="1" t="s">
        <v>19</v>
      </c>
      <c r="G93" s="1" t="s">
        <v>18</v>
      </c>
      <c r="J93" s="6">
        <f t="shared" si="0"/>
        <v>4</v>
      </c>
      <c r="K93" s="1" t="s">
        <v>19</v>
      </c>
    </row>
    <row r="94" spans="1:11" ht="15.75" customHeight="1" x14ac:dyDescent="0.2">
      <c r="A94" s="1">
        <v>26</v>
      </c>
      <c r="B94" s="18">
        <v>45419</v>
      </c>
      <c r="C94" s="1">
        <v>93</v>
      </c>
      <c r="D94" s="1" t="s">
        <v>13</v>
      </c>
      <c r="E94" s="1" t="s">
        <v>14</v>
      </c>
      <c r="F94" s="1" t="s">
        <v>19</v>
      </c>
      <c r="G94" s="1" t="s">
        <v>18</v>
      </c>
      <c r="J94" s="6">
        <f t="shared" si="0"/>
        <v>4</v>
      </c>
      <c r="K94" s="1" t="s">
        <v>19</v>
      </c>
    </row>
    <row r="95" spans="1:11" ht="15.75" customHeight="1" x14ac:dyDescent="0.2">
      <c r="A95" s="1">
        <v>27</v>
      </c>
      <c r="B95" s="18">
        <v>45427</v>
      </c>
      <c r="C95" s="1">
        <v>94</v>
      </c>
      <c r="D95" s="1" t="s">
        <v>13</v>
      </c>
      <c r="E95" s="1" t="s">
        <v>14</v>
      </c>
      <c r="F95" s="1" t="s">
        <v>19</v>
      </c>
      <c r="G95" s="1" t="s">
        <v>16</v>
      </c>
      <c r="H95" s="1" t="s">
        <v>18</v>
      </c>
      <c r="J95" s="6">
        <f t="shared" si="0"/>
        <v>5</v>
      </c>
      <c r="K95" s="1" t="s">
        <v>13</v>
      </c>
    </row>
    <row r="96" spans="1:11" ht="15.75" customHeight="1" x14ac:dyDescent="0.2">
      <c r="A96" s="1">
        <v>27</v>
      </c>
      <c r="B96" s="18">
        <v>45427</v>
      </c>
      <c r="C96" s="1">
        <v>95</v>
      </c>
      <c r="D96" s="1" t="s">
        <v>13</v>
      </c>
      <c r="E96" s="1" t="s">
        <v>14</v>
      </c>
      <c r="F96" s="1" t="s">
        <v>19</v>
      </c>
      <c r="G96" s="1" t="s">
        <v>16</v>
      </c>
      <c r="H96" s="1" t="s">
        <v>18</v>
      </c>
      <c r="J96" s="6">
        <f t="shared" si="0"/>
        <v>5</v>
      </c>
      <c r="K96" s="1" t="s">
        <v>13</v>
      </c>
    </row>
    <row r="97" spans="1:11" ht="15.75" customHeight="1" x14ac:dyDescent="0.2">
      <c r="A97" s="1">
        <v>27</v>
      </c>
      <c r="B97" s="18">
        <v>45427</v>
      </c>
      <c r="C97" s="1">
        <v>96</v>
      </c>
      <c r="D97" s="1" t="s">
        <v>13</v>
      </c>
      <c r="E97" s="1" t="s">
        <v>14</v>
      </c>
      <c r="F97" s="1" t="s">
        <v>19</v>
      </c>
      <c r="G97" s="1" t="s">
        <v>16</v>
      </c>
      <c r="H97" s="1" t="s">
        <v>18</v>
      </c>
      <c r="J97" s="6">
        <f t="shared" si="0"/>
        <v>5</v>
      </c>
      <c r="K97" s="1" t="s">
        <v>13</v>
      </c>
    </row>
    <row r="98" spans="1:11" ht="15.75" customHeight="1" x14ac:dyDescent="0.2">
      <c r="A98" s="1">
        <v>28</v>
      </c>
      <c r="B98" s="18">
        <v>45435</v>
      </c>
      <c r="C98" s="1">
        <v>97</v>
      </c>
      <c r="D98" s="1" t="s">
        <v>12</v>
      </c>
      <c r="E98" s="1" t="s">
        <v>13</v>
      </c>
      <c r="F98" s="1" t="s">
        <v>19</v>
      </c>
      <c r="G98" s="1" t="s">
        <v>18</v>
      </c>
      <c r="J98" s="6">
        <f t="shared" si="0"/>
        <v>4</v>
      </c>
      <c r="K98" s="1" t="s">
        <v>19</v>
      </c>
    </row>
    <row r="99" spans="1:11" ht="15.75" customHeight="1" x14ac:dyDescent="0.2">
      <c r="A99" s="1">
        <v>28</v>
      </c>
      <c r="B99" s="18">
        <v>45435</v>
      </c>
      <c r="C99" s="1">
        <v>98</v>
      </c>
      <c r="D99" s="1" t="s">
        <v>12</v>
      </c>
      <c r="E99" s="1" t="s">
        <v>13</v>
      </c>
      <c r="F99" s="1" t="s">
        <v>19</v>
      </c>
      <c r="G99" s="1" t="s">
        <v>18</v>
      </c>
      <c r="J99" s="6">
        <f t="shared" si="0"/>
        <v>4</v>
      </c>
      <c r="K99" s="1" t="s">
        <v>19</v>
      </c>
    </row>
    <row r="100" spans="1:11" ht="15.75" customHeight="1" x14ac:dyDescent="0.2">
      <c r="A100" s="1">
        <v>28</v>
      </c>
      <c r="B100" s="18">
        <v>45435</v>
      </c>
      <c r="C100" s="1">
        <v>99</v>
      </c>
      <c r="D100" s="1" t="s">
        <v>12</v>
      </c>
      <c r="E100" s="1" t="s">
        <v>13</v>
      </c>
      <c r="F100" s="1" t="s">
        <v>19</v>
      </c>
      <c r="G100" s="1" t="s">
        <v>18</v>
      </c>
      <c r="J100" s="6">
        <f t="shared" si="0"/>
        <v>4</v>
      </c>
      <c r="K100" s="1" t="s">
        <v>19</v>
      </c>
    </row>
    <row r="101" spans="1:11" ht="15.75" customHeight="1" x14ac:dyDescent="0.2">
      <c r="A101" s="1">
        <v>29</v>
      </c>
      <c r="B101" s="18">
        <v>45438</v>
      </c>
      <c r="C101" s="1">
        <v>100</v>
      </c>
      <c r="D101" s="1" t="s">
        <v>12</v>
      </c>
      <c r="E101" s="1" t="s">
        <v>13</v>
      </c>
      <c r="F101" s="1" t="s">
        <v>16</v>
      </c>
      <c r="G101" s="1" t="s">
        <v>14</v>
      </c>
      <c r="J101" s="6">
        <f t="shared" si="0"/>
        <v>4</v>
      </c>
      <c r="K101" s="1" t="s">
        <v>14</v>
      </c>
    </row>
    <row r="102" spans="1:11" ht="15.75" customHeight="1" x14ac:dyDescent="0.2">
      <c r="A102" s="1">
        <v>29</v>
      </c>
      <c r="B102" s="18">
        <v>45438</v>
      </c>
      <c r="C102" s="1">
        <v>101</v>
      </c>
      <c r="D102" s="1" t="s">
        <v>12</v>
      </c>
      <c r="E102" s="1" t="s">
        <v>13</v>
      </c>
      <c r="F102" s="1" t="s">
        <v>16</v>
      </c>
      <c r="G102" s="1" t="s">
        <v>14</v>
      </c>
      <c r="J102" s="6">
        <f t="shared" si="0"/>
        <v>4</v>
      </c>
      <c r="K102" s="1" t="s">
        <v>14</v>
      </c>
    </row>
    <row r="103" spans="1:11" ht="15.75" customHeight="1" x14ac:dyDescent="0.2">
      <c r="A103" s="1">
        <v>29</v>
      </c>
      <c r="B103" s="18">
        <v>45438</v>
      </c>
      <c r="C103" s="1">
        <v>102</v>
      </c>
      <c r="D103" s="1" t="s">
        <v>12</v>
      </c>
      <c r="E103" s="1" t="s">
        <v>13</v>
      </c>
      <c r="F103" s="1" t="s">
        <v>16</v>
      </c>
      <c r="G103" s="1" t="s">
        <v>14</v>
      </c>
      <c r="J103" s="6">
        <f t="shared" si="0"/>
        <v>4</v>
      </c>
      <c r="K103" s="1" t="s">
        <v>14</v>
      </c>
    </row>
    <row r="104" spans="1:11" ht="15.75" customHeight="1" x14ac:dyDescent="0.2">
      <c r="A104" s="1">
        <v>29</v>
      </c>
      <c r="B104" s="18">
        <v>45438</v>
      </c>
      <c r="C104" s="1">
        <v>103</v>
      </c>
      <c r="D104" s="1" t="s">
        <v>12</v>
      </c>
      <c r="E104" s="1" t="s">
        <v>13</v>
      </c>
      <c r="F104" s="1" t="s">
        <v>16</v>
      </c>
      <c r="G104" s="1" t="s">
        <v>14</v>
      </c>
      <c r="J104" s="6">
        <f t="shared" si="0"/>
        <v>4</v>
      </c>
      <c r="K104" s="1" t="s">
        <v>14</v>
      </c>
    </row>
    <row r="105" spans="1:11" ht="15.75" customHeight="1" x14ac:dyDescent="0.2">
      <c r="A105" s="1">
        <v>30</v>
      </c>
      <c r="B105" s="18">
        <v>45449</v>
      </c>
      <c r="C105" s="1">
        <v>104</v>
      </c>
      <c r="D105" s="1" t="s">
        <v>12</v>
      </c>
      <c r="E105" s="1" t="s">
        <v>13</v>
      </c>
      <c r="F105" s="1" t="s">
        <v>19</v>
      </c>
      <c r="G105" s="1" t="s">
        <v>14</v>
      </c>
      <c r="J105" s="6">
        <f t="shared" si="0"/>
        <v>4</v>
      </c>
      <c r="K105" s="1" t="s">
        <v>19</v>
      </c>
    </row>
    <row r="106" spans="1:11" ht="15.75" customHeight="1" x14ac:dyDescent="0.2">
      <c r="A106" s="1">
        <v>30</v>
      </c>
      <c r="B106" s="18">
        <v>45449</v>
      </c>
      <c r="C106" s="1">
        <v>105</v>
      </c>
      <c r="D106" s="1" t="s">
        <v>12</v>
      </c>
      <c r="E106" s="1" t="s">
        <v>13</v>
      </c>
      <c r="F106" s="1" t="s">
        <v>19</v>
      </c>
      <c r="G106" s="1" t="s">
        <v>14</v>
      </c>
      <c r="J106" s="6">
        <f t="shared" si="0"/>
        <v>4</v>
      </c>
      <c r="K106" s="1" t="s">
        <v>19</v>
      </c>
    </row>
    <row r="107" spans="1:11" ht="15.75" customHeight="1" x14ac:dyDescent="0.2">
      <c r="A107" s="1">
        <v>30</v>
      </c>
      <c r="B107" s="18">
        <v>45449</v>
      </c>
      <c r="C107" s="1">
        <v>106</v>
      </c>
      <c r="D107" s="1" t="s">
        <v>12</v>
      </c>
      <c r="E107" s="1" t="s">
        <v>13</v>
      </c>
      <c r="F107" s="1" t="s">
        <v>19</v>
      </c>
      <c r="G107" s="1" t="s">
        <v>14</v>
      </c>
      <c r="J107" s="6">
        <f t="shared" si="0"/>
        <v>4</v>
      </c>
      <c r="K107" s="1" t="s">
        <v>19</v>
      </c>
    </row>
    <row r="108" spans="1:11" ht="15.75" customHeight="1" x14ac:dyDescent="0.2">
      <c r="A108" s="1">
        <v>31</v>
      </c>
      <c r="B108" s="18">
        <v>45455</v>
      </c>
      <c r="C108" s="1">
        <v>107</v>
      </c>
      <c r="D108" s="1" t="s">
        <v>12</v>
      </c>
      <c r="E108" s="1" t="s">
        <v>14</v>
      </c>
      <c r="F108" s="1" t="s">
        <v>19</v>
      </c>
      <c r="G108" s="1" t="s">
        <v>18</v>
      </c>
      <c r="J108" s="6">
        <f t="shared" si="0"/>
        <v>4</v>
      </c>
      <c r="K108" s="1" t="s">
        <v>14</v>
      </c>
    </row>
    <row r="109" spans="1:11" ht="15.75" customHeight="1" x14ac:dyDescent="0.2">
      <c r="A109" s="1">
        <v>31</v>
      </c>
      <c r="B109" s="18">
        <v>45455</v>
      </c>
      <c r="C109" s="1">
        <v>108</v>
      </c>
      <c r="D109" s="1" t="s">
        <v>12</v>
      </c>
      <c r="E109" s="1" t="s">
        <v>14</v>
      </c>
      <c r="F109" s="1" t="s">
        <v>19</v>
      </c>
      <c r="G109" s="1" t="s">
        <v>18</v>
      </c>
      <c r="H109" s="1" t="s">
        <v>16</v>
      </c>
      <c r="J109" s="6">
        <f t="shared" si="0"/>
        <v>5</v>
      </c>
      <c r="K109" s="1" t="s">
        <v>14</v>
      </c>
    </row>
    <row r="110" spans="1:11" ht="15.75" customHeight="1" x14ac:dyDescent="0.2">
      <c r="A110" s="1">
        <v>31</v>
      </c>
      <c r="B110" s="18">
        <v>45455</v>
      </c>
      <c r="C110" s="1">
        <v>109</v>
      </c>
      <c r="D110" s="1" t="s">
        <v>12</v>
      </c>
      <c r="E110" s="1" t="s">
        <v>14</v>
      </c>
      <c r="F110" s="1" t="s">
        <v>19</v>
      </c>
      <c r="G110" s="1" t="s">
        <v>16</v>
      </c>
      <c r="J110" s="6">
        <f t="shared" si="0"/>
        <v>4</v>
      </c>
      <c r="K110" s="1" t="s">
        <v>14</v>
      </c>
    </row>
    <row r="111" spans="1:11" ht="15.75" customHeight="1" x14ac:dyDescent="0.2">
      <c r="A111" s="1">
        <v>31</v>
      </c>
      <c r="B111" s="18">
        <v>45455</v>
      </c>
      <c r="C111" s="1">
        <v>110</v>
      </c>
      <c r="D111" s="1" t="s">
        <v>12</v>
      </c>
      <c r="E111" s="1" t="s">
        <v>14</v>
      </c>
      <c r="F111" s="1" t="s">
        <v>19</v>
      </c>
      <c r="G111" s="1" t="s">
        <v>16</v>
      </c>
      <c r="J111" s="6">
        <f t="shared" si="0"/>
        <v>4</v>
      </c>
      <c r="K111" s="1" t="s">
        <v>14</v>
      </c>
    </row>
    <row r="112" spans="1:11" ht="15.75" customHeight="1" x14ac:dyDescent="0.2">
      <c r="A112" s="1">
        <v>32</v>
      </c>
      <c r="B112" s="18">
        <v>45458</v>
      </c>
      <c r="C112" s="1">
        <v>111</v>
      </c>
      <c r="D112" s="1" t="s">
        <v>12</v>
      </c>
      <c r="E112" s="1" t="s">
        <v>14</v>
      </c>
      <c r="F112" s="1" t="s">
        <v>16</v>
      </c>
      <c r="G112" s="1" t="s">
        <v>21</v>
      </c>
      <c r="J112" s="6">
        <f t="shared" si="0"/>
        <v>4</v>
      </c>
      <c r="K112" s="1" t="s">
        <v>16</v>
      </c>
    </row>
    <row r="113" spans="1:11" ht="15.75" customHeight="1" x14ac:dyDescent="0.2">
      <c r="A113" s="1">
        <v>32</v>
      </c>
      <c r="B113" s="18">
        <v>45458</v>
      </c>
      <c r="C113" s="1">
        <v>112</v>
      </c>
      <c r="D113" s="1" t="s">
        <v>12</v>
      </c>
      <c r="E113" s="1" t="s">
        <v>14</v>
      </c>
      <c r="F113" s="1" t="s">
        <v>16</v>
      </c>
      <c r="G113" s="1" t="s">
        <v>21</v>
      </c>
      <c r="J113" s="6">
        <f t="shared" si="0"/>
        <v>4</v>
      </c>
      <c r="K113" s="1" t="s">
        <v>16</v>
      </c>
    </row>
    <row r="114" spans="1:11" ht="15.75" customHeight="1" x14ac:dyDescent="0.2">
      <c r="A114" s="1">
        <v>32</v>
      </c>
      <c r="B114" s="18">
        <v>45458</v>
      </c>
      <c r="C114" s="1">
        <v>113</v>
      </c>
      <c r="D114" s="1" t="s">
        <v>12</v>
      </c>
      <c r="E114" s="1" t="s">
        <v>14</v>
      </c>
      <c r="F114" s="1" t="s">
        <v>16</v>
      </c>
      <c r="G114" s="1" t="s">
        <v>21</v>
      </c>
      <c r="J114" s="6">
        <f t="shared" si="0"/>
        <v>4</v>
      </c>
      <c r="K114" s="1" t="s">
        <v>16</v>
      </c>
    </row>
    <row r="115" spans="1:11" ht="15.75" customHeight="1" x14ac:dyDescent="0.2">
      <c r="A115" s="1">
        <v>32</v>
      </c>
      <c r="B115" s="18">
        <v>45458</v>
      </c>
      <c r="C115" s="1">
        <v>114</v>
      </c>
      <c r="D115" s="1" t="s">
        <v>12</v>
      </c>
      <c r="E115" s="1" t="s">
        <v>14</v>
      </c>
      <c r="F115" s="1" t="s">
        <v>16</v>
      </c>
      <c r="G115" s="1" t="s">
        <v>21</v>
      </c>
      <c r="J115" s="6">
        <f t="shared" si="0"/>
        <v>4</v>
      </c>
      <c r="K115" s="1" t="s">
        <v>16</v>
      </c>
    </row>
    <row r="116" spans="1:11" ht="15.75" customHeight="1" x14ac:dyDescent="0.2">
      <c r="A116" s="1">
        <v>32</v>
      </c>
      <c r="B116" s="18">
        <v>45458</v>
      </c>
      <c r="C116" s="1">
        <v>115</v>
      </c>
      <c r="D116" s="1" t="s">
        <v>12</v>
      </c>
      <c r="E116" s="1" t="s">
        <v>14</v>
      </c>
      <c r="F116" s="1" t="s">
        <v>16</v>
      </c>
      <c r="G116" s="1" t="s">
        <v>21</v>
      </c>
      <c r="J116" s="6">
        <f t="shared" si="0"/>
        <v>4</v>
      </c>
      <c r="K116" s="1" t="s">
        <v>16</v>
      </c>
    </row>
    <row r="117" spans="1:11" ht="15.75" customHeight="1" x14ac:dyDescent="0.2">
      <c r="A117" s="1">
        <v>33</v>
      </c>
      <c r="B117" s="18">
        <v>45466</v>
      </c>
      <c r="C117" s="1">
        <v>116</v>
      </c>
      <c r="D117" s="1" t="s">
        <v>12</v>
      </c>
      <c r="E117" s="1" t="s">
        <v>14</v>
      </c>
      <c r="F117" s="1" t="s">
        <v>16</v>
      </c>
      <c r="G117" s="1" t="s">
        <v>19</v>
      </c>
      <c r="J117" s="6">
        <f t="shared" si="0"/>
        <v>4</v>
      </c>
      <c r="K117" s="1" t="s">
        <v>14</v>
      </c>
    </row>
    <row r="118" spans="1:11" ht="15.75" customHeight="1" x14ac:dyDescent="0.2">
      <c r="A118" s="1">
        <v>33</v>
      </c>
      <c r="B118" s="18">
        <v>45466</v>
      </c>
      <c r="C118" s="1">
        <v>117</v>
      </c>
      <c r="D118" s="1" t="s">
        <v>12</v>
      </c>
      <c r="E118" s="1" t="s">
        <v>14</v>
      </c>
      <c r="F118" s="1" t="s">
        <v>16</v>
      </c>
      <c r="G118" s="1" t="s">
        <v>19</v>
      </c>
      <c r="J118" s="6">
        <f t="shared" si="0"/>
        <v>4</v>
      </c>
      <c r="K118" s="1" t="s">
        <v>14</v>
      </c>
    </row>
    <row r="119" spans="1:11" ht="15.75" customHeight="1" x14ac:dyDescent="0.2">
      <c r="A119" s="1">
        <v>33</v>
      </c>
      <c r="B119" s="18">
        <v>45466</v>
      </c>
      <c r="C119" s="1">
        <v>118</v>
      </c>
      <c r="D119" s="1" t="s">
        <v>12</v>
      </c>
      <c r="E119" s="1" t="s">
        <v>14</v>
      </c>
      <c r="F119" s="1" t="s">
        <v>16</v>
      </c>
      <c r="G119" s="1" t="s">
        <v>19</v>
      </c>
      <c r="J119" s="6">
        <f t="shared" si="0"/>
        <v>4</v>
      </c>
      <c r="K119" s="1" t="s">
        <v>14</v>
      </c>
    </row>
    <row r="120" spans="1:11" ht="15.75" customHeight="1" x14ac:dyDescent="0.2">
      <c r="A120" s="1">
        <v>33</v>
      </c>
      <c r="B120" s="18">
        <v>45466</v>
      </c>
      <c r="C120" s="1">
        <v>119</v>
      </c>
      <c r="D120" s="1" t="s">
        <v>12</v>
      </c>
      <c r="E120" s="1" t="s">
        <v>14</v>
      </c>
      <c r="F120" s="1" t="s">
        <v>16</v>
      </c>
      <c r="G120" s="1" t="s">
        <v>19</v>
      </c>
      <c r="J120" s="6">
        <f t="shared" si="0"/>
        <v>4</v>
      </c>
      <c r="K120" s="1" t="s">
        <v>14</v>
      </c>
    </row>
    <row r="121" spans="1:11" ht="15.75" customHeight="1" x14ac:dyDescent="0.2">
      <c r="A121" s="1">
        <v>33</v>
      </c>
      <c r="B121" s="18">
        <v>45466</v>
      </c>
      <c r="C121" s="1">
        <v>120</v>
      </c>
      <c r="D121" s="1" t="s">
        <v>12</v>
      </c>
      <c r="E121" s="1" t="s">
        <v>14</v>
      </c>
      <c r="F121" s="1" t="s">
        <v>16</v>
      </c>
      <c r="G121" s="1" t="s">
        <v>19</v>
      </c>
      <c r="J121" s="6">
        <f t="shared" si="0"/>
        <v>4</v>
      </c>
      <c r="K121" s="1" t="s">
        <v>14</v>
      </c>
    </row>
    <row r="122" spans="1:11" ht="15.75" customHeight="1" x14ac:dyDescent="0.2">
      <c r="A122" s="1">
        <v>33</v>
      </c>
      <c r="B122" s="18">
        <v>45466</v>
      </c>
      <c r="C122" s="1">
        <v>121</v>
      </c>
      <c r="D122" s="1" t="s">
        <v>12</v>
      </c>
      <c r="E122" s="1" t="s">
        <v>14</v>
      </c>
      <c r="F122" s="1" t="s">
        <v>16</v>
      </c>
      <c r="G122" s="1" t="s">
        <v>19</v>
      </c>
      <c r="J122" s="6">
        <f t="shared" si="0"/>
        <v>4</v>
      </c>
      <c r="K122" s="1" t="s">
        <v>14</v>
      </c>
    </row>
    <row r="123" spans="1:11" ht="15.75" customHeight="1" x14ac:dyDescent="0.2">
      <c r="A123" s="1">
        <v>34</v>
      </c>
      <c r="B123" s="18">
        <v>45485</v>
      </c>
      <c r="C123" s="1">
        <v>122</v>
      </c>
      <c r="D123" s="1" t="s">
        <v>12</v>
      </c>
      <c r="E123" s="1" t="s">
        <v>14</v>
      </c>
      <c r="F123" s="1" t="s">
        <v>19</v>
      </c>
      <c r="G123" s="1" t="s">
        <v>18</v>
      </c>
      <c r="J123" s="6">
        <f t="shared" si="0"/>
        <v>4</v>
      </c>
      <c r="K123" s="1" t="s">
        <v>19</v>
      </c>
    </row>
    <row r="124" spans="1:11" ht="15.75" customHeight="1" x14ac:dyDescent="0.2">
      <c r="A124" s="1">
        <v>34</v>
      </c>
      <c r="B124" s="18">
        <v>45485</v>
      </c>
      <c r="C124" s="1">
        <v>123</v>
      </c>
      <c r="D124" s="1" t="s">
        <v>12</v>
      </c>
      <c r="E124" s="1" t="s">
        <v>14</v>
      </c>
      <c r="F124" s="1" t="s">
        <v>19</v>
      </c>
      <c r="G124" s="1" t="s">
        <v>18</v>
      </c>
      <c r="J124" s="6">
        <f t="shared" si="0"/>
        <v>4</v>
      </c>
      <c r="K124" s="1" t="s">
        <v>19</v>
      </c>
    </row>
    <row r="125" spans="1:11" ht="15.75" customHeight="1" x14ac:dyDescent="0.2">
      <c r="A125" s="1">
        <v>34</v>
      </c>
      <c r="B125" s="18">
        <v>45485</v>
      </c>
      <c r="C125" s="1">
        <v>124</v>
      </c>
      <c r="D125" s="1" t="s">
        <v>12</v>
      </c>
      <c r="E125" s="1" t="s">
        <v>14</v>
      </c>
      <c r="F125" s="1" t="s">
        <v>19</v>
      </c>
      <c r="G125" s="1" t="s">
        <v>18</v>
      </c>
      <c r="J125" s="6">
        <f t="shared" si="0"/>
        <v>4</v>
      </c>
      <c r="K125" s="1" t="s">
        <v>19</v>
      </c>
    </row>
    <row r="126" spans="1:11" ht="15.75" customHeight="1" x14ac:dyDescent="0.2">
      <c r="A126" s="1">
        <v>34</v>
      </c>
      <c r="B126" s="18">
        <v>45485</v>
      </c>
      <c r="C126" s="1">
        <v>125</v>
      </c>
      <c r="D126" s="1" t="s">
        <v>12</v>
      </c>
      <c r="E126" s="1" t="s">
        <v>14</v>
      </c>
      <c r="F126" s="1" t="s">
        <v>19</v>
      </c>
      <c r="G126" s="1" t="s">
        <v>18</v>
      </c>
      <c r="J126" s="6">
        <f t="shared" si="0"/>
        <v>4</v>
      </c>
      <c r="K126" s="1" t="s">
        <v>19</v>
      </c>
    </row>
    <row r="127" spans="1:11" ht="15.75" customHeight="1" x14ac:dyDescent="0.2">
      <c r="A127" s="1">
        <v>35</v>
      </c>
      <c r="B127" s="18">
        <v>45492</v>
      </c>
      <c r="C127" s="1">
        <v>126</v>
      </c>
      <c r="D127" s="1" t="s">
        <v>12</v>
      </c>
      <c r="E127" s="1" t="s">
        <v>14</v>
      </c>
      <c r="F127" s="1" t="s">
        <v>19</v>
      </c>
      <c r="G127" s="1" t="s">
        <v>16</v>
      </c>
      <c r="J127" s="6">
        <f t="shared" si="0"/>
        <v>4</v>
      </c>
      <c r="K127" s="1" t="s">
        <v>19</v>
      </c>
    </row>
    <row r="128" spans="1:11" ht="15.75" customHeight="1" x14ac:dyDescent="0.2">
      <c r="A128" s="1">
        <v>35</v>
      </c>
      <c r="B128" s="18">
        <v>45492</v>
      </c>
      <c r="C128" s="1">
        <v>127</v>
      </c>
      <c r="D128" s="1" t="s">
        <v>12</v>
      </c>
      <c r="E128" s="1" t="s">
        <v>14</v>
      </c>
      <c r="F128" s="1" t="s">
        <v>19</v>
      </c>
      <c r="G128" s="1" t="s">
        <v>16</v>
      </c>
      <c r="J128" s="6">
        <f t="shared" si="0"/>
        <v>4</v>
      </c>
      <c r="K128" s="1" t="s">
        <v>19</v>
      </c>
    </row>
    <row r="129" spans="1:11" ht="15.75" customHeight="1" x14ac:dyDescent="0.2">
      <c r="A129" s="1">
        <v>35</v>
      </c>
      <c r="B129" s="18">
        <v>45492</v>
      </c>
      <c r="C129" s="1">
        <v>128</v>
      </c>
      <c r="D129" s="1" t="s">
        <v>12</v>
      </c>
      <c r="E129" s="1" t="s">
        <v>14</v>
      </c>
      <c r="F129" s="1" t="s">
        <v>19</v>
      </c>
      <c r="G129" s="1" t="s">
        <v>16</v>
      </c>
      <c r="J129" s="6">
        <f t="shared" si="0"/>
        <v>4</v>
      </c>
      <c r="K129" s="1" t="s">
        <v>19</v>
      </c>
    </row>
    <row r="130" spans="1:11" ht="15.75" customHeight="1" x14ac:dyDescent="0.2">
      <c r="A130" s="1">
        <v>36</v>
      </c>
      <c r="B130" s="18">
        <v>45499</v>
      </c>
      <c r="C130" s="1">
        <v>129</v>
      </c>
      <c r="D130" s="1" t="s">
        <v>12</v>
      </c>
      <c r="E130" s="1" t="s">
        <v>14</v>
      </c>
      <c r="F130" s="1" t="s">
        <v>16</v>
      </c>
      <c r="G130" s="1" t="s">
        <v>21</v>
      </c>
      <c r="J130" s="6">
        <f t="shared" si="0"/>
        <v>4</v>
      </c>
      <c r="K130" s="1" t="s">
        <v>14</v>
      </c>
    </row>
    <row r="131" spans="1:11" ht="15.75" customHeight="1" x14ac:dyDescent="0.2">
      <c r="A131" s="1">
        <v>36</v>
      </c>
      <c r="B131" s="18">
        <v>45499</v>
      </c>
      <c r="C131" s="1">
        <v>130</v>
      </c>
      <c r="D131" s="1" t="s">
        <v>12</v>
      </c>
      <c r="E131" s="1" t="s">
        <v>14</v>
      </c>
      <c r="F131" s="1" t="s">
        <v>16</v>
      </c>
      <c r="G131" s="1" t="s">
        <v>21</v>
      </c>
      <c r="J131" s="6">
        <f t="shared" si="0"/>
        <v>4</v>
      </c>
      <c r="K131" s="1" t="s">
        <v>14</v>
      </c>
    </row>
    <row r="132" spans="1:11" ht="15.75" customHeight="1" x14ac:dyDescent="0.2">
      <c r="A132" s="1">
        <v>36</v>
      </c>
      <c r="B132" s="18">
        <v>45499</v>
      </c>
      <c r="C132" s="1">
        <v>131</v>
      </c>
      <c r="D132" s="1" t="s">
        <v>12</v>
      </c>
      <c r="E132" s="1" t="s">
        <v>14</v>
      </c>
      <c r="F132" s="1" t="s">
        <v>16</v>
      </c>
      <c r="G132" s="1" t="s">
        <v>21</v>
      </c>
      <c r="J132" s="6">
        <f t="shared" si="0"/>
        <v>4</v>
      </c>
      <c r="K132" s="1" t="s">
        <v>14</v>
      </c>
    </row>
    <row r="133" spans="1:11" ht="15.75" customHeight="1" x14ac:dyDescent="0.2">
      <c r="A133" s="1">
        <v>36</v>
      </c>
      <c r="B133" s="18">
        <v>45499</v>
      </c>
      <c r="C133" s="1">
        <v>132</v>
      </c>
      <c r="D133" s="1" t="s">
        <v>12</v>
      </c>
      <c r="E133" s="1" t="s">
        <v>14</v>
      </c>
      <c r="F133" s="1" t="s">
        <v>16</v>
      </c>
      <c r="G133" s="1" t="s">
        <v>21</v>
      </c>
      <c r="J133" s="6">
        <f t="shared" si="0"/>
        <v>4</v>
      </c>
      <c r="K133" s="1" t="s">
        <v>14</v>
      </c>
    </row>
    <row r="134" spans="1:11" ht="15.75" customHeight="1" x14ac:dyDescent="0.2">
      <c r="A134" s="1">
        <v>36</v>
      </c>
      <c r="B134" s="18">
        <v>45499</v>
      </c>
      <c r="C134" s="1">
        <v>133</v>
      </c>
      <c r="D134" s="1" t="s">
        <v>12</v>
      </c>
      <c r="E134" s="1" t="s">
        <v>14</v>
      </c>
      <c r="F134" s="1" t="s">
        <v>16</v>
      </c>
      <c r="G134" s="1" t="s">
        <v>21</v>
      </c>
      <c r="J134" s="6">
        <f t="shared" si="0"/>
        <v>4</v>
      </c>
      <c r="K134" s="1" t="s">
        <v>14</v>
      </c>
    </row>
    <row r="135" spans="1:11" ht="15.75" customHeight="1" x14ac:dyDescent="0.2">
      <c r="A135" s="1">
        <v>37</v>
      </c>
      <c r="B135" s="18">
        <v>45507</v>
      </c>
      <c r="C135" s="1">
        <v>134</v>
      </c>
      <c r="D135" s="1" t="s">
        <v>12</v>
      </c>
      <c r="E135" s="1" t="s">
        <v>14</v>
      </c>
      <c r="F135" s="1" t="s">
        <v>19</v>
      </c>
      <c r="G135" s="1" t="s">
        <v>21</v>
      </c>
      <c r="J135" s="6">
        <f t="shared" si="0"/>
        <v>4</v>
      </c>
      <c r="K135" s="1" t="s">
        <v>19</v>
      </c>
    </row>
    <row r="136" spans="1:11" ht="15.75" customHeight="1" x14ac:dyDescent="0.2">
      <c r="A136" s="1">
        <v>37</v>
      </c>
      <c r="B136" s="18">
        <v>45507</v>
      </c>
      <c r="C136" s="1">
        <v>135</v>
      </c>
      <c r="D136" s="1" t="s">
        <v>12</v>
      </c>
      <c r="E136" s="1" t="s">
        <v>14</v>
      </c>
      <c r="F136" s="1" t="s">
        <v>19</v>
      </c>
      <c r="G136" s="1" t="s">
        <v>21</v>
      </c>
      <c r="J136" s="6">
        <f t="shared" si="0"/>
        <v>4</v>
      </c>
      <c r="K136" s="1" t="s">
        <v>19</v>
      </c>
    </row>
    <row r="137" spans="1:11" ht="15.75" customHeight="1" x14ac:dyDescent="0.2">
      <c r="A137" s="1">
        <v>37</v>
      </c>
      <c r="B137" s="18">
        <v>45507</v>
      </c>
      <c r="C137" s="1">
        <v>136</v>
      </c>
      <c r="D137" s="1" t="s">
        <v>12</v>
      </c>
      <c r="E137" s="1" t="s">
        <v>14</v>
      </c>
      <c r="F137" s="1" t="s">
        <v>19</v>
      </c>
      <c r="G137" s="1" t="s">
        <v>21</v>
      </c>
      <c r="J137" s="6">
        <f t="shared" si="0"/>
        <v>4</v>
      </c>
      <c r="K137" s="1" t="s">
        <v>19</v>
      </c>
    </row>
    <row r="138" spans="1:11" ht="15.75" customHeight="1" x14ac:dyDescent="0.2">
      <c r="A138" s="1">
        <v>37</v>
      </c>
      <c r="B138" s="18">
        <v>45507</v>
      </c>
      <c r="C138" s="1">
        <v>137</v>
      </c>
      <c r="D138" s="1" t="s">
        <v>12</v>
      </c>
      <c r="E138" s="1" t="s">
        <v>14</v>
      </c>
      <c r="F138" s="1" t="s">
        <v>19</v>
      </c>
      <c r="G138" s="1" t="s">
        <v>21</v>
      </c>
      <c r="J138" s="6">
        <f t="shared" si="0"/>
        <v>4</v>
      </c>
      <c r="K138" s="1" t="s">
        <v>19</v>
      </c>
    </row>
    <row r="139" spans="1:11" ht="15.75" customHeight="1" x14ac:dyDescent="0.2">
      <c r="A139" s="1">
        <v>37</v>
      </c>
      <c r="B139" s="18">
        <v>45507</v>
      </c>
      <c r="C139" s="1">
        <v>138</v>
      </c>
      <c r="D139" s="1" t="s">
        <v>12</v>
      </c>
      <c r="E139" s="1" t="s">
        <v>14</v>
      </c>
      <c r="F139" s="1" t="s">
        <v>19</v>
      </c>
      <c r="G139" s="1" t="s">
        <v>21</v>
      </c>
      <c r="J139" s="6">
        <f t="shared" si="0"/>
        <v>4</v>
      </c>
      <c r="K139" s="1" t="s">
        <v>19</v>
      </c>
    </row>
    <row r="140" spans="1:11" ht="15.75" customHeight="1" x14ac:dyDescent="0.2">
      <c r="A140" s="1">
        <v>37</v>
      </c>
      <c r="B140" s="18">
        <v>45507</v>
      </c>
      <c r="C140" s="1">
        <v>139</v>
      </c>
      <c r="D140" s="1" t="s">
        <v>12</v>
      </c>
      <c r="E140" s="1" t="s">
        <v>14</v>
      </c>
      <c r="F140" s="1" t="s">
        <v>19</v>
      </c>
      <c r="G140" s="1" t="s">
        <v>21</v>
      </c>
      <c r="J140" s="6">
        <f t="shared" si="0"/>
        <v>4</v>
      </c>
      <c r="K140" s="1" t="s">
        <v>19</v>
      </c>
    </row>
    <row r="141" spans="1:11" ht="15.75" customHeight="1" x14ac:dyDescent="0.2">
      <c r="A141" s="1">
        <v>38</v>
      </c>
      <c r="B141" s="18">
        <v>45513</v>
      </c>
      <c r="C141" s="1">
        <v>140</v>
      </c>
      <c r="D141" s="1" t="s">
        <v>12</v>
      </c>
      <c r="E141" s="1" t="s">
        <v>14</v>
      </c>
      <c r="F141" s="1" t="s">
        <v>19</v>
      </c>
      <c r="G141" s="1" t="s">
        <v>16</v>
      </c>
      <c r="J141" s="6">
        <f t="shared" si="0"/>
        <v>4</v>
      </c>
      <c r="K141" s="1" t="s">
        <v>14</v>
      </c>
    </row>
    <row r="142" spans="1:11" ht="15.75" customHeight="1" x14ac:dyDescent="0.2">
      <c r="A142" s="1">
        <v>38</v>
      </c>
      <c r="B142" s="18">
        <v>45513</v>
      </c>
      <c r="C142" s="1">
        <v>141</v>
      </c>
      <c r="D142" s="1" t="s">
        <v>12</v>
      </c>
      <c r="E142" s="1" t="s">
        <v>14</v>
      </c>
      <c r="F142" s="1" t="s">
        <v>19</v>
      </c>
      <c r="G142" s="1" t="s">
        <v>16</v>
      </c>
      <c r="J142" s="6">
        <f t="shared" si="0"/>
        <v>4</v>
      </c>
      <c r="K142" s="1" t="s">
        <v>14</v>
      </c>
    </row>
    <row r="143" spans="1:11" ht="15.75" customHeight="1" x14ac:dyDescent="0.2">
      <c r="A143" s="1">
        <v>38</v>
      </c>
      <c r="B143" s="18">
        <v>45513</v>
      </c>
      <c r="C143" s="1">
        <v>142</v>
      </c>
      <c r="D143" s="1" t="s">
        <v>12</v>
      </c>
      <c r="E143" s="1" t="s">
        <v>14</v>
      </c>
      <c r="F143" s="1" t="s">
        <v>19</v>
      </c>
      <c r="G143" s="1" t="s">
        <v>16</v>
      </c>
      <c r="J143" s="6">
        <f t="shared" si="0"/>
        <v>4</v>
      </c>
      <c r="K143" s="1" t="s">
        <v>14</v>
      </c>
    </row>
    <row r="144" spans="1:11" ht="15.75" customHeight="1" x14ac:dyDescent="0.2">
      <c r="A144" s="1">
        <v>38</v>
      </c>
      <c r="B144" s="18">
        <v>45513</v>
      </c>
      <c r="C144" s="1">
        <v>143</v>
      </c>
      <c r="D144" s="1" t="s">
        <v>12</v>
      </c>
      <c r="E144" s="1" t="s">
        <v>14</v>
      </c>
      <c r="F144" s="1" t="s">
        <v>19</v>
      </c>
      <c r="G144" s="1" t="s">
        <v>16</v>
      </c>
      <c r="J144" s="6">
        <f t="shared" si="0"/>
        <v>4</v>
      </c>
      <c r="K144" s="1" t="s">
        <v>14</v>
      </c>
    </row>
    <row r="145" spans="1:11" ht="15.75" customHeight="1" x14ac:dyDescent="0.2">
      <c r="A145" s="1">
        <v>39</v>
      </c>
      <c r="B145" s="18">
        <v>45521</v>
      </c>
      <c r="C145" s="1">
        <v>144</v>
      </c>
      <c r="D145" s="1" t="s">
        <v>19</v>
      </c>
      <c r="E145" s="1" t="s">
        <v>14</v>
      </c>
      <c r="F145" s="1" t="s">
        <v>16</v>
      </c>
      <c r="G145" s="1" t="s">
        <v>21</v>
      </c>
      <c r="J145" s="6">
        <f t="shared" si="0"/>
        <v>4</v>
      </c>
      <c r="K145" s="1" t="s">
        <v>24</v>
      </c>
    </row>
    <row r="146" spans="1:11" ht="15.75" customHeight="1" x14ac:dyDescent="0.2">
      <c r="A146" s="1">
        <v>39</v>
      </c>
      <c r="B146" s="18">
        <v>45521</v>
      </c>
      <c r="C146" s="1">
        <v>145</v>
      </c>
      <c r="D146" s="1" t="s">
        <v>19</v>
      </c>
      <c r="E146" s="1" t="s">
        <v>14</v>
      </c>
      <c r="F146" s="1" t="s">
        <v>16</v>
      </c>
      <c r="G146" s="1" t="s">
        <v>21</v>
      </c>
      <c r="J146" s="6">
        <f t="shared" si="0"/>
        <v>4</v>
      </c>
      <c r="K146" s="1" t="s">
        <v>24</v>
      </c>
    </row>
    <row r="147" spans="1:11" ht="15.75" customHeight="1" x14ac:dyDescent="0.2">
      <c r="A147" s="1">
        <v>40</v>
      </c>
      <c r="B147" s="18">
        <v>45528</v>
      </c>
      <c r="C147" s="1">
        <v>146</v>
      </c>
      <c r="D147" s="1" t="s">
        <v>12</v>
      </c>
      <c r="E147" s="1" t="s">
        <v>13</v>
      </c>
      <c r="F147" s="1" t="s">
        <v>14</v>
      </c>
      <c r="G147" s="1" t="s">
        <v>19</v>
      </c>
      <c r="J147" s="6">
        <f t="shared" si="0"/>
        <v>4</v>
      </c>
      <c r="K147" s="1" t="s">
        <v>14</v>
      </c>
    </row>
    <row r="148" spans="1:11" ht="15.75" customHeight="1" x14ac:dyDescent="0.2">
      <c r="A148" s="1">
        <v>40</v>
      </c>
      <c r="B148" s="18">
        <v>45528</v>
      </c>
      <c r="C148" s="1">
        <v>147</v>
      </c>
      <c r="D148" s="1" t="s">
        <v>12</v>
      </c>
      <c r="E148" s="1" t="s">
        <v>13</v>
      </c>
      <c r="F148" s="1" t="s">
        <v>14</v>
      </c>
      <c r="G148" s="1" t="s">
        <v>19</v>
      </c>
      <c r="H148" s="1" t="s">
        <v>21</v>
      </c>
      <c r="J148" s="6">
        <f t="shared" si="0"/>
        <v>5</v>
      </c>
      <c r="K148" s="1" t="s">
        <v>14</v>
      </c>
    </row>
    <row r="149" spans="1:11" ht="15.75" customHeight="1" x14ac:dyDescent="0.2">
      <c r="A149" s="1">
        <v>40</v>
      </c>
      <c r="B149" s="18">
        <v>45528</v>
      </c>
      <c r="C149" s="1">
        <v>148</v>
      </c>
      <c r="D149" s="1" t="s">
        <v>12</v>
      </c>
      <c r="E149" s="1" t="s">
        <v>13</v>
      </c>
      <c r="F149" s="1" t="s">
        <v>14</v>
      </c>
      <c r="G149" s="1" t="s">
        <v>19</v>
      </c>
      <c r="H149" s="1" t="s">
        <v>16</v>
      </c>
      <c r="I149" s="1" t="s">
        <v>21</v>
      </c>
      <c r="J149" s="6">
        <f t="shared" si="0"/>
        <v>6</v>
      </c>
      <c r="K149" s="1" t="s">
        <v>14</v>
      </c>
    </row>
    <row r="150" spans="1:11" ht="15.75" customHeight="1" x14ac:dyDescent="0.2">
      <c r="A150" s="1">
        <v>40</v>
      </c>
      <c r="B150" s="18">
        <v>45528</v>
      </c>
      <c r="C150" s="1">
        <v>149</v>
      </c>
      <c r="D150" s="1" t="s">
        <v>12</v>
      </c>
      <c r="E150" s="1" t="s">
        <v>13</v>
      </c>
      <c r="F150" s="1" t="s">
        <v>14</v>
      </c>
      <c r="G150" s="1" t="s">
        <v>19</v>
      </c>
      <c r="H150" s="1" t="s">
        <v>16</v>
      </c>
      <c r="I150" s="1" t="s">
        <v>21</v>
      </c>
      <c r="J150" s="6">
        <f t="shared" si="0"/>
        <v>6</v>
      </c>
      <c r="K150" s="1" t="s">
        <v>14</v>
      </c>
    </row>
    <row r="151" spans="1:11" ht="15.75" customHeight="1" x14ac:dyDescent="0.2">
      <c r="A151" s="1">
        <v>40</v>
      </c>
      <c r="B151" s="18">
        <v>45528</v>
      </c>
      <c r="C151" s="1">
        <v>150</v>
      </c>
      <c r="D151" s="1" t="s">
        <v>12</v>
      </c>
      <c r="E151" s="1" t="s">
        <v>13</v>
      </c>
      <c r="F151" s="1" t="s">
        <v>14</v>
      </c>
      <c r="G151" s="1" t="s">
        <v>19</v>
      </c>
      <c r="H151" s="1" t="s">
        <v>16</v>
      </c>
      <c r="I151" s="1" t="s">
        <v>21</v>
      </c>
      <c r="J151" s="6">
        <f t="shared" si="0"/>
        <v>6</v>
      </c>
      <c r="K151" s="1" t="s">
        <v>14</v>
      </c>
    </row>
    <row r="152" spans="1:11" ht="15.75" customHeight="1" x14ac:dyDescent="0.2">
      <c r="A152" s="1">
        <v>40</v>
      </c>
      <c r="B152" s="18">
        <v>45528</v>
      </c>
      <c r="C152" s="1">
        <v>151</v>
      </c>
      <c r="D152" s="1" t="s">
        <v>13</v>
      </c>
      <c r="E152" s="1" t="s">
        <v>14</v>
      </c>
      <c r="F152" s="1" t="s">
        <v>19</v>
      </c>
      <c r="G152" s="1" t="s">
        <v>16</v>
      </c>
      <c r="H152" s="1" t="s">
        <v>21</v>
      </c>
      <c r="J152" s="6">
        <f t="shared" si="0"/>
        <v>5</v>
      </c>
      <c r="K152" s="1" t="s">
        <v>14</v>
      </c>
    </row>
    <row r="153" spans="1:11" ht="15.75" customHeight="1" x14ac:dyDescent="0.2">
      <c r="A153" s="1">
        <v>41</v>
      </c>
      <c r="B153" s="18">
        <v>45535</v>
      </c>
      <c r="C153" s="1">
        <v>152</v>
      </c>
      <c r="D153" s="1" t="s">
        <v>12</v>
      </c>
      <c r="E153" s="1" t="s">
        <v>13</v>
      </c>
      <c r="F153" s="1" t="s">
        <v>14</v>
      </c>
      <c r="G153" s="1" t="s">
        <v>16</v>
      </c>
      <c r="H153" s="1" t="s">
        <v>15</v>
      </c>
      <c r="J153" s="6">
        <f t="shared" si="0"/>
        <v>5</v>
      </c>
      <c r="K153" s="1" t="s">
        <v>12</v>
      </c>
    </row>
    <row r="154" spans="1:11" ht="15.75" customHeight="1" x14ac:dyDescent="0.2">
      <c r="A154" s="1">
        <v>41</v>
      </c>
      <c r="B154" s="18">
        <v>45535</v>
      </c>
      <c r="C154" s="1">
        <v>153</v>
      </c>
      <c r="D154" s="1" t="s">
        <v>12</v>
      </c>
      <c r="E154" s="1" t="s">
        <v>13</v>
      </c>
      <c r="F154" s="1" t="s">
        <v>14</v>
      </c>
      <c r="G154" s="1" t="s">
        <v>16</v>
      </c>
      <c r="H154" s="1" t="s">
        <v>19</v>
      </c>
      <c r="I154" s="1" t="s">
        <v>15</v>
      </c>
      <c r="J154" s="6">
        <f t="shared" si="0"/>
        <v>6</v>
      </c>
      <c r="K154" s="1" t="s">
        <v>12</v>
      </c>
    </row>
    <row r="155" spans="1:11" ht="15.75" customHeight="1" x14ac:dyDescent="0.2">
      <c r="A155" s="1">
        <v>41</v>
      </c>
      <c r="B155" s="18">
        <v>45535</v>
      </c>
      <c r="C155" s="1">
        <v>154</v>
      </c>
      <c r="D155" s="1" t="s">
        <v>12</v>
      </c>
      <c r="E155" s="1" t="s">
        <v>13</v>
      </c>
      <c r="F155" s="1" t="s">
        <v>14</v>
      </c>
      <c r="G155" s="1" t="s">
        <v>16</v>
      </c>
      <c r="H155" s="1"/>
      <c r="I155" s="1"/>
      <c r="J155" s="6">
        <f t="shared" si="0"/>
        <v>4</v>
      </c>
      <c r="K155" s="1" t="s">
        <v>12</v>
      </c>
    </row>
    <row r="156" spans="1:11" ht="15.75" customHeight="1" x14ac:dyDescent="0.2">
      <c r="A156" s="1">
        <v>41</v>
      </c>
      <c r="B156" s="18">
        <v>45535</v>
      </c>
      <c r="C156" s="1">
        <v>155</v>
      </c>
      <c r="D156" s="1" t="s">
        <v>12</v>
      </c>
      <c r="E156" s="1" t="s">
        <v>13</v>
      </c>
      <c r="F156" s="1" t="s">
        <v>14</v>
      </c>
      <c r="G156" s="1" t="s">
        <v>16</v>
      </c>
      <c r="J156" s="6">
        <f t="shared" si="0"/>
        <v>4</v>
      </c>
      <c r="K156" s="1" t="s">
        <v>12</v>
      </c>
    </row>
    <row r="157" spans="1:11" ht="15.75" customHeight="1" x14ac:dyDescent="0.2">
      <c r="A157" s="1">
        <v>42</v>
      </c>
      <c r="B157" s="18">
        <v>45540</v>
      </c>
      <c r="C157" s="1">
        <v>156</v>
      </c>
      <c r="D157" s="1" t="s">
        <v>13</v>
      </c>
      <c r="E157" s="1" t="s">
        <v>14</v>
      </c>
      <c r="F157" s="1" t="s">
        <v>19</v>
      </c>
      <c r="G157" s="1" t="s">
        <v>16</v>
      </c>
      <c r="J157" s="6">
        <f t="shared" si="0"/>
        <v>4</v>
      </c>
      <c r="K157" s="1" t="s">
        <v>19</v>
      </c>
    </row>
    <row r="158" spans="1:11" ht="15.75" customHeight="1" x14ac:dyDescent="0.2">
      <c r="A158" s="1">
        <v>42</v>
      </c>
      <c r="B158" s="18">
        <v>45540</v>
      </c>
      <c r="C158" s="1">
        <v>157</v>
      </c>
      <c r="D158" s="1" t="s">
        <v>13</v>
      </c>
      <c r="E158" s="1" t="s">
        <v>14</v>
      </c>
      <c r="F158" s="1" t="s">
        <v>19</v>
      </c>
      <c r="G158" s="1" t="s">
        <v>16</v>
      </c>
      <c r="J158" s="6">
        <f t="shared" si="0"/>
        <v>4</v>
      </c>
      <c r="K158" s="1" t="s">
        <v>19</v>
      </c>
    </row>
    <row r="159" spans="1:11" ht="15.75" customHeight="1" x14ac:dyDescent="0.2">
      <c r="A159" s="1">
        <v>42</v>
      </c>
      <c r="B159" s="18">
        <v>45540</v>
      </c>
      <c r="C159" s="1">
        <v>158</v>
      </c>
      <c r="D159" s="1" t="s">
        <v>13</v>
      </c>
      <c r="E159" s="1" t="s">
        <v>14</v>
      </c>
      <c r="F159" s="1" t="s">
        <v>19</v>
      </c>
      <c r="G159" s="1" t="s">
        <v>16</v>
      </c>
      <c r="J159" s="6">
        <f t="shared" si="0"/>
        <v>4</v>
      </c>
      <c r="K159" s="1" t="s">
        <v>19</v>
      </c>
    </row>
    <row r="160" spans="1:11" ht="15.75" customHeight="1" x14ac:dyDescent="0.2">
      <c r="A160" s="1">
        <v>42</v>
      </c>
      <c r="B160" s="18">
        <v>45540</v>
      </c>
      <c r="C160" s="1">
        <v>159</v>
      </c>
      <c r="D160" s="1" t="s">
        <v>13</v>
      </c>
      <c r="E160" s="1" t="s">
        <v>14</v>
      </c>
      <c r="F160" s="1" t="s">
        <v>19</v>
      </c>
      <c r="G160" s="1" t="s">
        <v>16</v>
      </c>
      <c r="J160" s="6">
        <f t="shared" si="0"/>
        <v>4</v>
      </c>
      <c r="K160" s="1" t="s">
        <v>19</v>
      </c>
    </row>
    <row r="161" spans="1:12" ht="15.75" customHeight="1" x14ac:dyDescent="0.2">
      <c r="A161" s="1">
        <v>43</v>
      </c>
      <c r="B161" s="18">
        <v>45548</v>
      </c>
      <c r="C161" s="1">
        <v>160</v>
      </c>
      <c r="D161" s="1" t="s">
        <v>12</v>
      </c>
      <c r="E161" s="1" t="s">
        <v>13</v>
      </c>
      <c r="F161" s="1" t="s">
        <v>14</v>
      </c>
      <c r="G161" s="1" t="s">
        <v>16</v>
      </c>
      <c r="H161" s="1" t="s">
        <v>19</v>
      </c>
      <c r="J161" s="6">
        <f t="shared" si="0"/>
        <v>5</v>
      </c>
      <c r="K161" s="1" t="s">
        <v>14</v>
      </c>
      <c r="L161" s="1" t="s">
        <v>23</v>
      </c>
    </row>
    <row r="162" spans="1:12" ht="15.75" customHeight="1" x14ac:dyDescent="0.2">
      <c r="A162" s="1">
        <v>43</v>
      </c>
      <c r="B162" s="18">
        <v>45548</v>
      </c>
      <c r="C162" s="1">
        <v>161</v>
      </c>
      <c r="D162" s="1" t="s">
        <v>12</v>
      </c>
      <c r="E162" s="1" t="s">
        <v>13</v>
      </c>
      <c r="F162" s="1" t="s">
        <v>14</v>
      </c>
      <c r="G162" s="1" t="s">
        <v>16</v>
      </c>
      <c r="H162" s="1" t="s">
        <v>19</v>
      </c>
      <c r="J162" s="6">
        <f t="shared" si="0"/>
        <v>5</v>
      </c>
      <c r="K162" s="1" t="s">
        <v>14</v>
      </c>
      <c r="L162" s="1" t="s">
        <v>23</v>
      </c>
    </row>
    <row r="163" spans="1:12" ht="15.75" customHeight="1" x14ac:dyDescent="0.2">
      <c r="A163" s="1">
        <v>43</v>
      </c>
      <c r="B163" s="18">
        <v>45548</v>
      </c>
      <c r="C163" s="1">
        <v>162</v>
      </c>
      <c r="D163" s="1" t="s">
        <v>12</v>
      </c>
      <c r="E163" s="1" t="s">
        <v>13</v>
      </c>
      <c r="F163" s="1" t="s">
        <v>14</v>
      </c>
      <c r="G163" s="1" t="s">
        <v>16</v>
      </c>
      <c r="H163" s="1" t="s">
        <v>19</v>
      </c>
      <c r="J163" s="6">
        <f t="shared" si="0"/>
        <v>5</v>
      </c>
      <c r="K163" s="1" t="s">
        <v>14</v>
      </c>
      <c r="L163" s="1" t="s">
        <v>23</v>
      </c>
    </row>
    <row r="164" spans="1:12" ht="15.75" customHeight="1" x14ac:dyDescent="0.2">
      <c r="A164" s="1">
        <v>43</v>
      </c>
      <c r="B164" s="18">
        <v>45548</v>
      </c>
      <c r="C164" s="1">
        <v>163</v>
      </c>
      <c r="D164" s="1" t="s">
        <v>12</v>
      </c>
      <c r="E164" s="1" t="s">
        <v>13</v>
      </c>
      <c r="F164" s="1" t="s">
        <v>14</v>
      </c>
      <c r="G164" s="1" t="s">
        <v>16</v>
      </c>
      <c r="H164" s="1" t="s">
        <v>19</v>
      </c>
      <c r="J164" s="6">
        <f t="shared" si="0"/>
        <v>5</v>
      </c>
      <c r="K164" s="1" t="s">
        <v>14</v>
      </c>
      <c r="L164" s="1" t="s">
        <v>23</v>
      </c>
    </row>
    <row r="165" spans="1:12" ht="15.75" customHeight="1" x14ac:dyDescent="0.2">
      <c r="A165" s="1">
        <v>44</v>
      </c>
      <c r="B165" s="18">
        <v>45555</v>
      </c>
      <c r="C165" s="1">
        <v>164</v>
      </c>
      <c r="D165" s="1" t="s">
        <v>12</v>
      </c>
      <c r="E165" s="1" t="s">
        <v>13</v>
      </c>
      <c r="F165" s="1" t="s">
        <v>16</v>
      </c>
      <c r="G165" s="1" t="s">
        <v>21</v>
      </c>
      <c r="J165" s="6">
        <f t="shared" si="0"/>
        <v>4</v>
      </c>
      <c r="K165" s="1" t="s">
        <v>12</v>
      </c>
    </row>
    <row r="166" spans="1:12" ht="15.75" customHeight="1" x14ac:dyDescent="0.2">
      <c r="A166" s="1">
        <v>44</v>
      </c>
      <c r="B166" s="18">
        <v>45555</v>
      </c>
      <c r="C166" s="1">
        <v>165</v>
      </c>
      <c r="D166" s="1" t="s">
        <v>12</v>
      </c>
      <c r="E166" s="1" t="s">
        <v>13</v>
      </c>
      <c r="F166" s="1" t="s">
        <v>16</v>
      </c>
      <c r="G166" s="1" t="s">
        <v>21</v>
      </c>
      <c r="J166" s="6">
        <f t="shared" si="0"/>
        <v>4</v>
      </c>
      <c r="K166" s="1" t="s">
        <v>12</v>
      </c>
    </row>
    <row r="167" spans="1:12" ht="15.75" customHeight="1" x14ac:dyDescent="0.2">
      <c r="A167" s="1">
        <v>44</v>
      </c>
      <c r="B167" s="18">
        <v>45555</v>
      </c>
      <c r="C167" s="1">
        <v>166</v>
      </c>
      <c r="D167" s="1" t="s">
        <v>12</v>
      </c>
      <c r="E167" s="1" t="s">
        <v>13</v>
      </c>
      <c r="F167" s="1" t="s">
        <v>16</v>
      </c>
      <c r="G167" s="1" t="s">
        <v>21</v>
      </c>
      <c r="H167" s="1" t="s">
        <v>15</v>
      </c>
      <c r="J167" s="6">
        <f t="shared" si="0"/>
        <v>5</v>
      </c>
      <c r="K167" s="1" t="s">
        <v>12</v>
      </c>
    </row>
    <row r="168" spans="1:12" ht="15.75" customHeight="1" x14ac:dyDescent="0.2">
      <c r="A168" s="1">
        <v>45</v>
      </c>
      <c r="B168" s="18">
        <v>45561</v>
      </c>
      <c r="C168" s="1">
        <v>167</v>
      </c>
      <c r="D168" s="1" t="s">
        <v>12</v>
      </c>
      <c r="E168" s="1" t="s">
        <v>13</v>
      </c>
      <c r="F168" s="1" t="s">
        <v>14</v>
      </c>
      <c r="G168" s="1" t="s">
        <v>19</v>
      </c>
      <c r="J168" s="6">
        <f t="shared" si="0"/>
        <v>4</v>
      </c>
      <c r="K168" s="1" t="s">
        <v>12</v>
      </c>
    </row>
    <row r="169" spans="1:12" ht="15.75" customHeight="1" x14ac:dyDescent="0.2">
      <c r="A169" s="1">
        <v>45</v>
      </c>
      <c r="B169" s="18">
        <v>45561</v>
      </c>
      <c r="C169" s="1">
        <v>168</v>
      </c>
      <c r="D169" s="1" t="s">
        <v>12</v>
      </c>
      <c r="E169" s="1" t="s">
        <v>13</v>
      </c>
      <c r="F169" s="1" t="s">
        <v>14</v>
      </c>
      <c r="G169" s="1" t="s">
        <v>19</v>
      </c>
      <c r="J169" s="6">
        <f t="shared" si="0"/>
        <v>4</v>
      </c>
      <c r="K169" s="1" t="s">
        <v>12</v>
      </c>
    </row>
    <row r="170" spans="1:12" ht="15.75" customHeight="1" x14ac:dyDescent="0.2">
      <c r="A170" s="1">
        <v>45</v>
      </c>
      <c r="B170" s="18">
        <v>45561</v>
      </c>
      <c r="C170" s="1">
        <v>169</v>
      </c>
      <c r="D170" s="1" t="s">
        <v>12</v>
      </c>
      <c r="E170" s="1" t="s">
        <v>13</v>
      </c>
      <c r="F170" s="1" t="s">
        <v>14</v>
      </c>
      <c r="G170" s="1" t="s">
        <v>19</v>
      </c>
      <c r="J170" s="6">
        <f t="shared" si="0"/>
        <v>4</v>
      </c>
      <c r="K170" s="1" t="s">
        <v>12</v>
      </c>
    </row>
    <row r="171" spans="1:12" ht="15.75" customHeight="1" x14ac:dyDescent="0.2">
      <c r="A171" s="1">
        <v>46</v>
      </c>
      <c r="B171" s="18">
        <v>45569</v>
      </c>
      <c r="C171" s="1">
        <v>170</v>
      </c>
      <c r="D171" s="1" t="s">
        <v>12</v>
      </c>
      <c r="E171" s="1" t="s">
        <v>13</v>
      </c>
      <c r="F171" s="1" t="s">
        <v>14</v>
      </c>
      <c r="G171" s="1" t="s">
        <v>16</v>
      </c>
      <c r="J171" s="6">
        <f t="shared" si="0"/>
        <v>4</v>
      </c>
      <c r="K171" s="1" t="s">
        <v>14</v>
      </c>
    </row>
    <row r="172" spans="1:12" ht="15.75" customHeight="1" x14ac:dyDescent="0.2">
      <c r="A172" s="1">
        <v>46</v>
      </c>
      <c r="B172" s="18">
        <v>45569</v>
      </c>
      <c r="C172" s="1">
        <v>171</v>
      </c>
      <c r="D172" s="1" t="s">
        <v>12</v>
      </c>
      <c r="E172" s="1" t="s">
        <v>13</v>
      </c>
      <c r="F172" s="1" t="s">
        <v>14</v>
      </c>
      <c r="G172" s="1" t="s">
        <v>16</v>
      </c>
      <c r="J172" s="6">
        <f t="shared" si="0"/>
        <v>4</v>
      </c>
      <c r="K172" s="1" t="s">
        <v>14</v>
      </c>
    </row>
    <row r="173" spans="1:12" ht="15.75" customHeight="1" x14ac:dyDescent="0.2">
      <c r="A173" s="1">
        <v>47</v>
      </c>
      <c r="B173" s="18">
        <v>45573</v>
      </c>
      <c r="C173" s="1">
        <v>172</v>
      </c>
      <c r="D173" s="1" t="s">
        <v>13</v>
      </c>
      <c r="E173" s="1" t="s">
        <v>14</v>
      </c>
      <c r="F173" s="1" t="s">
        <v>19</v>
      </c>
      <c r="G173" s="1" t="s">
        <v>16</v>
      </c>
      <c r="J173" s="6">
        <f t="shared" si="0"/>
        <v>4</v>
      </c>
      <c r="K173" s="1" t="s">
        <v>19</v>
      </c>
    </row>
    <row r="174" spans="1:12" ht="15.75" customHeight="1" x14ac:dyDescent="0.2">
      <c r="A174" s="1">
        <v>47</v>
      </c>
      <c r="B174" s="18">
        <v>45573</v>
      </c>
      <c r="C174" s="1">
        <v>173</v>
      </c>
      <c r="D174" s="1" t="s">
        <v>12</v>
      </c>
      <c r="E174" s="1" t="s">
        <v>13</v>
      </c>
      <c r="F174" s="1" t="s">
        <v>14</v>
      </c>
      <c r="G174" s="1" t="s">
        <v>16</v>
      </c>
      <c r="H174" s="1" t="s">
        <v>19</v>
      </c>
      <c r="J174" s="6">
        <f t="shared" si="0"/>
        <v>5</v>
      </c>
      <c r="K174" s="1" t="s">
        <v>19</v>
      </c>
      <c r="L174" s="1" t="s">
        <v>23</v>
      </c>
    </row>
    <row r="175" spans="1:12" ht="15.75" customHeight="1" x14ac:dyDescent="0.2">
      <c r="A175" s="1">
        <v>47</v>
      </c>
      <c r="B175" s="18">
        <v>45573</v>
      </c>
      <c r="C175" s="1">
        <v>174</v>
      </c>
      <c r="D175" s="1" t="s">
        <v>12</v>
      </c>
      <c r="E175" s="1" t="s">
        <v>13</v>
      </c>
      <c r="F175" s="1" t="s">
        <v>14</v>
      </c>
      <c r="G175" s="1" t="s">
        <v>16</v>
      </c>
      <c r="H175" s="1" t="s">
        <v>19</v>
      </c>
      <c r="J175" s="6">
        <f t="shared" si="0"/>
        <v>5</v>
      </c>
      <c r="K175" s="1" t="s">
        <v>19</v>
      </c>
      <c r="L175" s="1" t="s">
        <v>23</v>
      </c>
    </row>
    <row r="176" spans="1:12" ht="15.75" customHeight="1" x14ac:dyDescent="0.2">
      <c r="A176" s="1">
        <v>47</v>
      </c>
      <c r="B176" s="18">
        <v>45573</v>
      </c>
      <c r="C176" s="1">
        <v>175</v>
      </c>
      <c r="D176" s="1" t="s">
        <v>12</v>
      </c>
      <c r="E176" s="1" t="s">
        <v>13</v>
      </c>
      <c r="F176" s="1" t="s">
        <v>14</v>
      </c>
      <c r="G176" s="1" t="s">
        <v>16</v>
      </c>
      <c r="H176" s="1" t="s">
        <v>19</v>
      </c>
      <c r="J176" s="6">
        <f t="shared" si="0"/>
        <v>5</v>
      </c>
      <c r="K176" s="1" t="s">
        <v>19</v>
      </c>
      <c r="L176" s="1" t="s">
        <v>23</v>
      </c>
    </row>
    <row r="177" spans="1:12" ht="15.75" customHeight="1" x14ac:dyDescent="0.2">
      <c r="A177" s="1">
        <v>48</v>
      </c>
      <c r="B177" s="18">
        <v>45592</v>
      </c>
      <c r="C177" s="1">
        <v>176</v>
      </c>
      <c r="D177" s="1" t="s">
        <v>13</v>
      </c>
      <c r="E177" s="1" t="s">
        <v>14</v>
      </c>
      <c r="F177" s="1" t="s">
        <v>16</v>
      </c>
      <c r="G177" s="1" t="s">
        <v>19</v>
      </c>
      <c r="J177" s="6">
        <f t="shared" si="0"/>
        <v>4</v>
      </c>
      <c r="K177" s="1" t="s">
        <v>14</v>
      </c>
    </row>
    <row r="178" spans="1:12" ht="15.75" customHeight="1" x14ac:dyDescent="0.2">
      <c r="A178" s="1">
        <v>48</v>
      </c>
      <c r="B178" s="18">
        <v>45592</v>
      </c>
      <c r="C178" s="1">
        <v>177</v>
      </c>
      <c r="D178" s="1" t="s">
        <v>13</v>
      </c>
      <c r="E178" s="1" t="s">
        <v>14</v>
      </c>
      <c r="F178" s="1" t="s">
        <v>16</v>
      </c>
      <c r="G178" s="1" t="s">
        <v>19</v>
      </c>
      <c r="J178" s="6">
        <f t="shared" si="0"/>
        <v>4</v>
      </c>
      <c r="K178" s="1" t="s">
        <v>14</v>
      </c>
    </row>
    <row r="179" spans="1:12" ht="15.75" customHeight="1" x14ac:dyDescent="0.2">
      <c r="A179" s="1">
        <v>48</v>
      </c>
      <c r="B179" s="18">
        <v>45592</v>
      </c>
      <c r="C179" s="1">
        <v>178</v>
      </c>
      <c r="D179" s="1" t="s">
        <v>13</v>
      </c>
      <c r="E179" s="1" t="s">
        <v>14</v>
      </c>
      <c r="F179" s="1" t="s">
        <v>16</v>
      </c>
      <c r="G179" s="1" t="s">
        <v>19</v>
      </c>
      <c r="J179" s="6">
        <f t="shared" si="0"/>
        <v>4</v>
      </c>
      <c r="K179" s="1" t="s">
        <v>14</v>
      </c>
    </row>
    <row r="180" spans="1:12" ht="15.75" customHeight="1" x14ac:dyDescent="0.2">
      <c r="A180" s="1">
        <v>48</v>
      </c>
      <c r="B180" s="18">
        <v>45592</v>
      </c>
      <c r="C180" s="1">
        <v>179</v>
      </c>
      <c r="D180" s="1" t="s">
        <v>13</v>
      </c>
      <c r="E180" s="1" t="s">
        <v>14</v>
      </c>
      <c r="F180" s="1" t="s">
        <v>16</v>
      </c>
      <c r="G180" s="1" t="s">
        <v>19</v>
      </c>
      <c r="J180" s="6">
        <f t="shared" si="0"/>
        <v>4</v>
      </c>
      <c r="K180" s="1" t="s">
        <v>14</v>
      </c>
    </row>
    <row r="181" spans="1:12" ht="15.75" customHeight="1" x14ac:dyDescent="0.2">
      <c r="A181" s="1">
        <v>48</v>
      </c>
      <c r="B181" s="18">
        <v>45592</v>
      </c>
      <c r="C181" s="1">
        <v>180</v>
      </c>
      <c r="D181" s="1" t="s">
        <v>13</v>
      </c>
      <c r="E181" s="1" t="s">
        <v>14</v>
      </c>
      <c r="F181" s="1" t="s">
        <v>16</v>
      </c>
      <c r="G181" s="1" t="s">
        <v>19</v>
      </c>
      <c r="J181" s="6">
        <f t="shared" si="0"/>
        <v>4</v>
      </c>
      <c r="K181" s="1" t="s">
        <v>14</v>
      </c>
    </row>
    <row r="182" spans="1:12" ht="15.75" customHeight="1" x14ac:dyDescent="0.2">
      <c r="A182" s="1">
        <v>49</v>
      </c>
      <c r="B182" s="18">
        <v>45603</v>
      </c>
      <c r="C182" s="1">
        <v>181</v>
      </c>
      <c r="D182" s="1" t="s">
        <v>12</v>
      </c>
      <c r="E182" s="1" t="s">
        <v>13</v>
      </c>
      <c r="F182" s="1" t="s">
        <v>14</v>
      </c>
      <c r="G182" s="1" t="s">
        <v>19</v>
      </c>
      <c r="J182" s="6">
        <f t="shared" si="0"/>
        <v>4</v>
      </c>
      <c r="K182" s="1" t="s">
        <v>12</v>
      </c>
    </row>
    <row r="183" spans="1:12" ht="15.75" customHeight="1" x14ac:dyDescent="0.2">
      <c r="A183" s="1">
        <v>49</v>
      </c>
      <c r="B183" s="18">
        <v>45603</v>
      </c>
      <c r="C183" s="1">
        <v>182</v>
      </c>
      <c r="D183" s="1" t="s">
        <v>12</v>
      </c>
      <c r="E183" s="1" t="s">
        <v>13</v>
      </c>
      <c r="F183" s="1" t="s">
        <v>14</v>
      </c>
      <c r="G183" s="1" t="s">
        <v>19</v>
      </c>
      <c r="H183" s="1" t="s">
        <v>15</v>
      </c>
      <c r="J183" s="6">
        <f t="shared" si="0"/>
        <v>5</v>
      </c>
      <c r="K183" s="1" t="s">
        <v>12</v>
      </c>
    </row>
    <row r="184" spans="1:12" ht="15.75" customHeight="1" x14ac:dyDescent="0.2">
      <c r="A184" s="1">
        <v>50</v>
      </c>
      <c r="B184" s="18">
        <v>45610</v>
      </c>
      <c r="C184" s="1">
        <v>183</v>
      </c>
      <c r="D184" s="1" t="s">
        <v>12</v>
      </c>
      <c r="E184" s="1" t="s">
        <v>13</v>
      </c>
      <c r="F184" s="1" t="s">
        <v>14</v>
      </c>
      <c r="G184" s="1" t="s">
        <v>19</v>
      </c>
      <c r="H184" s="1" t="s">
        <v>21</v>
      </c>
      <c r="J184" s="6">
        <f t="shared" si="0"/>
        <v>5</v>
      </c>
      <c r="K184" s="1" t="s">
        <v>19</v>
      </c>
    </row>
    <row r="185" spans="1:12" ht="15.75" customHeight="1" x14ac:dyDescent="0.2">
      <c r="A185" s="1">
        <v>50</v>
      </c>
      <c r="B185" s="18">
        <v>45610</v>
      </c>
      <c r="C185" s="1">
        <v>184</v>
      </c>
      <c r="D185" s="1" t="s">
        <v>12</v>
      </c>
      <c r="E185" s="1" t="s">
        <v>13</v>
      </c>
      <c r="F185" s="1" t="s">
        <v>14</v>
      </c>
      <c r="G185" s="1" t="s">
        <v>19</v>
      </c>
      <c r="H185" s="1" t="s">
        <v>21</v>
      </c>
      <c r="J185" s="6">
        <f t="shared" si="0"/>
        <v>5</v>
      </c>
      <c r="K185" s="1" t="s">
        <v>19</v>
      </c>
    </row>
    <row r="186" spans="1:12" ht="15.75" customHeight="1" x14ac:dyDescent="0.2">
      <c r="A186" s="1">
        <v>50</v>
      </c>
      <c r="B186" s="18">
        <v>45610</v>
      </c>
      <c r="C186" s="1">
        <v>185</v>
      </c>
      <c r="D186" s="1" t="s">
        <v>12</v>
      </c>
      <c r="E186" s="1" t="s">
        <v>13</v>
      </c>
      <c r="F186" s="1" t="s">
        <v>14</v>
      </c>
      <c r="G186" s="1" t="s">
        <v>19</v>
      </c>
      <c r="H186" s="1" t="s">
        <v>16</v>
      </c>
      <c r="I186" s="1" t="s">
        <v>21</v>
      </c>
      <c r="J186" s="6">
        <f t="shared" si="0"/>
        <v>6</v>
      </c>
      <c r="K186" s="1" t="s">
        <v>19</v>
      </c>
    </row>
    <row r="187" spans="1:12" ht="15.75" customHeight="1" x14ac:dyDescent="0.2">
      <c r="A187" s="1">
        <v>51</v>
      </c>
      <c r="B187" s="18">
        <v>45626</v>
      </c>
      <c r="C187" s="1">
        <v>186</v>
      </c>
      <c r="D187" s="1" t="s">
        <v>12</v>
      </c>
      <c r="E187" s="1" t="s">
        <v>13</v>
      </c>
      <c r="F187" s="1" t="s">
        <v>14</v>
      </c>
      <c r="G187" s="1" t="s">
        <v>16</v>
      </c>
      <c r="J187" s="6">
        <f t="shared" si="0"/>
        <v>4</v>
      </c>
      <c r="K187" s="1" t="s">
        <v>16</v>
      </c>
    </row>
    <row r="188" spans="1:12" ht="15.75" customHeight="1" x14ac:dyDescent="0.2">
      <c r="A188" s="1">
        <v>51</v>
      </c>
      <c r="B188" s="18">
        <v>45626</v>
      </c>
      <c r="C188" s="1">
        <v>187</v>
      </c>
      <c r="D188" s="1" t="s">
        <v>12</v>
      </c>
      <c r="E188" s="1" t="s">
        <v>13</v>
      </c>
      <c r="F188" s="1" t="s">
        <v>14</v>
      </c>
      <c r="G188" s="1" t="s">
        <v>16</v>
      </c>
      <c r="J188" s="6">
        <f t="shared" si="0"/>
        <v>4</v>
      </c>
      <c r="K188" s="1" t="s">
        <v>16</v>
      </c>
    </row>
    <row r="189" spans="1:12" ht="15.75" customHeight="1" x14ac:dyDescent="0.2">
      <c r="A189" s="1">
        <v>51</v>
      </c>
      <c r="B189" s="18">
        <v>45626</v>
      </c>
      <c r="C189" s="1">
        <v>188</v>
      </c>
      <c r="D189" s="1" t="s">
        <v>12</v>
      </c>
      <c r="E189" s="1" t="s">
        <v>13</v>
      </c>
      <c r="F189" s="1" t="s">
        <v>14</v>
      </c>
      <c r="G189" s="1" t="s">
        <v>16</v>
      </c>
      <c r="J189" s="6">
        <f t="shared" si="0"/>
        <v>4</v>
      </c>
      <c r="K189" s="1" t="s">
        <v>16</v>
      </c>
    </row>
    <row r="190" spans="1:12" ht="15.75" customHeight="1" x14ac:dyDescent="0.2">
      <c r="A190" s="1">
        <v>51</v>
      </c>
      <c r="B190" s="18">
        <v>45626</v>
      </c>
      <c r="C190" s="1">
        <v>189</v>
      </c>
      <c r="D190" s="1" t="s">
        <v>12</v>
      </c>
      <c r="E190" s="1" t="s">
        <v>13</v>
      </c>
      <c r="F190" s="1" t="s">
        <v>14</v>
      </c>
      <c r="G190" s="1" t="s">
        <v>16</v>
      </c>
      <c r="J190" s="6">
        <f t="shared" si="0"/>
        <v>4</v>
      </c>
      <c r="K190" s="1" t="s">
        <v>16</v>
      </c>
    </row>
    <row r="191" spans="1:12" ht="15.75" customHeight="1" x14ac:dyDescent="0.2">
      <c r="A191" s="1">
        <v>51</v>
      </c>
      <c r="B191" s="18">
        <v>45626</v>
      </c>
      <c r="C191" s="1">
        <v>190</v>
      </c>
      <c r="D191" s="1" t="s">
        <v>12</v>
      </c>
      <c r="E191" s="1" t="s">
        <v>13</v>
      </c>
      <c r="F191" s="1" t="s">
        <v>14</v>
      </c>
      <c r="G191" s="1" t="s">
        <v>16</v>
      </c>
      <c r="J191" s="6">
        <f t="shared" si="0"/>
        <v>4</v>
      </c>
      <c r="K191" s="1" t="s">
        <v>16</v>
      </c>
    </row>
    <row r="192" spans="1:12" ht="15.75" customHeight="1" x14ac:dyDescent="0.2">
      <c r="A192" s="1">
        <v>52</v>
      </c>
      <c r="B192" s="18">
        <v>45628</v>
      </c>
      <c r="C192" s="1">
        <v>191</v>
      </c>
      <c r="D192" s="1" t="s">
        <v>12</v>
      </c>
      <c r="E192" s="1" t="s">
        <v>13</v>
      </c>
      <c r="F192" s="1" t="s">
        <v>14</v>
      </c>
      <c r="G192" s="1" t="s">
        <v>16</v>
      </c>
      <c r="H192" s="1" t="s">
        <v>19</v>
      </c>
      <c r="J192" s="6">
        <f t="shared" si="0"/>
        <v>5</v>
      </c>
      <c r="K192" s="1" t="s">
        <v>14</v>
      </c>
      <c r="L192" s="1" t="s">
        <v>23</v>
      </c>
    </row>
    <row r="193" spans="1:12" ht="15.75" customHeight="1" x14ac:dyDescent="0.2">
      <c r="A193" s="1">
        <v>52</v>
      </c>
      <c r="B193" s="18">
        <v>45628</v>
      </c>
      <c r="C193" s="1">
        <v>192</v>
      </c>
      <c r="D193" s="1" t="s">
        <v>12</v>
      </c>
      <c r="E193" s="1" t="s">
        <v>13</v>
      </c>
      <c r="F193" s="1" t="s">
        <v>14</v>
      </c>
      <c r="G193" s="1" t="s">
        <v>16</v>
      </c>
      <c r="H193" s="1" t="s">
        <v>19</v>
      </c>
      <c r="J193" s="6">
        <f t="shared" si="0"/>
        <v>5</v>
      </c>
      <c r="K193" s="1" t="s">
        <v>14</v>
      </c>
      <c r="L193" s="1" t="s">
        <v>23</v>
      </c>
    </row>
    <row r="194" spans="1:12" ht="15.75" customHeight="1" x14ac:dyDescent="0.2">
      <c r="A194" s="1">
        <v>52</v>
      </c>
      <c r="B194" s="18">
        <v>45628</v>
      </c>
      <c r="C194" s="1">
        <v>193</v>
      </c>
      <c r="D194" s="1" t="s">
        <v>12</v>
      </c>
      <c r="E194" s="1" t="s">
        <v>13</v>
      </c>
      <c r="F194" s="1" t="s">
        <v>14</v>
      </c>
      <c r="G194" s="1" t="s">
        <v>16</v>
      </c>
      <c r="H194" s="1" t="s">
        <v>19</v>
      </c>
      <c r="J194" s="6">
        <f t="shared" si="0"/>
        <v>5</v>
      </c>
      <c r="K194" s="1" t="s">
        <v>14</v>
      </c>
      <c r="L194" s="1" t="s">
        <v>23</v>
      </c>
    </row>
    <row r="195" spans="1:12" ht="15.75" customHeight="1" x14ac:dyDescent="0.2">
      <c r="A195" s="1">
        <v>53</v>
      </c>
      <c r="B195" s="18">
        <v>45641</v>
      </c>
      <c r="C195" s="1">
        <v>194</v>
      </c>
      <c r="D195" s="1" t="s">
        <v>12</v>
      </c>
      <c r="E195" s="1" t="s">
        <v>13</v>
      </c>
      <c r="F195" s="1" t="s">
        <v>14</v>
      </c>
      <c r="G195" s="1" t="s">
        <v>19</v>
      </c>
      <c r="H195" s="1" t="s">
        <v>16</v>
      </c>
      <c r="J195" s="6">
        <f t="shared" si="0"/>
        <v>5</v>
      </c>
      <c r="K195" s="1" t="s">
        <v>13</v>
      </c>
      <c r="L195" s="1" t="s">
        <v>23</v>
      </c>
    </row>
    <row r="196" spans="1:12" ht="15.75" customHeight="1" x14ac:dyDescent="0.2">
      <c r="A196" s="1">
        <v>53</v>
      </c>
      <c r="B196" s="18">
        <v>45641</v>
      </c>
      <c r="C196" s="1">
        <v>195</v>
      </c>
      <c r="D196" s="1" t="s">
        <v>12</v>
      </c>
      <c r="E196" s="1" t="s">
        <v>13</v>
      </c>
      <c r="F196" s="1" t="s">
        <v>14</v>
      </c>
      <c r="G196" s="1" t="s">
        <v>19</v>
      </c>
      <c r="H196" s="1" t="s">
        <v>16</v>
      </c>
      <c r="J196" s="6">
        <f t="shared" si="0"/>
        <v>5</v>
      </c>
      <c r="K196" s="1" t="s">
        <v>13</v>
      </c>
      <c r="L196" s="1" t="s">
        <v>23</v>
      </c>
    </row>
    <row r="197" spans="1:12" ht="15.75" customHeight="1" x14ac:dyDescent="0.2">
      <c r="A197" s="1">
        <v>53</v>
      </c>
      <c r="B197" s="18">
        <v>45641</v>
      </c>
      <c r="C197" s="1">
        <v>196</v>
      </c>
      <c r="D197" s="1" t="s">
        <v>12</v>
      </c>
      <c r="E197" s="1" t="s">
        <v>13</v>
      </c>
      <c r="F197" s="1" t="s">
        <v>14</v>
      </c>
      <c r="G197" s="1" t="s">
        <v>19</v>
      </c>
      <c r="H197" s="1" t="s">
        <v>16</v>
      </c>
      <c r="J197" s="6">
        <f t="shared" si="0"/>
        <v>5</v>
      </c>
      <c r="K197" s="1" t="s">
        <v>13</v>
      </c>
      <c r="L197" s="1" t="s">
        <v>23</v>
      </c>
    </row>
    <row r="198" spans="1:12" ht="15.75" customHeight="1" x14ac:dyDescent="0.2">
      <c r="A198" s="1">
        <v>53</v>
      </c>
      <c r="B198" s="18">
        <v>45641</v>
      </c>
      <c r="C198" s="1">
        <v>197</v>
      </c>
      <c r="D198" s="1" t="s">
        <v>12</v>
      </c>
      <c r="E198" s="1" t="s">
        <v>13</v>
      </c>
      <c r="F198" s="1" t="s">
        <v>14</v>
      </c>
      <c r="G198" s="1" t="s">
        <v>19</v>
      </c>
      <c r="H198" s="1" t="s">
        <v>16</v>
      </c>
      <c r="J198" s="6">
        <f t="shared" si="0"/>
        <v>5</v>
      </c>
      <c r="K198" s="1" t="s">
        <v>13</v>
      </c>
      <c r="L198" s="1" t="s">
        <v>23</v>
      </c>
    </row>
    <row r="199" spans="1:12" ht="15.75" customHeight="1" x14ac:dyDescent="0.2">
      <c r="A199" s="1">
        <v>53</v>
      </c>
      <c r="B199" s="18">
        <v>45641</v>
      </c>
      <c r="C199" s="1">
        <v>198</v>
      </c>
      <c r="D199" s="1" t="s">
        <v>12</v>
      </c>
      <c r="E199" s="1" t="s">
        <v>13</v>
      </c>
      <c r="F199" s="1" t="s">
        <v>14</v>
      </c>
      <c r="G199" s="1" t="s">
        <v>19</v>
      </c>
      <c r="H199" s="1" t="s">
        <v>16</v>
      </c>
      <c r="J199" s="6">
        <f t="shared" si="0"/>
        <v>5</v>
      </c>
      <c r="K199" s="1" t="s">
        <v>13</v>
      </c>
      <c r="L199" s="1" t="s">
        <v>23</v>
      </c>
    </row>
    <row r="200" spans="1:12" ht="15.75" customHeight="1" x14ac:dyDescent="0.2">
      <c r="A200" s="1">
        <v>54</v>
      </c>
      <c r="B200" s="18">
        <v>45649</v>
      </c>
      <c r="C200" s="1">
        <v>199</v>
      </c>
      <c r="D200" s="1" t="s">
        <v>12</v>
      </c>
      <c r="E200" s="1" t="s">
        <v>13</v>
      </c>
      <c r="F200" s="1" t="s">
        <v>14</v>
      </c>
      <c r="G200" s="1" t="s">
        <v>19</v>
      </c>
      <c r="H200" s="1" t="s">
        <v>16</v>
      </c>
      <c r="J200" s="6">
        <f t="shared" si="0"/>
        <v>5</v>
      </c>
      <c r="K200" s="1" t="s">
        <v>14</v>
      </c>
      <c r="L200" s="1" t="s">
        <v>23</v>
      </c>
    </row>
    <row r="201" spans="1:12" ht="15.75" customHeight="1" x14ac:dyDescent="0.2">
      <c r="A201" s="1">
        <v>54</v>
      </c>
      <c r="B201" s="18">
        <v>45649</v>
      </c>
      <c r="C201" s="1">
        <v>200</v>
      </c>
      <c r="D201" s="1" t="s">
        <v>12</v>
      </c>
      <c r="E201" s="1" t="s">
        <v>13</v>
      </c>
      <c r="F201" s="1" t="s">
        <v>14</v>
      </c>
      <c r="G201" s="1" t="s">
        <v>19</v>
      </c>
      <c r="H201" s="1" t="s">
        <v>16</v>
      </c>
      <c r="J201" s="6">
        <f t="shared" si="0"/>
        <v>5</v>
      </c>
      <c r="K201" s="1" t="s">
        <v>14</v>
      </c>
      <c r="L201" s="1" t="s">
        <v>23</v>
      </c>
    </row>
    <row r="202" spans="1:12" ht="15.75" customHeight="1" x14ac:dyDescent="0.2">
      <c r="A202" s="1">
        <v>54</v>
      </c>
      <c r="B202" s="18">
        <v>45649</v>
      </c>
      <c r="C202" s="1">
        <v>201</v>
      </c>
      <c r="D202" s="1" t="s">
        <v>12</v>
      </c>
      <c r="E202" s="1" t="s">
        <v>13</v>
      </c>
      <c r="F202" s="1" t="s">
        <v>14</v>
      </c>
      <c r="G202" s="1" t="s">
        <v>19</v>
      </c>
      <c r="H202" s="1" t="s">
        <v>16</v>
      </c>
      <c r="J202" s="6">
        <f t="shared" si="0"/>
        <v>5</v>
      </c>
      <c r="K202" s="1" t="s">
        <v>14</v>
      </c>
      <c r="L202" s="1" t="s">
        <v>23</v>
      </c>
    </row>
    <row r="203" spans="1:12" ht="15.75" customHeight="1" x14ac:dyDescent="0.2">
      <c r="A203" s="1">
        <v>55</v>
      </c>
      <c r="B203" s="18">
        <v>45652</v>
      </c>
      <c r="C203" s="1">
        <v>202</v>
      </c>
      <c r="D203" s="1" t="s">
        <v>12</v>
      </c>
      <c r="E203" s="1" t="s">
        <v>13</v>
      </c>
      <c r="F203" s="1" t="s">
        <v>14</v>
      </c>
      <c r="G203" s="1" t="s">
        <v>16</v>
      </c>
      <c r="J203" s="6">
        <f t="shared" si="0"/>
        <v>4</v>
      </c>
      <c r="K203" s="1" t="s">
        <v>14</v>
      </c>
    </row>
    <row r="204" spans="1:12" ht="15.75" customHeight="1" x14ac:dyDescent="0.2">
      <c r="A204" s="1">
        <v>55</v>
      </c>
      <c r="B204" s="18">
        <v>45652</v>
      </c>
      <c r="C204" s="1">
        <v>203</v>
      </c>
      <c r="D204" s="1" t="s">
        <v>12</v>
      </c>
      <c r="E204" s="1" t="s">
        <v>13</v>
      </c>
      <c r="F204" s="1" t="s">
        <v>14</v>
      </c>
      <c r="G204" s="1" t="s">
        <v>16</v>
      </c>
      <c r="H204" s="1" t="s">
        <v>19</v>
      </c>
      <c r="J204" s="6">
        <f t="shared" si="0"/>
        <v>5</v>
      </c>
      <c r="K204" s="1" t="s">
        <v>14</v>
      </c>
      <c r="L204" s="1" t="s">
        <v>23</v>
      </c>
    </row>
    <row r="205" spans="1:12" ht="15.75" customHeight="1" x14ac:dyDescent="0.2">
      <c r="A205" s="1">
        <v>55</v>
      </c>
      <c r="B205" s="18">
        <v>45652</v>
      </c>
      <c r="C205" s="1">
        <v>204</v>
      </c>
      <c r="D205" s="1" t="s">
        <v>12</v>
      </c>
      <c r="E205" s="1" t="s">
        <v>13</v>
      </c>
      <c r="F205" s="1" t="s">
        <v>14</v>
      </c>
      <c r="G205" s="1" t="s">
        <v>16</v>
      </c>
      <c r="H205" s="1" t="s">
        <v>19</v>
      </c>
      <c r="J205" s="6">
        <f t="shared" si="0"/>
        <v>5</v>
      </c>
      <c r="K205" s="1" t="s">
        <v>14</v>
      </c>
      <c r="L205" s="1" t="s">
        <v>23</v>
      </c>
    </row>
    <row r="206" spans="1:12" ht="15.75" customHeight="1" x14ac:dyDescent="0.2">
      <c r="A206" s="1">
        <v>55</v>
      </c>
      <c r="B206" s="18">
        <v>45652</v>
      </c>
      <c r="C206" s="1">
        <v>205</v>
      </c>
      <c r="D206" s="1" t="s">
        <v>12</v>
      </c>
      <c r="E206" s="1" t="s">
        <v>13</v>
      </c>
      <c r="F206" s="1" t="s">
        <v>14</v>
      </c>
      <c r="G206" s="1" t="s">
        <v>16</v>
      </c>
      <c r="H206" s="1" t="s">
        <v>19</v>
      </c>
      <c r="J206" s="6">
        <f t="shared" si="0"/>
        <v>5</v>
      </c>
      <c r="K206" s="1" t="s">
        <v>14</v>
      </c>
      <c r="L206" s="1" t="s">
        <v>23</v>
      </c>
    </row>
    <row r="207" spans="1:12" ht="15.75" customHeight="1" x14ac:dyDescent="0.2">
      <c r="A207" s="1">
        <v>55</v>
      </c>
      <c r="B207" s="18">
        <v>45652</v>
      </c>
      <c r="C207" s="1">
        <v>206</v>
      </c>
      <c r="D207" s="1" t="s">
        <v>12</v>
      </c>
      <c r="E207" s="1" t="s">
        <v>13</v>
      </c>
      <c r="F207" s="1" t="s">
        <v>14</v>
      </c>
      <c r="G207" s="1" t="s">
        <v>16</v>
      </c>
      <c r="H207" s="1"/>
      <c r="J207" s="6">
        <f t="shared" si="0"/>
        <v>4</v>
      </c>
      <c r="K207" s="1" t="s">
        <v>14</v>
      </c>
    </row>
    <row r="208" spans="1:12" ht="15.75" customHeight="1" x14ac:dyDescent="0.2">
      <c r="A208" s="1">
        <v>56</v>
      </c>
      <c r="B208" s="18">
        <v>45669</v>
      </c>
      <c r="C208" s="1">
        <v>207</v>
      </c>
      <c r="D208" s="1" t="s">
        <v>12</v>
      </c>
      <c r="E208" s="1" t="s">
        <v>13</v>
      </c>
      <c r="F208" s="1" t="s">
        <v>14</v>
      </c>
      <c r="G208" s="1" t="s">
        <v>16</v>
      </c>
      <c r="H208" s="1" t="s">
        <v>25</v>
      </c>
      <c r="J208" s="6">
        <f t="shared" si="0"/>
        <v>5</v>
      </c>
      <c r="K208" s="1" t="s">
        <v>16</v>
      </c>
    </row>
    <row r="209" spans="1:11" ht="15.75" customHeight="1" x14ac:dyDescent="0.2">
      <c r="A209" s="1">
        <v>56</v>
      </c>
      <c r="B209" s="18">
        <v>45669</v>
      </c>
      <c r="C209" s="1">
        <v>208</v>
      </c>
      <c r="D209" s="1" t="s">
        <v>12</v>
      </c>
      <c r="E209" s="1" t="s">
        <v>13</v>
      </c>
      <c r="F209" s="1" t="s">
        <v>14</v>
      </c>
      <c r="G209" s="1" t="s">
        <v>16</v>
      </c>
      <c r="J209" s="6">
        <f t="shared" si="0"/>
        <v>4</v>
      </c>
      <c r="K209" s="1" t="s">
        <v>16</v>
      </c>
    </row>
    <row r="210" spans="1:11" ht="15.75" customHeight="1" x14ac:dyDescent="0.2">
      <c r="A210" s="1">
        <v>56</v>
      </c>
      <c r="B210" s="20">
        <v>45669</v>
      </c>
      <c r="C210" s="1">
        <v>209</v>
      </c>
      <c r="D210" s="1" t="s">
        <v>12</v>
      </c>
      <c r="E210" s="1" t="s">
        <v>13</v>
      </c>
      <c r="F210" s="1" t="s">
        <v>14</v>
      </c>
      <c r="G210" s="1" t="s">
        <v>16</v>
      </c>
      <c r="J210" s="6">
        <f t="shared" si="0"/>
        <v>4</v>
      </c>
      <c r="K210" s="1" t="s">
        <v>16</v>
      </c>
    </row>
    <row r="211" spans="1:11" ht="15.75" customHeight="1" x14ac:dyDescent="0.2">
      <c r="A211" s="1">
        <v>56</v>
      </c>
      <c r="B211" s="18">
        <v>45669</v>
      </c>
      <c r="C211" s="1">
        <v>210</v>
      </c>
      <c r="D211" s="1" t="s">
        <v>12</v>
      </c>
      <c r="E211" s="1" t="s">
        <v>13</v>
      </c>
      <c r="F211" s="1" t="s">
        <v>14</v>
      </c>
      <c r="G211" s="1" t="s">
        <v>16</v>
      </c>
      <c r="J211" s="6">
        <f t="shared" si="0"/>
        <v>4</v>
      </c>
      <c r="K211" s="1" t="s">
        <v>16</v>
      </c>
    </row>
    <row r="212" spans="1:11" ht="15.75" customHeight="1" x14ac:dyDescent="0.2">
      <c r="A212" s="1">
        <v>57</v>
      </c>
      <c r="B212" s="18">
        <v>45674</v>
      </c>
      <c r="C212" s="1">
        <v>211</v>
      </c>
      <c r="D212" s="1" t="s">
        <v>12</v>
      </c>
      <c r="E212" s="1" t="s">
        <v>13</v>
      </c>
      <c r="F212" s="1" t="s">
        <v>16</v>
      </c>
      <c r="G212" s="1" t="s">
        <v>25</v>
      </c>
      <c r="J212" s="6">
        <f t="shared" si="0"/>
        <v>4</v>
      </c>
      <c r="K212" s="1" t="s">
        <v>12</v>
      </c>
    </row>
    <row r="213" spans="1:11" ht="15.75" customHeight="1" x14ac:dyDescent="0.2">
      <c r="A213" s="1">
        <v>57</v>
      </c>
      <c r="B213" s="18">
        <v>45674</v>
      </c>
      <c r="C213" s="1">
        <v>212</v>
      </c>
      <c r="D213" s="1" t="s">
        <v>12</v>
      </c>
      <c r="E213" s="1" t="s">
        <v>13</v>
      </c>
      <c r="F213" s="1" t="s">
        <v>16</v>
      </c>
      <c r="G213" s="1" t="s">
        <v>25</v>
      </c>
      <c r="J213" s="6">
        <f t="shared" si="0"/>
        <v>4</v>
      </c>
      <c r="K213" s="1" t="s">
        <v>12</v>
      </c>
    </row>
    <row r="214" spans="1:11" ht="15.75" customHeight="1" x14ac:dyDescent="0.2">
      <c r="A214" s="1">
        <v>57</v>
      </c>
      <c r="B214" s="18">
        <v>45674</v>
      </c>
      <c r="C214" s="1">
        <v>213</v>
      </c>
      <c r="D214" s="1" t="s">
        <v>12</v>
      </c>
      <c r="E214" s="1" t="s">
        <v>13</v>
      </c>
      <c r="F214" s="1" t="s">
        <v>16</v>
      </c>
      <c r="G214" s="1" t="s">
        <v>25</v>
      </c>
      <c r="J214" s="6">
        <f t="shared" si="0"/>
        <v>4</v>
      </c>
      <c r="K214" s="1" t="s">
        <v>12</v>
      </c>
    </row>
    <row r="215" spans="1:11" ht="15.75" customHeight="1" x14ac:dyDescent="0.2">
      <c r="A215" s="1">
        <v>57</v>
      </c>
      <c r="B215" s="18">
        <v>45674</v>
      </c>
      <c r="C215" s="1">
        <v>214</v>
      </c>
      <c r="D215" s="1" t="s">
        <v>12</v>
      </c>
      <c r="E215" s="1" t="s">
        <v>13</v>
      </c>
      <c r="F215" s="1" t="s">
        <v>16</v>
      </c>
      <c r="G215" s="1" t="s">
        <v>25</v>
      </c>
      <c r="J215" s="6">
        <f t="shared" si="0"/>
        <v>4</v>
      </c>
      <c r="K215" s="1" t="s">
        <v>12</v>
      </c>
    </row>
    <row r="216" spans="1:11" ht="15.75" customHeight="1" x14ac:dyDescent="0.2">
      <c r="A216" s="1">
        <v>57</v>
      </c>
      <c r="B216" s="18">
        <v>45674</v>
      </c>
      <c r="C216" s="1">
        <v>215</v>
      </c>
      <c r="D216" s="1" t="s">
        <v>12</v>
      </c>
      <c r="E216" s="1" t="s">
        <v>13</v>
      </c>
      <c r="F216" s="1" t="s">
        <v>16</v>
      </c>
      <c r="G216" s="1" t="s">
        <v>25</v>
      </c>
      <c r="J216" s="6">
        <f t="shared" si="0"/>
        <v>4</v>
      </c>
      <c r="K216" s="1" t="s">
        <v>12</v>
      </c>
    </row>
    <row r="217" spans="1:11" ht="15.75" customHeight="1" x14ac:dyDescent="0.2">
      <c r="A217" s="1">
        <v>57</v>
      </c>
      <c r="B217" s="18">
        <v>45674</v>
      </c>
      <c r="C217" s="1">
        <v>216</v>
      </c>
      <c r="D217" s="1" t="s">
        <v>12</v>
      </c>
      <c r="E217" s="1" t="s">
        <v>13</v>
      </c>
      <c r="F217" s="1" t="s">
        <v>16</v>
      </c>
      <c r="G217" s="1" t="s">
        <v>25</v>
      </c>
      <c r="J217" s="6">
        <f t="shared" si="0"/>
        <v>4</v>
      </c>
      <c r="K217" s="1" t="s">
        <v>12</v>
      </c>
    </row>
    <row r="218" spans="1:11" ht="15.75" customHeight="1" x14ac:dyDescent="0.2">
      <c r="A218" s="1">
        <v>58</v>
      </c>
      <c r="B218" s="18">
        <v>45679</v>
      </c>
      <c r="C218" s="1">
        <v>217</v>
      </c>
      <c r="D218" s="1" t="s">
        <v>12</v>
      </c>
      <c r="E218" s="1" t="s">
        <v>13</v>
      </c>
      <c r="F218" s="1" t="s">
        <v>16</v>
      </c>
      <c r="G218" s="1" t="s">
        <v>14</v>
      </c>
      <c r="J218" s="6">
        <f t="shared" si="0"/>
        <v>4</v>
      </c>
      <c r="K218" s="1" t="s">
        <v>14</v>
      </c>
    </row>
    <row r="219" spans="1:11" ht="15.75" customHeight="1" x14ac:dyDescent="0.2">
      <c r="A219" s="1">
        <v>58</v>
      </c>
      <c r="B219" s="18">
        <v>45679</v>
      </c>
      <c r="C219" s="1">
        <v>218</v>
      </c>
      <c r="D219" s="1" t="s">
        <v>12</v>
      </c>
      <c r="E219" s="1" t="s">
        <v>13</v>
      </c>
      <c r="F219" s="1" t="s">
        <v>16</v>
      </c>
      <c r="G219" s="1" t="s">
        <v>14</v>
      </c>
      <c r="J219" s="6">
        <f t="shared" si="0"/>
        <v>4</v>
      </c>
      <c r="K219" s="1" t="s">
        <v>14</v>
      </c>
    </row>
    <row r="220" spans="1:11" ht="15.75" customHeight="1" x14ac:dyDescent="0.2">
      <c r="A220" s="1">
        <v>58</v>
      </c>
      <c r="B220" s="18">
        <v>45679</v>
      </c>
      <c r="C220" s="1">
        <v>219</v>
      </c>
      <c r="D220" s="1" t="s">
        <v>12</v>
      </c>
      <c r="E220" s="1" t="s">
        <v>13</v>
      </c>
      <c r="F220" s="1" t="s">
        <v>16</v>
      </c>
      <c r="G220" s="1" t="s">
        <v>14</v>
      </c>
      <c r="J220" s="6">
        <f t="shared" si="0"/>
        <v>4</v>
      </c>
      <c r="K220" s="1" t="s">
        <v>14</v>
      </c>
    </row>
    <row r="221" spans="1:11" ht="15.75" customHeight="1" x14ac:dyDescent="0.2">
      <c r="A221" s="1">
        <v>59</v>
      </c>
      <c r="B221" s="18">
        <v>45682</v>
      </c>
      <c r="C221" s="1">
        <v>220</v>
      </c>
      <c r="D221" s="1" t="s">
        <v>12</v>
      </c>
      <c r="E221" s="1" t="s">
        <v>13</v>
      </c>
      <c r="F221" s="1" t="s">
        <v>16</v>
      </c>
      <c r="G221" s="1" t="s">
        <v>26</v>
      </c>
      <c r="H221" s="1" t="s">
        <v>27</v>
      </c>
      <c r="I221" s="1" t="s">
        <v>21</v>
      </c>
      <c r="J221" s="6">
        <f t="shared" si="0"/>
        <v>6</v>
      </c>
      <c r="K221" s="1" t="s">
        <v>26</v>
      </c>
    </row>
    <row r="222" spans="1:11" ht="15.75" customHeight="1" x14ac:dyDescent="0.2">
      <c r="A222" s="1">
        <v>59</v>
      </c>
      <c r="B222" s="18">
        <v>45682</v>
      </c>
      <c r="C222" s="1">
        <v>221</v>
      </c>
      <c r="D222" s="1" t="s">
        <v>12</v>
      </c>
      <c r="E222" s="1" t="s">
        <v>13</v>
      </c>
      <c r="F222" s="1" t="s">
        <v>14</v>
      </c>
      <c r="G222" s="1" t="s">
        <v>27</v>
      </c>
      <c r="J222" s="6">
        <f t="shared" si="0"/>
        <v>4</v>
      </c>
      <c r="K222" s="1" t="s">
        <v>26</v>
      </c>
    </row>
    <row r="223" spans="1:11" ht="15.75" customHeight="1" x14ac:dyDescent="0.2">
      <c r="A223" s="1">
        <v>59</v>
      </c>
      <c r="B223" s="18">
        <v>45682</v>
      </c>
      <c r="C223" s="1">
        <v>222</v>
      </c>
      <c r="D223" s="1" t="s">
        <v>12</v>
      </c>
      <c r="E223" s="1" t="s">
        <v>13</v>
      </c>
      <c r="F223" s="1" t="s">
        <v>14</v>
      </c>
      <c r="G223" s="1" t="s">
        <v>16</v>
      </c>
      <c r="J223" s="6">
        <f t="shared" si="0"/>
        <v>4</v>
      </c>
      <c r="K223" s="1" t="s">
        <v>26</v>
      </c>
    </row>
    <row r="224" spans="1:11" ht="15.75" customHeight="1" x14ac:dyDescent="0.2">
      <c r="A224" s="1">
        <v>60</v>
      </c>
      <c r="B224" s="18">
        <v>45689</v>
      </c>
      <c r="C224" s="1">
        <v>223</v>
      </c>
      <c r="D224" s="1" t="s">
        <v>12</v>
      </c>
      <c r="E224" s="1" t="s">
        <v>13</v>
      </c>
      <c r="F224" s="1" t="s">
        <v>14</v>
      </c>
      <c r="G224" s="1" t="s">
        <v>19</v>
      </c>
      <c r="J224" s="6">
        <f t="shared" si="0"/>
        <v>4</v>
      </c>
      <c r="K224" s="1" t="s">
        <v>14</v>
      </c>
    </row>
    <row r="225" spans="1:12" ht="15.75" customHeight="1" x14ac:dyDescent="0.2">
      <c r="A225" s="1">
        <v>60</v>
      </c>
      <c r="B225" s="18">
        <v>45689</v>
      </c>
      <c r="C225" s="1">
        <v>224</v>
      </c>
      <c r="D225" s="1" t="s">
        <v>12</v>
      </c>
      <c r="E225" s="1" t="s">
        <v>13</v>
      </c>
      <c r="F225" s="1" t="s">
        <v>14</v>
      </c>
      <c r="G225" s="1" t="s">
        <v>19</v>
      </c>
      <c r="J225" s="6">
        <f t="shared" si="0"/>
        <v>4</v>
      </c>
      <c r="K225" s="1" t="s">
        <v>14</v>
      </c>
    </row>
    <row r="226" spans="1:12" ht="15.75" customHeight="1" x14ac:dyDescent="0.2">
      <c r="A226" s="1">
        <v>60</v>
      </c>
      <c r="B226" s="18">
        <v>45689</v>
      </c>
      <c r="C226" s="1">
        <v>225</v>
      </c>
      <c r="D226" s="1" t="s">
        <v>12</v>
      </c>
      <c r="E226" s="1" t="s">
        <v>13</v>
      </c>
      <c r="F226" s="1" t="s">
        <v>14</v>
      </c>
      <c r="G226" s="1" t="s">
        <v>19</v>
      </c>
      <c r="H226" s="1" t="s">
        <v>16</v>
      </c>
      <c r="J226" s="6">
        <f t="shared" si="0"/>
        <v>5</v>
      </c>
      <c r="K226" s="1" t="s">
        <v>14</v>
      </c>
      <c r="L226" s="1" t="s">
        <v>23</v>
      </c>
    </row>
    <row r="227" spans="1:12" ht="15.75" customHeight="1" x14ac:dyDescent="0.2">
      <c r="A227" s="1">
        <v>60</v>
      </c>
      <c r="B227" s="18">
        <v>45689</v>
      </c>
      <c r="C227" s="1">
        <v>226</v>
      </c>
      <c r="D227" s="1" t="s">
        <v>12</v>
      </c>
      <c r="E227" s="1" t="s">
        <v>13</v>
      </c>
      <c r="F227" s="1" t="s">
        <v>14</v>
      </c>
      <c r="G227" s="1" t="s">
        <v>19</v>
      </c>
      <c r="H227" s="1" t="s">
        <v>16</v>
      </c>
      <c r="J227" s="6">
        <f t="shared" si="0"/>
        <v>5</v>
      </c>
      <c r="K227" s="1" t="s">
        <v>14</v>
      </c>
      <c r="L227" s="1" t="s">
        <v>23</v>
      </c>
    </row>
    <row r="228" spans="1:12" ht="15.75" customHeight="1" x14ac:dyDescent="0.2">
      <c r="A228" s="1">
        <v>60</v>
      </c>
      <c r="B228" s="18">
        <v>45689</v>
      </c>
      <c r="C228" s="1">
        <v>227</v>
      </c>
      <c r="D228" s="1" t="s">
        <v>12</v>
      </c>
      <c r="E228" s="1" t="s">
        <v>13</v>
      </c>
      <c r="F228" s="1" t="s">
        <v>14</v>
      </c>
      <c r="G228" s="1" t="s">
        <v>19</v>
      </c>
      <c r="H228" s="1" t="s">
        <v>16</v>
      </c>
      <c r="J228" s="6">
        <f t="shared" si="0"/>
        <v>5</v>
      </c>
      <c r="K228" s="1" t="s">
        <v>14</v>
      </c>
      <c r="L228" s="1" t="s">
        <v>23</v>
      </c>
    </row>
    <row r="229" spans="1:12" ht="15.75" customHeight="1" x14ac:dyDescent="0.2">
      <c r="A229" s="1">
        <v>60</v>
      </c>
      <c r="B229" s="18">
        <v>45689</v>
      </c>
      <c r="C229" s="1">
        <v>228</v>
      </c>
      <c r="D229" s="1" t="s">
        <v>12</v>
      </c>
      <c r="E229" s="1" t="s">
        <v>13</v>
      </c>
      <c r="F229" s="1" t="s">
        <v>14</v>
      </c>
      <c r="G229" s="1" t="s">
        <v>19</v>
      </c>
      <c r="H229" s="1" t="s">
        <v>16</v>
      </c>
      <c r="J229" s="6">
        <f t="shared" si="0"/>
        <v>5</v>
      </c>
      <c r="K229" s="1" t="s">
        <v>14</v>
      </c>
      <c r="L229" s="1" t="s">
        <v>23</v>
      </c>
    </row>
    <row r="230" spans="1:12" ht="15.75" customHeight="1" x14ac:dyDescent="0.2">
      <c r="A230" s="1">
        <v>61</v>
      </c>
      <c r="B230" s="18">
        <v>45696</v>
      </c>
      <c r="C230" s="1">
        <v>229</v>
      </c>
      <c r="D230" s="1" t="s">
        <v>12</v>
      </c>
      <c r="E230" s="1" t="s">
        <v>13</v>
      </c>
      <c r="F230" s="1" t="s">
        <v>14</v>
      </c>
      <c r="G230" s="1" t="s">
        <v>16</v>
      </c>
      <c r="H230" s="1" t="s">
        <v>21</v>
      </c>
      <c r="J230" s="6">
        <f t="shared" si="0"/>
        <v>5</v>
      </c>
      <c r="K230" s="1" t="s">
        <v>21</v>
      </c>
    </row>
    <row r="231" spans="1:12" ht="15.75" customHeight="1" x14ac:dyDescent="0.2">
      <c r="A231" s="1">
        <v>61</v>
      </c>
      <c r="B231" s="18">
        <v>45696</v>
      </c>
      <c r="C231" s="1">
        <v>230</v>
      </c>
      <c r="D231" s="1" t="s">
        <v>12</v>
      </c>
      <c r="E231" s="1" t="s">
        <v>13</v>
      </c>
      <c r="F231" s="1" t="s">
        <v>14</v>
      </c>
      <c r="G231" s="1" t="s">
        <v>16</v>
      </c>
      <c r="J231" s="6">
        <f t="shared" si="0"/>
        <v>4</v>
      </c>
      <c r="K231" s="1" t="s">
        <v>21</v>
      </c>
    </row>
    <row r="232" spans="1:12" ht="15.75" customHeight="1" x14ac:dyDescent="0.2">
      <c r="A232" s="1">
        <v>61</v>
      </c>
      <c r="B232" s="18">
        <v>45696</v>
      </c>
      <c r="C232" s="1">
        <v>231</v>
      </c>
      <c r="D232" s="1" t="s">
        <v>12</v>
      </c>
      <c r="E232" s="1" t="s">
        <v>13</v>
      </c>
      <c r="F232" s="1" t="s">
        <v>14</v>
      </c>
      <c r="G232" s="1" t="s">
        <v>16</v>
      </c>
      <c r="H232" s="1" t="s">
        <v>22</v>
      </c>
      <c r="J232" s="6">
        <f t="shared" si="0"/>
        <v>5</v>
      </c>
      <c r="K232" s="1" t="s">
        <v>21</v>
      </c>
    </row>
    <row r="233" spans="1:12" ht="15.75" customHeight="1" x14ac:dyDescent="0.2">
      <c r="A233" s="1">
        <v>61</v>
      </c>
      <c r="B233" s="18">
        <v>45696</v>
      </c>
      <c r="C233" s="1">
        <v>232</v>
      </c>
      <c r="D233" s="1" t="s">
        <v>12</v>
      </c>
      <c r="E233" s="1" t="s">
        <v>13</v>
      </c>
      <c r="F233" s="1" t="s">
        <v>14</v>
      </c>
      <c r="G233" s="1" t="s">
        <v>16</v>
      </c>
      <c r="H233" s="1" t="s">
        <v>22</v>
      </c>
      <c r="I233" s="1" t="s">
        <v>27</v>
      </c>
      <c r="J233" s="6">
        <f t="shared" si="0"/>
        <v>6</v>
      </c>
      <c r="K233" s="1" t="s">
        <v>21</v>
      </c>
    </row>
    <row r="234" spans="1:12" ht="15.75" customHeight="1" x14ac:dyDescent="0.2">
      <c r="A234" s="1">
        <v>62</v>
      </c>
      <c r="B234" s="18">
        <v>45704</v>
      </c>
      <c r="C234" s="1">
        <v>233</v>
      </c>
      <c r="D234" s="1" t="s">
        <v>12</v>
      </c>
      <c r="E234" s="1" t="s">
        <v>13</v>
      </c>
      <c r="F234" s="1" t="s">
        <v>14</v>
      </c>
      <c r="G234" s="1" t="s">
        <v>19</v>
      </c>
      <c r="H234" s="1" t="s">
        <v>21</v>
      </c>
      <c r="J234" s="6">
        <f t="shared" si="0"/>
        <v>5</v>
      </c>
      <c r="K234" s="1" t="s">
        <v>14</v>
      </c>
    </row>
    <row r="235" spans="1:12" ht="15.75" customHeight="1" x14ac:dyDescent="0.2">
      <c r="A235" s="1">
        <v>62</v>
      </c>
      <c r="B235" s="18">
        <v>45704</v>
      </c>
      <c r="C235" s="1">
        <v>234</v>
      </c>
      <c r="D235" s="1" t="s">
        <v>12</v>
      </c>
      <c r="E235" s="1" t="s">
        <v>13</v>
      </c>
      <c r="F235" s="1" t="s">
        <v>14</v>
      </c>
      <c r="G235" s="1" t="s">
        <v>19</v>
      </c>
      <c r="H235" s="1" t="s">
        <v>21</v>
      </c>
      <c r="J235" s="6">
        <f t="shared" si="0"/>
        <v>5</v>
      </c>
      <c r="K235" s="1" t="s">
        <v>14</v>
      </c>
    </row>
    <row r="236" spans="1:12" ht="15.75" customHeight="1" x14ac:dyDescent="0.2">
      <c r="A236" s="1">
        <v>62</v>
      </c>
      <c r="B236" s="18">
        <v>45704</v>
      </c>
      <c r="C236" s="1">
        <v>235</v>
      </c>
      <c r="D236" s="1" t="s">
        <v>12</v>
      </c>
      <c r="E236" s="1" t="s">
        <v>13</v>
      </c>
      <c r="F236" s="1" t="s">
        <v>14</v>
      </c>
      <c r="G236" s="1" t="s">
        <v>19</v>
      </c>
      <c r="H236" s="1" t="s">
        <v>21</v>
      </c>
      <c r="J236" s="6">
        <f t="shared" si="0"/>
        <v>5</v>
      </c>
      <c r="K236" s="1" t="s">
        <v>14</v>
      </c>
    </row>
    <row r="237" spans="1:12" ht="15.75" customHeight="1" x14ac:dyDescent="0.2">
      <c r="A237" s="1">
        <v>62</v>
      </c>
      <c r="B237" s="18">
        <v>45704</v>
      </c>
      <c r="C237" s="1">
        <v>236</v>
      </c>
      <c r="D237" s="1" t="s">
        <v>12</v>
      </c>
      <c r="E237" s="1" t="s">
        <v>13</v>
      </c>
      <c r="F237" s="1" t="s">
        <v>14</v>
      </c>
      <c r="G237" s="1" t="s">
        <v>19</v>
      </c>
      <c r="H237" s="1" t="s">
        <v>21</v>
      </c>
      <c r="J237" s="6">
        <f t="shared" si="0"/>
        <v>5</v>
      </c>
      <c r="K237" s="1" t="s">
        <v>14</v>
      </c>
    </row>
    <row r="238" spans="1:12" ht="15.75" customHeight="1" x14ac:dyDescent="0.2">
      <c r="A238" s="1">
        <v>63</v>
      </c>
      <c r="B238" s="18">
        <v>45723</v>
      </c>
      <c r="C238" s="1">
        <v>237</v>
      </c>
      <c r="D238" s="1" t="s">
        <v>12</v>
      </c>
      <c r="E238" s="1" t="s">
        <v>13</v>
      </c>
      <c r="F238" s="1" t="s">
        <v>14</v>
      </c>
      <c r="G238" s="1" t="s">
        <v>16</v>
      </c>
      <c r="J238" s="6">
        <f t="shared" si="0"/>
        <v>4</v>
      </c>
      <c r="K238" s="1" t="s">
        <v>14</v>
      </c>
    </row>
    <row r="239" spans="1:12" ht="15.75" customHeight="1" x14ac:dyDescent="0.2">
      <c r="A239" s="1">
        <v>63</v>
      </c>
      <c r="B239" s="18">
        <v>45723</v>
      </c>
      <c r="C239" s="1">
        <v>238</v>
      </c>
      <c r="D239" s="1" t="s">
        <v>12</v>
      </c>
      <c r="E239" s="1" t="s">
        <v>13</v>
      </c>
      <c r="F239" s="1" t="s">
        <v>14</v>
      </c>
      <c r="G239" s="1" t="s">
        <v>16</v>
      </c>
      <c r="J239" s="6">
        <f t="shared" si="0"/>
        <v>4</v>
      </c>
      <c r="K239" s="1" t="s">
        <v>14</v>
      </c>
    </row>
    <row r="240" spans="1:12" ht="15.75" customHeight="1" x14ac:dyDescent="0.2">
      <c r="A240" s="1">
        <v>63</v>
      </c>
      <c r="B240" s="18">
        <v>45723</v>
      </c>
      <c r="C240" s="1">
        <v>239</v>
      </c>
      <c r="D240" s="1" t="s">
        <v>12</v>
      </c>
      <c r="E240" s="1" t="s">
        <v>13</v>
      </c>
      <c r="F240" s="1" t="s">
        <v>14</v>
      </c>
      <c r="G240" s="1" t="s">
        <v>16</v>
      </c>
      <c r="J240" s="6">
        <f t="shared" si="0"/>
        <v>4</v>
      </c>
      <c r="K240" s="1" t="s">
        <v>14</v>
      </c>
    </row>
    <row r="241" spans="1:11" ht="15.75" customHeight="1" x14ac:dyDescent="0.2">
      <c r="A241" s="1">
        <v>64</v>
      </c>
      <c r="B241" s="18">
        <v>45732</v>
      </c>
      <c r="C241" s="1">
        <v>240</v>
      </c>
      <c r="D241" s="1" t="s">
        <v>12</v>
      </c>
      <c r="E241" s="1" t="s">
        <v>13</v>
      </c>
      <c r="F241" s="1" t="s">
        <v>16</v>
      </c>
      <c r="G241" s="1" t="s">
        <v>25</v>
      </c>
      <c r="J241" s="6">
        <f t="shared" si="0"/>
        <v>4</v>
      </c>
      <c r="K241" s="1" t="s">
        <v>16</v>
      </c>
    </row>
    <row r="242" spans="1:11" ht="15.75" customHeight="1" x14ac:dyDescent="0.2">
      <c r="A242" s="1">
        <v>65</v>
      </c>
      <c r="B242" s="18">
        <v>45734</v>
      </c>
      <c r="C242" s="1">
        <v>241</v>
      </c>
      <c r="D242" s="1" t="s">
        <v>13</v>
      </c>
      <c r="E242" s="1" t="s">
        <v>14</v>
      </c>
      <c r="F242" s="1" t="s">
        <v>19</v>
      </c>
      <c r="G242" s="1" t="s">
        <v>21</v>
      </c>
      <c r="J242" s="6">
        <f t="shared" si="0"/>
        <v>4</v>
      </c>
      <c r="K242" s="1" t="s">
        <v>19</v>
      </c>
    </row>
    <row r="243" spans="1:11" ht="15.75" customHeight="1" x14ac:dyDescent="0.2">
      <c r="A243" s="1">
        <v>65</v>
      </c>
      <c r="B243" s="18">
        <v>45734</v>
      </c>
      <c r="C243" s="1">
        <v>242</v>
      </c>
      <c r="D243" s="1" t="s">
        <v>13</v>
      </c>
      <c r="E243" s="1" t="s">
        <v>14</v>
      </c>
      <c r="F243" s="1" t="s">
        <v>19</v>
      </c>
      <c r="G243" s="1" t="s">
        <v>21</v>
      </c>
      <c r="J243" s="6">
        <f t="shared" si="0"/>
        <v>4</v>
      </c>
      <c r="K243" s="1" t="s">
        <v>19</v>
      </c>
    </row>
    <row r="244" spans="1:11" ht="15.75" customHeight="1" x14ac:dyDescent="0.2">
      <c r="A244" s="1">
        <v>65</v>
      </c>
      <c r="B244" s="18">
        <v>45734</v>
      </c>
      <c r="C244" s="1">
        <v>243</v>
      </c>
      <c r="D244" s="1" t="s">
        <v>13</v>
      </c>
      <c r="E244" s="1" t="s">
        <v>14</v>
      </c>
      <c r="F244" s="1" t="s">
        <v>19</v>
      </c>
      <c r="G244" s="1" t="s">
        <v>21</v>
      </c>
      <c r="J244" s="6">
        <f t="shared" si="0"/>
        <v>4</v>
      </c>
      <c r="K244" s="1" t="s">
        <v>19</v>
      </c>
    </row>
    <row r="245" spans="1:11" ht="15.75" customHeight="1" x14ac:dyDescent="0.2">
      <c r="A245" s="1">
        <v>66</v>
      </c>
      <c r="B245" s="18">
        <v>45746</v>
      </c>
      <c r="C245" s="1">
        <v>244</v>
      </c>
      <c r="D245" s="1" t="s">
        <v>12</v>
      </c>
      <c r="E245" s="1" t="s">
        <v>13</v>
      </c>
      <c r="F245" s="1" t="s">
        <v>14</v>
      </c>
      <c r="G245" s="1" t="s">
        <v>19</v>
      </c>
      <c r="H245" s="1" t="s">
        <v>21</v>
      </c>
      <c r="J245" s="6">
        <f t="shared" si="0"/>
        <v>5</v>
      </c>
      <c r="K245" s="1" t="s">
        <v>19</v>
      </c>
    </row>
    <row r="246" spans="1:11" ht="15.75" customHeight="1" x14ac:dyDescent="0.2">
      <c r="A246" s="1">
        <v>66</v>
      </c>
      <c r="B246" s="18">
        <v>45746</v>
      </c>
      <c r="C246" s="1">
        <v>245</v>
      </c>
      <c r="D246" s="1" t="s">
        <v>12</v>
      </c>
      <c r="E246" s="1" t="s">
        <v>13</v>
      </c>
      <c r="F246" s="1" t="s">
        <v>14</v>
      </c>
      <c r="G246" s="1" t="s">
        <v>19</v>
      </c>
      <c r="H246" s="1" t="s">
        <v>21</v>
      </c>
      <c r="J246" s="6">
        <f t="shared" si="0"/>
        <v>5</v>
      </c>
      <c r="K246" s="1" t="s">
        <v>19</v>
      </c>
    </row>
    <row r="247" spans="1:11" ht="15.75" customHeight="1" x14ac:dyDescent="0.2">
      <c r="A247" s="1">
        <v>66</v>
      </c>
      <c r="B247" s="18">
        <v>45746</v>
      </c>
      <c r="C247" s="1">
        <v>246</v>
      </c>
      <c r="D247" s="1" t="s">
        <v>13</v>
      </c>
      <c r="E247" s="1" t="s">
        <v>14</v>
      </c>
      <c r="F247" s="1" t="s">
        <v>19</v>
      </c>
      <c r="G247" s="1" t="s">
        <v>21</v>
      </c>
      <c r="J247" s="6">
        <f t="shared" si="0"/>
        <v>4</v>
      </c>
      <c r="K247" s="1" t="s">
        <v>19</v>
      </c>
    </row>
    <row r="248" spans="1:11" ht="15.75" customHeight="1" x14ac:dyDescent="0.2">
      <c r="A248" s="1">
        <v>67</v>
      </c>
      <c r="B248" s="18">
        <v>45753</v>
      </c>
      <c r="C248" s="1">
        <v>247</v>
      </c>
      <c r="D248" s="1" t="s">
        <v>12</v>
      </c>
      <c r="E248" s="1" t="s">
        <v>13</v>
      </c>
      <c r="F248" s="1" t="s">
        <v>14</v>
      </c>
      <c r="G248" s="1" t="s">
        <v>16</v>
      </c>
      <c r="H248" s="1" t="s">
        <v>19</v>
      </c>
      <c r="I248" s="1" t="s">
        <v>21</v>
      </c>
      <c r="J248" s="6">
        <f t="shared" si="0"/>
        <v>6</v>
      </c>
      <c r="K248" s="1" t="s">
        <v>12</v>
      </c>
    </row>
    <row r="249" spans="1:11" ht="15.75" customHeight="1" x14ac:dyDescent="0.2">
      <c r="A249" s="1">
        <v>67</v>
      </c>
      <c r="B249" s="18">
        <v>45753</v>
      </c>
      <c r="C249" s="1">
        <v>248</v>
      </c>
      <c r="D249" s="1" t="s">
        <v>12</v>
      </c>
      <c r="E249" s="1" t="s">
        <v>13</v>
      </c>
      <c r="F249" s="1" t="s">
        <v>14</v>
      </c>
      <c r="G249" s="1" t="s">
        <v>16</v>
      </c>
      <c r="H249" s="1" t="s">
        <v>19</v>
      </c>
      <c r="I249" s="1" t="s">
        <v>21</v>
      </c>
      <c r="J249" s="6">
        <f t="shared" si="0"/>
        <v>6</v>
      </c>
      <c r="K249" s="1" t="s">
        <v>12</v>
      </c>
    </row>
    <row r="250" spans="1:11" ht="15.75" customHeight="1" x14ac:dyDescent="0.2">
      <c r="A250" s="1">
        <v>67</v>
      </c>
      <c r="B250" s="18">
        <v>45753</v>
      </c>
      <c r="C250" s="1">
        <v>249</v>
      </c>
      <c r="D250" s="1" t="s">
        <v>12</v>
      </c>
      <c r="E250" s="1" t="s">
        <v>13</v>
      </c>
      <c r="F250" s="1" t="s">
        <v>14</v>
      </c>
      <c r="G250" s="1" t="s">
        <v>16</v>
      </c>
      <c r="H250" s="1" t="s">
        <v>19</v>
      </c>
      <c r="I250" s="1" t="s">
        <v>21</v>
      </c>
      <c r="J250" s="6">
        <f t="shared" si="0"/>
        <v>6</v>
      </c>
      <c r="K250" s="1" t="s">
        <v>12</v>
      </c>
    </row>
    <row r="251" spans="1:11" ht="15.75" customHeight="1" x14ac:dyDescent="0.2">
      <c r="A251" s="1">
        <v>67</v>
      </c>
      <c r="B251" s="18">
        <v>45753</v>
      </c>
      <c r="C251" s="1">
        <v>250</v>
      </c>
      <c r="D251" s="1" t="s">
        <v>12</v>
      </c>
      <c r="E251" s="1" t="s">
        <v>13</v>
      </c>
      <c r="F251" s="1" t="s">
        <v>14</v>
      </c>
      <c r="G251" s="1" t="s">
        <v>16</v>
      </c>
      <c r="H251" s="1" t="s">
        <v>26</v>
      </c>
      <c r="I251" s="1" t="s">
        <v>21</v>
      </c>
      <c r="J251" s="6">
        <f t="shared" si="0"/>
        <v>6</v>
      </c>
      <c r="K251" s="1" t="s">
        <v>12</v>
      </c>
    </row>
    <row r="252" spans="1:11" ht="15.75" customHeight="1" x14ac:dyDescent="0.2">
      <c r="A252" s="1">
        <v>68</v>
      </c>
      <c r="B252" s="18">
        <v>45759</v>
      </c>
      <c r="C252" s="1">
        <v>251</v>
      </c>
      <c r="D252" s="1" t="s">
        <v>12</v>
      </c>
      <c r="E252" s="1" t="s">
        <v>13</v>
      </c>
      <c r="F252" s="1" t="s">
        <v>14</v>
      </c>
      <c r="G252" s="1" t="s">
        <v>16</v>
      </c>
      <c r="H252" s="1" t="s">
        <v>26</v>
      </c>
      <c r="J252" s="6">
        <f t="shared" si="0"/>
        <v>5</v>
      </c>
      <c r="K252" s="1" t="s">
        <v>21</v>
      </c>
    </row>
    <row r="253" spans="1:11" ht="15.75" customHeight="1" x14ac:dyDescent="0.2">
      <c r="A253" s="1">
        <v>68</v>
      </c>
      <c r="B253" s="18">
        <v>45759</v>
      </c>
      <c r="C253" s="1">
        <v>252</v>
      </c>
      <c r="D253" s="1" t="s">
        <v>12</v>
      </c>
      <c r="E253" s="1" t="s">
        <v>13</v>
      </c>
      <c r="F253" s="1" t="s">
        <v>14</v>
      </c>
      <c r="G253" s="1" t="s">
        <v>16</v>
      </c>
      <c r="H253" s="1" t="s">
        <v>26</v>
      </c>
      <c r="J253" s="6">
        <f t="shared" si="0"/>
        <v>5</v>
      </c>
      <c r="K253" s="1" t="s">
        <v>21</v>
      </c>
    </row>
    <row r="254" spans="1:11" ht="15.75" customHeight="1" x14ac:dyDescent="0.2">
      <c r="A254" s="1">
        <v>68</v>
      </c>
      <c r="B254" s="18">
        <v>45759</v>
      </c>
      <c r="C254" s="1">
        <v>253</v>
      </c>
      <c r="D254" s="1" t="s">
        <v>12</v>
      </c>
      <c r="E254" s="1" t="s">
        <v>13</v>
      </c>
      <c r="F254" s="1" t="s">
        <v>14</v>
      </c>
      <c r="G254" s="1" t="s">
        <v>26</v>
      </c>
      <c r="H254" s="1"/>
      <c r="J254" s="6">
        <f t="shared" si="0"/>
        <v>4</v>
      </c>
      <c r="K254" s="1" t="s">
        <v>21</v>
      </c>
    </row>
    <row r="255" spans="1:11" ht="15.75" customHeight="1" x14ac:dyDescent="0.2">
      <c r="A255" s="1">
        <v>68</v>
      </c>
      <c r="B255" s="18">
        <v>45759</v>
      </c>
      <c r="C255" s="1">
        <v>254</v>
      </c>
      <c r="D255" s="1" t="s">
        <v>12</v>
      </c>
      <c r="E255" s="1" t="s">
        <v>13</v>
      </c>
      <c r="F255" s="1" t="s">
        <v>14</v>
      </c>
      <c r="G255" s="1" t="s">
        <v>26</v>
      </c>
      <c r="H255" s="1" t="s">
        <v>21</v>
      </c>
      <c r="J255" s="6">
        <f t="shared" si="0"/>
        <v>5</v>
      </c>
      <c r="K255" s="1" t="s">
        <v>21</v>
      </c>
    </row>
    <row r="256" spans="1:11" ht="15.75" customHeight="1" x14ac:dyDescent="0.2">
      <c r="A256" s="1">
        <v>69</v>
      </c>
      <c r="B256" s="18">
        <v>45766</v>
      </c>
      <c r="C256" s="1">
        <v>255</v>
      </c>
      <c r="D256" s="1" t="s">
        <v>12</v>
      </c>
      <c r="E256" s="1" t="s">
        <v>13</v>
      </c>
      <c r="F256" s="1" t="s">
        <v>16</v>
      </c>
      <c r="G256" s="1" t="s">
        <v>26</v>
      </c>
      <c r="H256" s="1" t="s">
        <v>25</v>
      </c>
      <c r="I256" s="1" t="s">
        <v>21</v>
      </c>
      <c r="J256" s="6">
        <f t="shared" si="0"/>
        <v>6</v>
      </c>
      <c r="K256" s="1" t="s">
        <v>21</v>
      </c>
    </row>
    <row r="257" spans="1:11" ht="15.75" customHeight="1" x14ac:dyDescent="0.2">
      <c r="A257" s="1">
        <v>69</v>
      </c>
      <c r="B257" s="18">
        <v>45766</v>
      </c>
      <c r="C257" s="1">
        <v>256</v>
      </c>
      <c r="D257" s="1" t="s">
        <v>12</v>
      </c>
      <c r="E257" s="1" t="s">
        <v>13</v>
      </c>
      <c r="F257" s="1" t="s">
        <v>16</v>
      </c>
      <c r="G257" s="1" t="s">
        <v>26</v>
      </c>
      <c r="H257" s="1" t="s">
        <v>25</v>
      </c>
      <c r="I257" s="1" t="s">
        <v>19</v>
      </c>
      <c r="J257" s="6">
        <f t="shared" ref="J257:J448" si="2">+COUNTA(D257:I257)</f>
        <v>6</v>
      </c>
      <c r="K257" s="1" t="s">
        <v>21</v>
      </c>
    </row>
    <row r="258" spans="1:11" ht="15.75" customHeight="1" x14ac:dyDescent="0.2">
      <c r="A258" s="1">
        <v>69</v>
      </c>
      <c r="B258" s="18">
        <v>45766</v>
      </c>
      <c r="C258" s="1">
        <v>257</v>
      </c>
      <c r="D258" s="1" t="s">
        <v>13</v>
      </c>
      <c r="E258" s="1" t="s">
        <v>16</v>
      </c>
      <c r="F258" s="1" t="s">
        <v>26</v>
      </c>
      <c r="G258" s="1" t="s">
        <v>25</v>
      </c>
      <c r="H258" s="1" t="s">
        <v>19</v>
      </c>
      <c r="I258" s="1" t="s">
        <v>21</v>
      </c>
      <c r="J258" s="6">
        <f t="shared" si="2"/>
        <v>6</v>
      </c>
      <c r="K258" s="1" t="s">
        <v>21</v>
      </c>
    </row>
    <row r="259" spans="1:11" ht="15.75" customHeight="1" x14ac:dyDescent="0.2">
      <c r="A259" s="1">
        <v>70</v>
      </c>
      <c r="B259" s="18">
        <v>45769</v>
      </c>
      <c r="C259" s="1">
        <v>258</v>
      </c>
      <c r="D259" s="1" t="s">
        <v>12</v>
      </c>
      <c r="E259" s="1" t="s">
        <v>13</v>
      </c>
      <c r="F259" s="1" t="s">
        <v>14</v>
      </c>
      <c r="G259" s="1" t="s">
        <v>19</v>
      </c>
      <c r="J259" s="6">
        <f t="shared" si="2"/>
        <v>4</v>
      </c>
      <c r="K259" s="1" t="s">
        <v>19</v>
      </c>
    </row>
    <row r="260" spans="1:11" ht="15.75" customHeight="1" x14ac:dyDescent="0.2">
      <c r="A260" s="1">
        <v>70</v>
      </c>
      <c r="B260" s="18">
        <v>45769</v>
      </c>
      <c r="C260" s="1">
        <v>259</v>
      </c>
      <c r="D260" s="1" t="s">
        <v>12</v>
      </c>
      <c r="E260" s="1" t="s">
        <v>13</v>
      </c>
      <c r="F260" s="1" t="s">
        <v>14</v>
      </c>
      <c r="G260" s="1" t="s">
        <v>19</v>
      </c>
      <c r="J260" s="6">
        <f t="shared" si="2"/>
        <v>4</v>
      </c>
      <c r="K260" s="1" t="s">
        <v>19</v>
      </c>
    </row>
    <row r="261" spans="1:11" ht="15.75" customHeight="1" x14ac:dyDescent="0.2">
      <c r="A261" s="1">
        <v>70</v>
      </c>
      <c r="B261" s="18">
        <v>45769</v>
      </c>
      <c r="C261" s="1">
        <v>260</v>
      </c>
      <c r="D261" s="1" t="s">
        <v>12</v>
      </c>
      <c r="E261" s="1" t="s">
        <v>13</v>
      </c>
      <c r="F261" s="1" t="s">
        <v>14</v>
      </c>
      <c r="G261" s="1" t="s">
        <v>19</v>
      </c>
      <c r="J261" s="6">
        <f t="shared" si="2"/>
        <v>4</v>
      </c>
      <c r="K261" s="1" t="s">
        <v>19</v>
      </c>
    </row>
    <row r="262" spans="1:11" ht="15.75" customHeight="1" x14ac:dyDescent="0.2">
      <c r="A262" s="1">
        <v>71</v>
      </c>
      <c r="B262" s="18">
        <v>45775</v>
      </c>
      <c r="C262" s="1">
        <v>261</v>
      </c>
      <c r="D262" s="1" t="s">
        <v>12</v>
      </c>
      <c r="E262" s="1" t="s">
        <v>13</v>
      </c>
      <c r="F262" s="1" t="s">
        <v>14</v>
      </c>
      <c r="G262" s="1" t="s">
        <v>19</v>
      </c>
      <c r="J262" s="6">
        <f t="shared" si="2"/>
        <v>4</v>
      </c>
      <c r="K262" s="1" t="s">
        <v>12</v>
      </c>
    </row>
    <row r="263" spans="1:11" ht="15.75" customHeight="1" x14ac:dyDescent="0.2">
      <c r="A263" s="1">
        <v>71</v>
      </c>
      <c r="B263" s="18">
        <v>45775</v>
      </c>
      <c r="C263" s="1">
        <v>262</v>
      </c>
      <c r="D263" s="1" t="s">
        <v>12</v>
      </c>
      <c r="E263" s="1" t="s">
        <v>13</v>
      </c>
      <c r="F263" s="1" t="s">
        <v>14</v>
      </c>
      <c r="G263" s="1" t="s">
        <v>19</v>
      </c>
      <c r="J263" s="6">
        <f t="shared" si="2"/>
        <v>4</v>
      </c>
      <c r="K263" s="1" t="s">
        <v>12</v>
      </c>
    </row>
    <row r="264" spans="1:11" ht="15.75" customHeight="1" x14ac:dyDescent="0.2">
      <c r="A264" s="1">
        <v>71</v>
      </c>
      <c r="B264" s="18">
        <v>45775</v>
      </c>
      <c r="C264" s="1">
        <v>263</v>
      </c>
      <c r="D264" s="1" t="s">
        <v>12</v>
      </c>
      <c r="E264" s="1" t="s">
        <v>13</v>
      </c>
      <c r="F264" s="1" t="s">
        <v>14</v>
      </c>
      <c r="G264" s="1" t="s">
        <v>19</v>
      </c>
      <c r="J264" s="6">
        <f t="shared" si="2"/>
        <v>4</v>
      </c>
      <c r="K264" s="1" t="s">
        <v>12</v>
      </c>
    </row>
    <row r="265" spans="1:11" ht="15.75" customHeight="1" x14ac:dyDescent="0.2">
      <c r="A265" s="1">
        <v>72</v>
      </c>
      <c r="B265" s="18">
        <v>45781</v>
      </c>
      <c r="C265" s="1">
        <v>264</v>
      </c>
      <c r="D265" s="1" t="s">
        <v>12</v>
      </c>
      <c r="E265" s="1" t="s">
        <v>13</v>
      </c>
      <c r="F265" s="1" t="s">
        <v>14</v>
      </c>
      <c r="G265" s="1" t="s">
        <v>21</v>
      </c>
      <c r="J265" s="6">
        <f t="shared" si="2"/>
        <v>4</v>
      </c>
      <c r="K265" s="1" t="s">
        <v>12</v>
      </c>
    </row>
    <row r="266" spans="1:11" ht="15.75" customHeight="1" x14ac:dyDescent="0.2">
      <c r="A266" s="1">
        <v>72</v>
      </c>
      <c r="B266" s="18">
        <v>45781</v>
      </c>
      <c r="C266" s="1">
        <v>265</v>
      </c>
      <c r="D266" s="1" t="s">
        <v>12</v>
      </c>
      <c r="E266" s="1" t="s">
        <v>13</v>
      </c>
      <c r="F266" s="1" t="s">
        <v>14</v>
      </c>
      <c r="G266" s="1" t="s">
        <v>21</v>
      </c>
      <c r="H266" s="1" t="s">
        <v>19</v>
      </c>
      <c r="J266" s="6">
        <f t="shared" si="2"/>
        <v>5</v>
      </c>
      <c r="K266" s="1" t="s">
        <v>12</v>
      </c>
    </row>
    <row r="267" spans="1:11" ht="15.75" customHeight="1" x14ac:dyDescent="0.2">
      <c r="A267" s="1">
        <v>72</v>
      </c>
      <c r="B267" s="18">
        <v>45781</v>
      </c>
      <c r="C267" s="1">
        <v>266</v>
      </c>
      <c r="D267" s="1" t="s">
        <v>12</v>
      </c>
      <c r="E267" s="1" t="s">
        <v>13</v>
      </c>
      <c r="F267" s="1" t="s">
        <v>14</v>
      </c>
      <c r="G267" s="1" t="s">
        <v>21</v>
      </c>
      <c r="H267" s="1" t="s">
        <v>19</v>
      </c>
      <c r="J267" s="6">
        <f t="shared" si="2"/>
        <v>5</v>
      </c>
      <c r="K267" s="1" t="s">
        <v>12</v>
      </c>
    </row>
    <row r="268" spans="1:11" ht="15.75" customHeight="1" x14ac:dyDescent="0.2">
      <c r="A268" s="1">
        <v>72</v>
      </c>
      <c r="B268" s="18">
        <v>45781</v>
      </c>
      <c r="C268" s="1">
        <v>267</v>
      </c>
      <c r="D268" s="1" t="s">
        <v>12</v>
      </c>
      <c r="E268" s="1" t="s">
        <v>13</v>
      </c>
      <c r="F268" s="1" t="s">
        <v>14</v>
      </c>
      <c r="G268" s="1" t="s">
        <v>21</v>
      </c>
      <c r="H268" s="1" t="s">
        <v>19</v>
      </c>
      <c r="J268" s="6">
        <f t="shared" si="2"/>
        <v>5</v>
      </c>
      <c r="K268" s="1" t="s">
        <v>12</v>
      </c>
    </row>
    <row r="269" spans="1:11" ht="15.75" customHeight="1" x14ac:dyDescent="0.2">
      <c r="A269" s="1">
        <v>72</v>
      </c>
      <c r="B269" s="18">
        <v>45781</v>
      </c>
      <c r="C269" s="1">
        <v>268</v>
      </c>
      <c r="D269" s="1" t="s">
        <v>12</v>
      </c>
      <c r="E269" s="1" t="s">
        <v>13</v>
      </c>
      <c r="F269" s="1" t="s">
        <v>14</v>
      </c>
      <c r="G269" s="1" t="s">
        <v>21</v>
      </c>
      <c r="H269" s="1" t="s">
        <v>19</v>
      </c>
      <c r="J269" s="6">
        <f t="shared" si="2"/>
        <v>5</v>
      </c>
      <c r="K269" s="1" t="s">
        <v>12</v>
      </c>
    </row>
    <row r="270" spans="1:11" ht="15.75" customHeight="1" x14ac:dyDescent="0.2">
      <c r="A270" s="1">
        <v>72</v>
      </c>
      <c r="B270" s="18">
        <v>45781</v>
      </c>
      <c r="C270" s="1">
        <v>269</v>
      </c>
      <c r="D270" s="1" t="s">
        <v>12</v>
      </c>
      <c r="E270" s="1" t="s">
        <v>13</v>
      </c>
      <c r="F270" s="1" t="s">
        <v>14</v>
      </c>
      <c r="G270" s="1" t="s">
        <v>21</v>
      </c>
      <c r="H270" s="1" t="s">
        <v>19</v>
      </c>
      <c r="J270" s="6">
        <f t="shared" si="2"/>
        <v>5</v>
      </c>
      <c r="K270" s="1" t="s">
        <v>12</v>
      </c>
    </row>
    <row r="271" spans="1:11" ht="15.75" customHeight="1" x14ac:dyDescent="0.2">
      <c r="A271" s="1">
        <v>73</v>
      </c>
      <c r="B271" s="18">
        <v>45795</v>
      </c>
      <c r="C271" s="1">
        <v>270</v>
      </c>
      <c r="D271" s="1" t="s">
        <v>13</v>
      </c>
      <c r="E271" s="1" t="s">
        <v>14</v>
      </c>
      <c r="F271" s="1" t="s">
        <v>19</v>
      </c>
      <c r="G271" s="1" t="s">
        <v>21</v>
      </c>
      <c r="J271" s="6">
        <f t="shared" si="2"/>
        <v>4</v>
      </c>
      <c r="K271" s="1" t="s">
        <v>14</v>
      </c>
    </row>
    <row r="272" spans="1:11" ht="15.75" customHeight="1" x14ac:dyDescent="0.2">
      <c r="A272" s="1">
        <v>73</v>
      </c>
      <c r="B272" s="18">
        <v>45795</v>
      </c>
      <c r="C272" s="1">
        <v>271</v>
      </c>
      <c r="D272" s="1" t="s">
        <v>13</v>
      </c>
      <c r="E272" s="1" t="s">
        <v>14</v>
      </c>
      <c r="F272" s="1" t="s">
        <v>19</v>
      </c>
      <c r="G272" s="1" t="s">
        <v>21</v>
      </c>
      <c r="J272" s="6">
        <f t="shared" si="2"/>
        <v>4</v>
      </c>
      <c r="K272" s="1" t="s">
        <v>14</v>
      </c>
    </row>
    <row r="273" spans="1:11" ht="15.75" customHeight="1" x14ac:dyDescent="0.2">
      <c r="A273" s="1">
        <v>73</v>
      </c>
      <c r="B273" s="18">
        <v>45795</v>
      </c>
      <c r="C273" s="1">
        <v>272</v>
      </c>
      <c r="D273" s="1" t="s">
        <v>13</v>
      </c>
      <c r="E273" s="1" t="s">
        <v>14</v>
      </c>
      <c r="F273" s="1" t="s">
        <v>19</v>
      </c>
      <c r="G273" s="1" t="s">
        <v>21</v>
      </c>
      <c r="H273" s="1" t="s">
        <v>12</v>
      </c>
      <c r="J273" s="6">
        <f t="shared" si="2"/>
        <v>5</v>
      </c>
      <c r="K273" s="1" t="s">
        <v>14</v>
      </c>
    </row>
    <row r="274" spans="1:11" ht="15.75" customHeight="1" x14ac:dyDescent="0.2">
      <c r="A274" s="1">
        <v>73</v>
      </c>
      <c r="B274" s="18">
        <v>45795</v>
      </c>
      <c r="C274" s="1">
        <v>273</v>
      </c>
      <c r="D274" s="1" t="s">
        <v>13</v>
      </c>
      <c r="E274" s="1" t="s">
        <v>14</v>
      </c>
      <c r="F274" s="1" t="s">
        <v>19</v>
      </c>
      <c r="G274" s="1" t="s">
        <v>21</v>
      </c>
      <c r="H274" s="1" t="s">
        <v>12</v>
      </c>
      <c r="J274" s="6">
        <f t="shared" si="2"/>
        <v>5</v>
      </c>
      <c r="K274" s="1" t="s">
        <v>14</v>
      </c>
    </row>
    <row r="275" spans="1:11" ht="15.75" customHeight="1" x14ac:dyDescent="0.2">
      <c r="A275" s="1">
        <v>74</v>
      </c>
      <c r="B275" s="18">
        <v>45802</v>
      </c>
      <c r="C275" s="1">
        <v>274</v>
      </c>
      <c r="D275" s="1" t="s">
        <v>12</v>
      </c>
      <c r="E275" s="1" t="s">
        <v>13</v>
      </c>
      <c r="F275" s="1" t="s">
        <v>14</v>
      </c>
      <c r="G275" s="1" t="s">
        <v>21</v>
      </c>
      <c r="H275" s="1" t="s">
        <v>28</v>
      </c>
      <c r="J275" s="6">
        <f t="shared" si="2"/>
        <v>5</v>
      </c>
      <c r="K275" s="1" t="s">
        <v>21</v>
      </c>
    </row>
    <row r="276" spans="1:11" ht="15.75" customHeight="1" x14ac:dyDescent="0.2">
      <c r="A276" s="1">
        <v>75</v>
      </c>
      <c r="B276" s="18">
        <v>45808</v>
      </c>
      <c r="C276" s="1">
        <v>275</v>
      </c>
      <c r="D276" s="1" t="s">
        <v>12</v>
      </c>
      <c r="E276" s="1" t="s">
        <v>13</v>
      </c>
      <c r="F276" s="1" t="s">
        <v>19</v>
      </c>
      <c r="G276" s="1" t="s">
        <v>25</v>
      </c>
      <c r="J276" s="6">
        <f t="shared" si="2"/>
        <v>4</v>
      </c>
      <c r="K276" s="1" t="s">
        <v>12</v>
      </c>
    </row>
    <row r="277" spans="1:11" ht="15.75" customHeight="1" x14ac:dyDescent="0.2">
      <c r="A277" s="1">
        <v>75</v>
      </c>
      <c r="B277" s="18">
        <v>45808</v>
      </c>
      <c r="C277" s="1">
        <v>276</v>
      </c>
      <c r="D277" s="1" t="s">
        <v>12</v>
      </c>
      <c r="E277" s="1" t="s">
        <v>13</v>
      </c>
      <c r="F277" s="1" t="s">
        <v>19</v>
      </c>
      <c r="G277" s="1" t="s">
        <v>25</v>
      </c>
      <c r="H277" s="1" t="s">
        <v>15</v>
      </c>
      <c r="J277" s="6">
        <f t="shared" si="2"/>
        <v>5</v>
      </c>
      <c r="K277" s="1" t="s">
        <v>12</v>
      </c>
    </row>
    <row r="278" spans="1:11" ht="15.75" customHeight="1" x14ac:dyDescent="0.2">
      <c r="A278" s="1">
        <v>75</v>
      </c>
      <c r="B278" s="18">
        <v>45808</v>
      </c>
      <c r="C278" s="1">
        <v>277</v>
      </c>
      <c r="D278" s="1" t="s">
        <v>12</v>
      </c>
      <c r="E278" s="1" t="s">
        <v>13</v>
      </c>
      <c r="F278" s="1" t="s">
        <v>19</v>
      </c>
      <c r="G278" s="1" t="s">
        <v>25</v>
      </c>
      <c r="H278" s="1" t="s">
        <v>15</v>
      </c>
      <c r="J278" s="6">
        <f t="shared" si="2"/>
        <v>5</v>
      </c>
      <c r="K278" s="1" t="s">
        <v>12</v>
      </c>
    </row>
    <row r="279" spans="1:11" ht="15.75" customHeight="1" x14ac:dyDescent="0.2">
      <c r="A279" s="1">
        <v>76</v>
      </c>
      <c r="B279" s="18">
        <v>45815</v>
      </c>
      <c r="C279" s="1">
        <v>278</v>
      </c>
      <c r="D279" s="1" t="s">
        <v>13</v>
      </c>
      <c r="E279" s="1" t="s">
        <v>14</v>
      </c>
      <c r="F279" s="1" t="s">
        <v>16</v>
      </c>
      <c r="G279" s="1" t="s">
        <v>21</v>
      </c>
      <c r="J279" s="6">
        <f t="shared" si="2"/>
        <v>4</v>
      </c>
      <c r="K279" s="1" t="s">
        <v>14</v>
      </c>
    </row>
    <row r="280" spans="1:11" ht="15.75" customHeight="1" x14ac:dyDescent="0.2">
      <c r="A280" s="1">
        <v>77</v>
      </c>
      <c r="B280" s="18">
        <v>45816</v>
      </c>
      <c r="C280" s="1">
        <v>279</v>
      </c>
      <c r="D280" s="1" t="s">
        <v>12</v>
      </c>
      <c r="E280" s="1" t="s">
        <v>13</v>
      </c>
      <c r="F280" s="1" t="s">
        <v>14</v>
      </c>
      <c r="G280" s="1" t="s">
        <v>19</v>
      </c>
      <c r="H280" s="1" t="s">
        <v>21</v>
      </c>
      <c r="J280" s="6">
        <f t="shared" si="2"/>
        <v>5</v>
      </c>
      <c r="K280" s="1" t="s">
        <v>12</v>
      </c>
    </row>
    <row r="281" spans="1:11" ht="15.75" customHeight="1" x14ac:dyDescent="0.2">
      <c r="A281" s="1">
        <v>77</v>
      </c>
      <c r="B281" s="18">
        <v>45816</v>
      </c>
      <c r="C281" s="1">
        <v>280</v>
      </c>
      <c r="D281" s="1" t="s">
        <v>12</v>
      </c>
      <c r="E281" s="1" t="s">
        <v>13</v>
      </c>
      <c r="F281" s="1" t="s">
        <v>14</v>
      </c>
      <c r="G281" s="1" t="s">
        <v>19</v>
      </c>
      <c r="H281" s="1" t="s">
        <v>21</v>
      </c>
      <c r="J281" s="6">
        <f t="shared" si="2"/>
        <v>5</v>
      </c>
      <c r="K281" s="1" t="s">
        <v>12</v>
      </c>
    </row>
    <row r="282" spans="1:11" ht="15.75" customHeight="1" x14ac:dyDescent="0.2">
      <c r="A282" s="1">
        <v>77</v>
      </c>
      <c r="B282" s="18">
        <v>45816</v>
      </c>
      <c r="C282" s="1">
        <v>281</v>
      </c>
      <c r="D282" s="1" t="s">
        <v>12</v>
      </c>
      <c r="E282" s="1" t="s">
        <v>13</v>
      </c>
      <c r="F282" s="1" t="s">
        <v>14</v>
      </c>
      <c r="G282" s="1" t="s">
        <v>19</v>
      </c>
      <c r="H282" s="1" t="s">
        <v>21</v>
      </c>
      <c r="I282" s="1" t="s">
        <v>15</v>
      </c>
      <c r="J282" s="6">
        <f t="shared" si="2"/>
        <v>6</v>
      </c>
      <c r="K282" s="1" t="s">
        <v>12</v>
      </c>
    </row>
    <row r="283" spans="1:11" ht="15.75" customHeight="1" x14ac:dyDescent="0.2">
      <c r="A283" s="1">
        <v>77</v>
      </c>
      <c r="B283" s="18">
        <v>45816</v>
      </c>
      <c r="C283" s="1">
        <v>282</v>
      </c>
      <c r="D283" s="1" t="s">
        <v>12</v>
      </c>
      <c r="E283" s="1" t="s">
        <v>13</v>
      </c>
      <c r="F283" s="1" t="s">
        <v>14</v>
      </c>
      <c r="G283" s="1" t="s">
        <v>19</v>
      </c>
      <c r="H283" s="1" t="s">
        <v>21</v>
      </c>
      <c r="I283" s="1" t="s">
        <v>15</v>
      </c>
      <c r="J283" s="6">
        <f t="shared" si="2"/>
        <v>6</v>
      </c>
      <c r="K283" s="1" t="s">
        <v>12</v>
      </c>
    </row>
    <row r="284" spans="1:11" ht="15.75" customHeight="1" x14ac:dyDescent="0.2">
      <c r="A284" s="1">
        <v>77</v>
      </c>
      <c r="B284" s="18">
        <v>45816</v>
      </c>
      <c r="C284" s="1">
        <v>283</v>
      </c>
      <c r="D284" s="1" t="s">
        <v>12</v>
      </c>
      <c r="E284" s="1" t="s">
        <v>13</v>
      </c>
      <c r="F284" s="1" t="s">
        <v>14</v>
      </c>
      <c r="G284" s="1" t="s">
        <v>19</v>
      </c>
      <c r="H284" s="1" t="s">
        <v>21</v>
      </c>
      <c r="I284" s="1" t="s">
        <v>15</v>
      </c>
      <c r="J284" s="6">
        <f t="shared" si="2"/>
        <v>6</v>
      </c>
      <c r="K284" s="1" t="s">
        <v>12</v>
      </c>
    </row>
    <row r="285" spans="1:11" ht="15.75" customHeight="1" x14ac:dyDescent="0.2">
      <c r="A285" s="1">
        <v>78</v>
      </c>
      <c r="B285" s="18">
        <v>45820</v>
      </c>
      <c r="C285" s="1">
        <v>284</v>
      </c>
      <c r="D285" s="1" t="s">
        <v>13</v>
      </c>
      <c r="E285" s="1" t="s">
        <v>14</v>
      </c>
      <c r="F285" s="1" t="s">
        <v>19</v>
      </c>
      <c r="G285" s="1" t="s">
        <v>16</v>
      </c>
      <c r="H285" s="1" t="s">
        <v>25</v>
      </c>
      <c r="J285" s="6">
        <f t="shared" si="2"/>
        <v>5</v>
      </c>
      <c r="K285" s="1" t="s">
        <v>19</v>
      </c>
    </row>
    <row r="286" spans="1:11" ht="15.75" customHeight="1" x14ac:dyDescent="0.2">
      <c r="A286" s="1">
        <v>78</v>
      </c>
      <c r="B286" s="18">
        <v>45820</v>
      </c>
      <c r="C286" s="1">
        <v>285</v>
      </c>
      <c r="D286" s="1" t="s">
        <v>13</v>
      </c>
      <c r="E286" s="1" t="s">
        <v>14</v>
      </c>
      <c r="F286" s="1" t="s">
        <v>19</v>
      </c>
      <c r="G286" s="1" t="s">
        <v>16</v>
      </c>
      <c r="H286" s="1" t="s">
        <v>25</v>
      </c>
      <c r="J286" s="6">
        <f t="shared" si="2"/>
        <v>5</v>
      </c>
      <c r="K286" s="1" t="s">
        <v>19</v>
      </c>
    </row>
    <row r="287" spans="1:11" ht="15.75" customHeight="1" x14ac:dyDescent="0.2">
      <c r="A287" s="1">
        <v>79</v>
      </c>
      <c r="B287" s="18">
        <v>45826</v>
      </c>
      <c r="C287" s="1">
        <v>286</v>
      </c>
      <c r="D287" s="1" t="s">
        <v>13</v>
      </c>
      <c r="E287" s="1" t="s">
        <v>14</v>
      </c>
      <c r="F287" s="1" t="s">
        <v>19</v>
      </c>
      <c r="G287" s="1" t="s">
        <v>21</v>
      </c>
      <c r="H287" s="1" t="s">
        <v>25</v>
      </c>
      <c r="J287" s="6">
        <f t="shared" si="2"/>
        <v>5</v>
      </c>
      <c r="K287" s="1" t="s">
        <v>19</v>
      </c>
    </row>
    <row r="288" spans="1:11" ht="15.75" customHeight="1" x14ac:dyDescent="0.2">
      <c r="A288" s="21">
        <v>79</v>
      </c>
      <c r="B288" s="22">
        <v>45826</v>
      </c>
      <c r="C288" s="21">
        <v>287</v>
      </c>
      <c r="D288" s="21" t="s">
        <v>12</v>
      </c>
      <c r="E288" s="21" t="s">
        <v>13</v>
      </c>
      <c r="F288" s="21" t="s">
        <v>14</v>
      </c>
      <c r="G288" s="21" t="s">
        <v>19</v>
      </c>
      <c r="H288" s="21" t="s">
        <v>21</v>
      </c>
      <c r="I288" s="21" t="s">
        <v>25</v>
      </c>
      <c r="J288" s="6">
        <f t="shared" si="2"/>
        <v>6</v>
      </c>
      <c r="K288" s="1" t="s">
        <v>19</v>
      </c>
    </row>
    <row r="289" spans="1:11" ht="15.75" customHeight="1" x14ac:dyDescent="0.2">
      <c r="A289" s="21">
        <v>79</v>
      </c>
      <c r="B289" s="22">
        <v>45826</v>
      </c>
      <c r="C289" s="21">
        <v>288</v>
      </c>
      <c r="D289" s="21" t="s">
        <v>12</v>
      </c>
      <c r="E289" s="21" t="s">
        <v>13</v>
      </c>
      <c r="F289" s="21" t="s">
        <v>14</v>
      </c>
      <c r="G289" s="21" t="s">
        <v>19</v>
      </c>
      <c r="H289" s="21" t="s">
        <v>21</v>
      </c>
      <c r="I289" s="21" t="s">
        <v>25</v>
      </c>
      <c r="J289" s="6">
        <f t="shared" si="2"/>
        <v>6</v>
      </c>
      <c r="K289" s="1" t="s">
        <v>19</v>
      </c>
    </row>
    <row r="290" spans="1:11" ht="15.75" customHeight="1" x14ac:dyDescent="0.2">
      <c r="A290" s="1">
        <v>80</v>
      </c>
      <c r="B290" s="18">
        <v>45837</v>
      </c>
      <c r="C290" s="1">
        <v>289</v>
      </c>
      <c r="D290" s="1" t="s">
        <v>13</v>
      </c>
      <c r="E290" s="1" t="s">
        <v>14</v>
      </c>
      <c r="F290" s="1" t="s">
        <v>19</v>
      </c>
      <c r="G290" s="1" t="s">
        <v>21</v>
      </c>
      <c r="J290" s="6">
        <f t="shared" si="2"/>
        <v>4</v>
      </c>
      <c r="K290" s="1" t="s">
        <v>19</v>
      </c>
    </row>
    <row r="291" spans="1:11" ht="15.75" customHeight="1" x14ac:dyDescent="0.2">
      <c r="A291" s="1">
        <v>80</v>
      </c>
      <c r="B291" s="18">
        <v>45837</v>
      </c>
      <c r="C291" s="1">
        <v>290</v>
      </c>
      <c r="D291" s="1" t="s">
        <v>13</v>
      </c>
      <c r="E291" s="1" t="s">
        <v>14</v>
      </c>
      <c r="F291" s="1" t="s">
        <v>19</v>
      </c>
      <c r="G291" s="1" t="s">
        <v>21</v>
      </c>
      <c r="J291" s="6">
        <f t="shared" si="2"/>
        <v>4</v>
      </c>
      <c r="K291" s="1" t="s">
        <v>19</v>
      </c>
    </row>
    <row r="292" spans="1:11" ht="15.75" customHeight="1" x14ac:dyDescent="0.2">
      <c r="A292" s="1">
        <v>80</v>
      </c>
      <c r="B292" s="18">
        <v>45837</v>
      </c>
      <c r="C292" s="1">
        <v>291</v>
      </c>
      <c r="D292" s="1" t="s">
        <v>13</v>
      </c>
      <c r="E292" s="1" t="s">
        <v>14</v>
      </c>
      <c r="F292" s="1" t="s">
        <v>19</v>
      </c>
      <c r="G292" s="1" t="s">
        <v>21</v>
      </c>
      <c r="J292" s="6">
        <f t="shared" si="2"/>
        <v>4</v>
      </c>
      <c r="K292" s="1" t="s">
        <v>19</v>
      </c>
    </row>
    <row r="293" spans="1:11" ht="15.75" customHeight="1" x14ac:dyDescent="0.2">
      <c r="A293" s="1">
        <v>80</v>
      </c>
      <c r="B293" s="18">
        <v>45837</v>
      </c>
      <c r="C293" s="1">
        <v>292</v>
      </c>
      <c r="D293" s="1" t="s">
        <v>13</v>
      </c>
      <c r="E293" s="1" t="s">
        <v>14</v>
      </c>
      <c r="F293" s="1" t="s">
        <v>19</v>
      </c>
      <c r="G293" s="1" t="s">
        <v>21</v>
      </c>
      <c r="J293" s="6">
        <f t="shared" si="2"/>
        <v>4</v>
      </c>
      <c r="K293" s="1" t="s">
        <v>19</v>
      </c>
    </row>
    <row r="294" spans="1:11" ht="15.75" customHeight="1" x14ac:dyDescent="0.2">
      <c r="A294" s="1">
        <v>81</v>
      </c>
      <c r="B294" s="18">
        <v>45843</v>
      </c>
      <c r="C294" s="1">
        <v>293</v>
      </c>
      <c r="D294" s="1" t="s">
        <v>13</v>
      </c>
      <c r="E294" s="1" t="s">
        <v>16</v>
      </c>
      <c r="F294" s="1" t="s">
        <v>21</v>
      </c>
      <c r="G294" s="1" t="s">
        <v>28</v>
      </c>
      <c r="H294" s="1" t="s">
        <v>26</v>
      </c>
      <c r="I294" s="1" t="s">
        <v>27</v>
      </c>
      <c r="J294" s="6">
        <f t="shared" si="2"/>
        <v>6</v>
      </c>
      <c r="K294" s="1" t="s">
        <v>21</v>
      </c>
    </row>
    <row r="295" spans="1:11" ht="15.75" customHeight="1" x14ac:dyDescent="0.2">
      <c r="A295" s="1">
        <v>81</v>
      </c>
      <c r="B295" s="18">
        <v>45843</v>
      </c>
      <c r="C295" s="1">
        <v>294</v>
      </c>
      <c r="D295" s="1" t="s">
        <v>13</v>
      </c>
      <c r="E295" s="1" t="s">
        <v>16</v>
      </c>
      <c r="F295" s="1" t="s">
        <v>21</v>
      </c>
      <c r="G295" s="1" t="s">
        <v>28</v>
      </c>
      <c r="H295" s="1" t="s">
        <v>26</v>
      </c>
      <c r="J295" s="6">
        <f t="shared" si="2"/>
        <v>5</v>
      </c>
      <c r="K295" s="1" t="s">
        <v>21</v>
      </c>
    </row>
    <row r="296" spans="1:11" ht="15.75" customHeight="1" x14ac:dyDescent="0.2">
      <c r="A296" s="1">
        <v>82</v>
      </c>
      <c r="B296" s="18">
        <v>45845</v>
      </c>
      <c r="C296" s="1">
        <v>295</v>
      </c>
      <c r="D296" s="1" t="s">
        <v>12</v>
      </c>
      <c r="E296" s="1" t="s">
        <v>13</v>
      </c>
      <c r="F296" s="1" t="s">
        <v>19</v>
      </c>
      <c r="G296" s="1" t="s">
        <v>15</v>
      </c>
      <c r="J296" s="6">
        <f t="shared" si="2"/>
        <v>4</v>
      </c>
      <c r="K296" s="1" t="s">
        <v>12</v>
      </c>
    </row>
    <row r="297" spans="1:11" ht="15.75" customHeight="1" x14ac:dyDescent="0.2">
      <c r="A297" s="1">
        <v>82</v>
      </c>
      <c r="B297" s="18">
        <v>45845</v>
      </c>
      <c r="C297" s="1">
        <v>296</v>
      </c>
      <c r="D297" s="1" t="s">
        <v>12</v>
      </c>
      <c r="E297" s="1" t="s">
        <v>13</v>
      </c>
      <c r="F297" s="1" t="s">
        <v>19</v>
      </c>
      <c r="G297" s="1" t="s">
        <v>15</v>
      </c>
      <c r="J297" s="6">
        <f t="shared" si="2"/>
        <v>4</v>
      </c>
      <c r="K297" s="1" t="s">
        <v>12</v>
      </c>
    </row>
    <row r="298" spans="1:11" ht="15.75" customHeight="1" x14ac:dyDescent="0.2">
      <c r="A298" s="1">
        <v>82</v>
      </c>
      <c r="B298" s="18">
        <v>45845</v>
      </c>
      <c r="C298" s="1">
        <v>297</v>
      </c>
      <c r="D298" s="1" t="s">
        <v>12</v>
      </c>
      <c r="E298" s="1" t="s">
        <v>13</v>
      </c>
      <c r="F298" s="1" t="s">
        <v>19</v>
      </c>
      <c r="G298" s="1" t="s">
        <v>15</v>
      </c>
      <c r="J298" s="6">
        <f t="shared" si="2"/>
        <v>4</v>
      </c>
      <c r="K298" s="1" t="s">
        <v>12</v>
      </c>
    </row>
    <row r="299" spans="1:11" ht="15.75" customHeight="1" x14ac:dyDescent="0.2">
      <c r="A299" s="1">
        <v>83</v>
      </c>
      <c r="B299" s="18">
        <v>45851</v>
      </c>
      <c r="C299" s="1">
        <v>298</v>
      </c>
      <c r="D299" s="1" t="s">
        <v>14</v>
      </c>
      <c r="E299" s="1" t="s">
        <v>19</v>
      </c>
      <c r="F299" s="1" t="s">
        <v>21</v>
      </c>
      <c r="G299" s="1" t="s">
        <v>26</v>
      </c>
      <c r="J299" s="6">
        <f t="shared" si="2"/>
        <v>4</v>
      </c>
      <c r="K299" s="1" t="s">
        <v>21</v>
      </c>
    </row>
    <row r="300" spans="1:11" ht="15.75" customHeight="1" x14ac:dyDescent="0.2">
      <c r="A300" s="1">
        <v>83</v>
      </c>
      <c r="B300" s="18">
        <v>45851</v>
      </c>
      <c r="C300" s="1">
        <v>299</v>
      </c>
      <c r="D300" s="1" t="s">
        <v>14</v>
      </c>
      <c r="E300" s="1" t="s">
        <v>19</v>
      </c>
      <c r="F300" s="1" t="s">
        <v>21</v>
      </c>
      <c r="G300" s="1" t="s">
        <v>26</v>
      </c>
      <c r="J300" s="6">
        <f t="shared" si="2"/>
        <v>4</v>
      </c>
      <c r="K300" s="1" t="s">
        <v>21</v>
      </c>
    </row>
    <row r="301" spans="1:11" ht="15.75" customHeight="1" x14ac:dyDescent="0.2">
      <c r="A301" s="1">
        <v>84</v>
      </c>
      <c r="B301" s="18">
        <v>45858</v>
      </c>
      <c r="C301" s="1">
        <v>300</v>
      </c>
      <c r="D301" s="1" t="s">
        <v>12</v>
      </c>
      <c r="E301" s="1" t="s">
        <v>13</v>
      </c>
      <c r="F301" s="1" t="s">
        <v>14</v>
      </c>
      <c r="G301" s="1" t="s">
        <v>16</v>
      </c>
      <c r="H301" s="1" t="s">
        <v>21</v>
      </c>
      <c r="I301" s="1" t="s">
        <v>26</v>
      </c>
      <c r="J301" s="6">
        <f t="shared" si="2"/>
        <v>6</v>
      </c>
      <c r="K301" s="1" t="s">
        <v>12</v>
      </c>
    </row>
    <row r="302" spans="1:11" ht="15.75" customHeight="1" x14ac:dyDescent="0.2">
      <c r="A302" s="1">
        <v>84</v>
      </c>
      <c r="B302" s="18">
        <v>45858</v>
      </c>
      <c r="C302" s="1">
        <v>301</v>
      </c>
      <c r="D302" s="1" t="s">
        <v>12</v>
      </c>
      <c r="E302" s="1" t="s">
        <v>13</v>
      </c>
      <c r="F302" s="1" t="s">
        <v>14</v>
      </c>
      <c r="G302" s="1" t="s">
        <v>16</v>
      </c>
      <c r="H302" s="1" t="s">
        <v>21</v>
      </c>
      <c r="I302" s="1" t="s">
        <v>26</v>
      </c>
      <c r="J302" s="6">
        <f t="shared" si="2"/>
        <v>6</v>
      </c>
      <c r="K302" s="1" t="s">
        <v>12</v>
      </c>
    </row>
    <row r="303" spans="1:11" ht="15.75" customHeight="1" x14ac:dyDescent="0.2">
      <c r="A303" s="1">
        <v>84</v>
      </c>
      <c r="B303" s="18">
        <v>45858</v>
      </c>
      <c r="C303" s="1">
        <v>302</v>
      </c>
      <c r="D303" s="1" t="s">
        <v>12</v>
      </c>
      <c r="E303" s="1" t="s">
        <v>13</v>
      </c>
      <c r="F303" s="1" t="s">
        <v>14</v>
      </c>
      <c r="G303" s="1" t="s">
        <v>16</v>
      </c>
      <c r="H303" s="1" t="s">
        <v>21</v>
      </c>
      <c r="I303" s="1" t="s">
        <v>26</v>
      </c>
      <c r="J303" s="6">
        <f t="shared" si="2"/>
        <v>6</v>
      </c>
      <c r="K303" s="1" t="s">
        <v>12</v>
      </c>
    </row>
    <row r="304" spans="1:11" ht="15.75" customHeight="1" x14ac:dyDescent="0.2">
      <c r="A304" s="1">
        <v>84</v>
      </c>
      <c r="B304" s="18">
        <v>45858</v>
      </c>
      <c r="C304" s="1">
        <v>303</v>
      </c>
      <c r="D304" s="1" t="s">
        <v>12</v>
      </c>
      <c r="E304" s="1" t="s">
        <v>13</v>
      </c>
      <c r="F304" s="1" t="s">
        <v>14</v>
      </c>
      <c r="G304" s="1" t="s">
        <v>21</v>
      </c>
      <c r="H304" s="1" t="s">
        <v>26</v>
      </c>
      <c r="I304" s="1"/>
      <c r="J304" s="6">
        <f t="shared" si="2"/>
        <v>5</v>
      </c>
      <c r="K304" s="1" t="s">
        <v>12</v>
      </c>
    </row>
    <row r="305" spans="1:11" ht="15.75" customHeight="1" x14ac:dyDescent="0.2">
      <c r="A305" s="1">
        <v>84</v>
      </c>
      <c r="B305" s="18">
        <v>45858</v>
      </c>
      <c r="C305" s="1">
        <v>304</v>
      </c>
      <c r="D305" s="1" t="s">
        <v>12</v>
      </c>
      <c r="E305" s="1" t="s">
        <v>13</v>
      </c>
      <c r="F305" s="1" t="s">
        <v>14</v>
      </c>
      <c r="G305" s="1" t="s">
        <v>21</v>
      </c>
      <c r="J305" s="6">
        <f t="shared" si="2"/>
        <v>4</v>
      </c>
      <c r="K305" s="1" t="s">
        <v>12</v>
      </c>
    </row>
    <row r="306" spans="1:11" ht="15.75" customHeight="1" x14ac:dyDescent="0.2">
      <c r="A306" s="1">
        <v>84</v>
      </c>
      <c r="B306" s="18">
        <v>45858</v>
      </c>
      <c r="C306" s="1">
        <v>305</v>
      </c>
      <c r="D306" s="1" t="s">
        <v>12</v>
      </c>
      <c r="E306" s="1" t="s">
        <v>13</v>
      </c>
      <c r="F306" s="1" t="s">
        <v>14</v>
      </c>
      <c r="G306" s="1" t="s">
        <v>21</v>
      </c>
      <c r="J306" s="6">
        <f t="shared" si="2"/>
        <v>4</v>
      </c>
      <c r="K306" s="1" t="s">
        <v>12</v>
      </c>
    </row>
    <row r="307" spans="1:11" ht="15.75" customHeight="1" x14ac:dyDescent="0.2">
      <c r="A307" s="1">
        <v>84</v>
      </c>
      <c r="B307" s="18">
        <v>45858</v>
      </c>
      <c r="C307" s="1">
        <v>306</v>
      </c>
      <c r="D307" s="1" t="s">
        <v>12</v>
      </c>
      <c r="E307" s="1" t="s">
        <v>13</v>
      </c>
      <c r="F307" s="1" t="s">
        <v>14</v>
      </c>
      <c r="G307" s="1" t="s">
        <v>21</v>
      </c>
      <c r="J307" s="6">
        <f t="shared" si="2"/>
        <v>4</v>
      </c>
      <c r="K307" s="1" t="s">
        <v>12</v>
      </c>
    </row>
    <row r="308" spans="1:11" ht="15.75" customHeight="1" x14ac:dyDescent="0.2">
      <c r="A308" s="1">
        <v>85</v>
      </c>
      <c r="B308" s="18">
        <v>45860</v>
      </c>
      <c r="C308" s="1">
        <v>307</v>
      </c>
      <c r="D308" s="1" t="s">
        <v>12</v>
      </c>
      <c r="E308" s="1" t="s">
        <v>13</v>
      </c>
      <c r="F308" s="1" t="s">
        <v>14</v>
      </c>
      <c r="G308" s="1" t="s">
        <v>19</v>
      </c>
      <c r="J308" s="6">
        <f t="shared" si="2"/>
        <v>4</v>
      </c>
      <c r="K308" s="1" t="s">
        <v>19</v>
      </c>
    </row>
    <row r="309" spans="1:11" ht="15.75" customHeight="1" x14ac:dyDescent="0.2">
      <c r="A309" s="1">
        <v>85</v>
      </c>
      <c r="B309" s="18">
        <v>45860</v>
      </c>
      <c r="C309" s="1">
        <v>308</v>
      </c>
      <c r="D309" s="1" t="s">
        <v>12</v>
      </c>
      <c r="E309" s="1" t="s">
        <v>13</v>
      </c>
      <c r="F309" s="1" t="s">
        <v>14</v>
      </c>
      <c r="G309" s="1" t="s">
        <v>19</v>
      </c>
      <c r="J309" s="6">
        <f t="shared" si="2"/>
        <v>4</v>
      </c>
      <c r="K309" s="1" t="s">
        <v>19</v>
      </c>
    </row>
    <row r="310" spans="1:11" ht="15.75" customHeight="1" x14ac:dyDescent="0.2">
      <c r="A310" s="1">
        <v>85</v>
      </c>
      <c r="B310" s="18">
        <v>45860</v>
      </c>
      <c r="C310" s="1">
        <v>309</v>
      </c>
      <c r="D310" s="1" t="s">
        <v>12</v>
      </c>
      <c r="E310" s="1" t="s">
        <v>13</v>
      </c>
      <c r="F310" s="1" t="s">
        <v>14</v>
      </c>
      <c r="G310" s="1" t="s">
        <v>19</v>
      </c>
      <c r="J310" s="6">
        <f t="shared" si="2"/>
        <v>4</v>
      </c>
      <c r="K310" s="1" t="s">
        <v>19</v>
      </c>
    </row>
    <row r="311" spans="1:11" ht="15.75" customHeight="1" x14ac:dyDescent="0.2">
      <c r="A311" s="1">
        <v>86</v>
      </c>
      <c r="B311" s="18">
        <v>45865</v>
      </c>
      <c r="C311" s="1">
        <v>310</v>
      </c>
      <c r="D311" s="1" t="s">
        <v>13</v>
      </c>
      <c r="E311" s="1" t="s">
        <v>14</v>
      </c>
      <c r="F311" s="1" t="s">
        <v>21</v>
      </c>
      <c r="G311" s="1" t="s">
        <v>26</v>
      </c>
      <c r="J311" s="6">
        <f t="shared" si="2"/>
        <v>4</v>
      </c>
      <c r="K311" s="1" t="s">
        <v>21</v>
      </c>
    </row>
    <row r="312" spans="1:11" ht="15.75" customHeight="1" x14ac:dyDescent="0.2">
      <c r="A312" s="1">
        <v>86</v>
      </c>
      <c r="B312" s="18">
        <v>45865</v>
      </c>
      <c r="C312" s="1">
        <v>311</v>
      </c>
      <c r="D312" s="1" t="s">
        <v>13</v>
      </c>
      <c r="E312" s="1" t="s">
        <v>14</v>
      </c>
      <c r="F312" s="1" t="s">
        <v>21</v>
      </c>
      <c r="G312" s="1" t="s">
        <v>26</v>
      </c>
      <c r="J312" s="6">
        <f t="shared" si="2"/>
        <v>4</v>
      </c>
      <c r="K312" s="1" t="s">
        <v>21</v>
      </c>
    </row>
    <row r="313" spans="1:11" ht="15.75" customHeight="1" x14ac:dyDescent="0.2">
      <c r="A313" s="1">
        <v>86</v>
      </c>
      <c r="B313" s="18">
        <v>45865</v>
      </c>
      <c r="C313" s="1">
        <v>312</v>
      </c>
      <c r="D313" s="1" t="s">
        <v>13</v>
      </c>
      <c r="E313" s="1" t="s">
        <v>14</v>
      </c>
      <c r="F313" s="1" t="s">
        <v>21</v>
      </c>
      <c r="G313" s="1" t="s">
        <v>26</v>
      </c>
      <c r="J313" s="6">
        <f t="shared" si="2"/>
        <v>4</v>
      </c>
      <c r="K313" s="1" t="s">
        <v>21</v>
      </c>
    </row>
    <row r="314" spans="1:11" ht="15.75" customHeight="1" x14ac:dyDescent="0.2">
      <c r="A314" s="1">
        <v>87</v>
      </c>
      <c r="B314" s="18">
        <v>45867</v>
      </c>
      <c r="C314" s="1">
        <v>313</v>
      </c>
      <c r="D314" s="1" t="s">
        <v>13</v>
      </c>
      <c r="E314" s="1" t="s">
        <v>14</v>
      </c>
      <c r="F314" s="1" t="s">
        <v>21</v>
      </c>
      <c r="G314" s="1" t="s">
        <v>19</v>
      </c>
      <c r="J314" s="6">
        <f t="shared" si="2"/>
        <v>4</v>
      </c>
      <c r="K314" s="1" t="s">
        <v>19</v>
      </c>
    </row>
    <row r="315" spans="1:11" ht="15.75" customHeight="1" x14ac:dyDescent="0.2">
      <c r="A315" s="1">
        <v>87</v>
      </c>
      <c r="B315" s="18">
        <v>45867</v>
      </c>
      <c r="C315" s="1">
        <v>314</v>
      </c>
      <c r="D315" s="1" t="s">
        <v>13</v>
      </c>
      <c r="E315" s="1" t="s">
        <v>14</v>
      </c>
      <c r="F315" s="1" t="s">
        <v>21</v>
      </c>
      <c r="G315" s="1" t="s">
        <v>19</v>
      </c>
      <c r="J315" s="6">
        <f t="shared" si="2"/>
        <v>4</v>
      </c>
      <c r="K315" s="1" t="s">
        <v>19</v>
      </c>
    </row>
    <row r="316" spans="1:11" ht="15.75" customHeight="1" x14ac:dyDescent="0.2">
      <c r="A316" s="1">
        <v>87</v>
      </c>
      <c r="B316" s="18">
        <v>45867</v>
      </c>
      <c r="C316" s="1">
        <v>315</v>
      </c>
      <c r="D316" s="1" t="s">
        <v>13</v>
      </c>
      <c r="E316" s="1" t="s">
        <v>14</v>
      </c>
      <c r="F316" s="1" t="s">
        <v>21</v>
      </c>
      <c r="G316" s="1" t="s">
        <v>19</v>
      </c>
      <c r="J316" s="6">
        <f t="shared" si="2"/>
        <v>4</v>
      </c>
      <c r="K316" s="1" t="s">
        <v>19</v>
      </c>
    </row>
    <row r="317" spans="1:11" ht="15.75" customHeight="1" x14ac:dyDescent="0.2">
      <c r="A317" s="1">
        <v>88</v>
      </c>
      <c r="B317" s="18">
        <v>45871</v>
      </c>
      <c r="C317" s="1">
        <v>316</v>
      </c>
      <c r="D317" s="1" t="s">
        <v>12</v>
      </c>
      <c r="E317" s="1" t="s">
        <v>13</v>
      </c>
      <c r="F317" s="1" t="s">
        <v>21</v>
      </c>
      <c r="G317" s="1" t="s">
        <v>26</v>
      </c>
      <c r="J317" s="6">
        <f t="shared" si="2"/>
        <v>4</v>
      </c>
      <c r="K317" s="1" t="s">
        <v>26</v>
      </c>
    </row>
    <row r="318" spans="1:11" ht="15.75" customHeight="1" x14ac:dyDescent="0.2">
      <c r="A318" s="1">
        <v>88</v>
      </c>
      <c r="B318" s="18">
        <v>45871</v>
      </c>
      <c r="C318" s="1">
        <v>317</v>
      </c>
      <c r="D318" s="1" t="s">
        <v>12</v>
      </c>
      <c r="E318" s="1" t="s">
        <v>13</v>
      </c>
      <c r="F318" s="1" t="s">
        <v>21</v>
      </c>
      <c r="G318" s="1" t="s">
        <v>26</v>
      </c>
      <c r="H318" s="1" t="s">
        <v>14</v>
      </c>
      <c r="J318" s="6">
        <f t="shared" si="2"/>
        <v>5</v>
      </c>
      <c r="K318" s="1" t="s">
        <v>26</v>
      </c>
    </row>
    <row r="319" spans="1:11" ht="15.75" customHeight="1" x14ac:dyDescent="0.2">
      <c r="A319" s="1">
        <v>88</v>
      </c>
      <c r="B319" s="18">
        <v>45871</v>
      </c>
      <c r="C319" s="1">
        <v>318</v>
      </c>
      <c r="D319" s="1" t="s">
        <v>12</v>
      </c>
      <c r="E319" s="1" t="s">
        <v>13</v>
      </c>
      <c r="F319" s="1" t="s">
        <v>21</v>
      </c>
      <c r="G319" s="1" t="s">
        <v>26</v>
      </c>
      <c r="H319" s="1" t="s">
        <v>14</v>
      </c>
      <c r="J319" s="6">
        <f t="shared" si="2"/>
        <v>5</v>
      </c>
      <c r="K319" s="1" t="s">
        <v>26</v>
      </c>
    </row>
    <row r="320" spans="1:11" ht="15.75" customHeight="1" x14ac:dyDescent="0.2">
      <c r="A320" s="1">
        <v>88</v>
      </c>
      <c r="B320" s="18">
        <v>45871</v>
      </c>
      <c r="C320" s="1">
        <v>319</v>
      </c>
      <c r="D320" s="1" t="s">
        <v>12</v>
      </c>
      <c r="E320" s="1" t="s">
        <v>13</v>
      </c>
      <c r="F320" s="1" t="s">
        <v>21</v>
      </c>
      <c r="G320" s="1" t="s">
        <v>26</v>
      </c>
      <c r="H320" s="1" t="s">
        <v>14</v>
      </c>
      <c r="J320" s="6">
        <f t="shared" si="2"/>
        <v>5</v>
      </c>
      <c r="K320" s="1" t="s">
        <v>26</v>
      </c>
    </row>
    <row r="321" spans="1:12" ht="15.75" customHeight="1" x14ac:dyDescent="0.2">
      <c r="A321" s="1">
        <v>88</v>
      </c>
      <c r="B321" s="18">
        <v>45871</v>
      </c>
      <c r="C321" s="1">
        <v>320</v>
      </c>
      <c r="D321" s="1" t="s">
        <v>12</v>
      </c>
      <c r="E321" s="1" t="s">
        <v>13</v>
      </c>
      <c r="F321" s="1" t="s">
        <v>21</v>
      </c>
      <c r="G321" s="1" t="s">
        <v>26</v>
      </c>
      <c r="H321" s="1" t="s">
        <v>14</v>
      </c>
      <c r="J321" s="6">
        <f t="shared" si="2"/>
        <v>5</v>
      </c>
      <c r="K321" s="1" t="s">
        <v>26</v>
      </c>
    </row>
    <row r="322" spans="1:12" ht="15.75" customHeight="1" x14ac:dyDescent="0.2">
      <c r="A322" s="1">
        <v>88</v>
      </c>
      <c r="B322" s="18">
        <v>45871</v>
      </c>
      <c r="C322" s="1">
        <v>321</v>
      </c>
      <c r="D322" s="1" t="s">
        <v>12</v>
      </c>
      <c r="E322" s="1" t="s">
        <v>13</v>
      </c>
      <c r="F322" s="1" t="s">
        <v>21</v>
      </c>
      <c r="G322" s="1" t="s">
        <v>26</v>
      </c>
      <c r="H322" s="1" t="s">
        <v>14</v>
      </c>
      <c r="J322" s="6">
        <f t="shared" si="2"/>
        <v>5</v>
      </c>
      <c r="K322" s="1" t="s">
        <v>26</v>
      </c>
    </row>
    <row r="323" spans="1:12" ht="15.75" customHeight="1" x14ac:dyDescent="0.2">
      <c r="A323" s="1">
        <v>88</v>
      </c>
      <c r="B323" s="18">
        <v>45871</v>
      </c>
      <c r="C323" s="1">
        <v>322</v>
      </c>
      <c r="D323" s="1" t="s">
        <v>12</v>
      </c>
      <c r="E323" s="1" t="s">
        <v>13</v>
      </c>
      <c r="F323" s="1" t="s">
        <v>21</v>
      </c>
      <c r="G323" s="1" t="s">
        <v>26</v>
      </c>
      <c r="H323" s="1" t="s">
        <v>14</v>
      </c>
      <c r="J323" s="6">
        <f t="shared" si="2"/>
        <v>5</v>
      </c>
      <c r="K323" s="1" t="s">
        <v>26</v>
      </c>
    </row>
    <row r="324" spans="1:12" ht="15.75" customHeight="1" x14ac:dyDescent="0.2">
      <c r="A324" s="1">
        <v>88</v>
      </c>
      <c r="B324" s="18">
        <v>45871</v>
      </c>
      <c r="C324" s="1">
        <v>323</v>
      </c>
      <c r="D324" s="1" t="s">
        <v>12</v>
      </c>
      <c r="E324" s="1" t="s">
        <v>13</v>
      </c>
      <c r="F324" s="1" t="s">
        <v>21</v>
      </c>
      <c r="G324" s="1" t="s">
        <v>26</v>
      </c>
      <c r="H324" s="1" t="s">
        <v>14</v>
      </c>
      <c r="J324" s="6">
        <f t="shared" si="2"/>
        <v>5</v>
      </c>
      <c r="K324" s="1" t="s">
        <v>26</v>
      </c>
    </row>
    <row r="325" spans="1:12" ht="15.75" customHeight="1" x14ac:dyDescent="0.2">
      <c r="A325" s="1">
        <v>88</v>
      </c>
      <c r="B325" s="18">
        <v>45871</v>
      </c>
      <c r="C325" s="1">
        <v>324</v>
      </c>
      <c r="D325" s="1" t="s">
        <v>12</v>
      </c>
      <c r="E325" s="1" t="s">
        <v>13</v>
      </c>
      <c r="F325" s="1" t="s">
        <v>21</v>
      </c>
      <c r="G325" s="1" t="s">
        <v>26</v>
      </c>
      <c r="H325" s="1" t="s">
        <v>14</v>
      </c>
      <c r="J325" s="6">
        <f t="shared" si="2"/>
        <v>5</v>
      </c>
      <c r="K325" s="1" t="s">
        <v>26</v>
      </c>
    </row>
    <row r="326" spans="1:12" ht="15.75" customHeight="1" x14ac:dyDescent="0.2">
      <c r="A326" s="1">
        <v>89</v>
      </c>
      <c r="B326" s="18">
        <v>45878</v>
      </c>
      <c r="C326" s="1">
        <v>325</v>
      </c>
      <c r="D326" s="1" t="s">
        <v>12</v>
      </c>
      <c r="E326" s="1" t="s">
        <v>14</v>
      </c>
      <c r="F326" s="1" t="s">
        <v>21</v>
      </c>
      <c r="G326" s="1" t="s">
        <v>19</v>
      </c>
      <c r="H326" s="1" t="s">
        <v>16</v>
      </c>
      <c r="J326" s="6">
        <f t="shared" si="2"/>
        <v>5</v>
      </c>
      <c r="K326" s="1" t="s">
        <v>19</v>
      </c>
    </row>
    <row r="327" spans="1:12" ht="15.75" customHeight="1" x14ac:dyDescent="0.2">
      <c r="A327" s="1">
        <v>89</v>
      </c>
      <c r="B327" s="18">
        <v>45878</v>
      </c>
      <c r="C327" s="1">
        <v>326</v>
      </c>
      <c r="D327" s="1" t="s">
        <v>12</v>
      </c>
      <c r="E327" s="1" t="s">
        <v>16</v>
      </c>
      <c r="F327" s="1" t="s">
        <v>19</v>
      </c>
      <c r="G327" s="1" t="s">
        <v>14</v>
      </c>
      <c r="H327" s="1" t="s">
        <v>13</v>
      </c>
      <c r="I327" s="1" t="s">
        <v>21</v>
      </c>
      <c r="J327" s="6">
        <f t="shared" si="2"/>
        <v>6</v>
      </c>
      <c r="K327" s="1" t="s">
        <v>19</v>
      </c>
      <c r="L327" s="1" t="s">
        <v>23</v>
      </c>
    </row>
    <row r="328" spans="1:12" ht="15.75" customHeight="1" x14ac:dyDescent="0.2">
      <c r="A328" s="1">
        <v>89</v>
      </c>
      <c r="B328" s="18">
        <v>45878</v>
      </c>
      <c r="C328" s="1">
        <v>327</v>
      </c>
      <c r="D328" s="1" t="s">
        <v>12</v>
      </c>
      <c r="E328" s="1" t="s">
        <v>16</v>
      </c>
      <c r="F328" s="1" t="s">
        <v>19</v>
      </c>
      <c r="G328" s="1" t="s">
        <v>14</v>
      </c>
      <c r="H328" s="1" t="s">
        <v>13</v>
      </c>
      <c r="I328" s="1" t="s">
        <v>21</v>
      </c>
      <c r="J328" s="6">
        <f t="shared" si="2"/>
        <v>6</v>
      </c>
      <c r="K328" s="1" t="s">
        <v>19</v>
      </c>
      <c r="L328" s="1" t="s">
        <v>23</v>
      </c>
    </row>
    <row r="329" spans="1:12" ht="15.75" customHeight="1" x14ac:dyDescent="0.2">
      <c r="A329" s="1">
        <v>89</v>
      </c>
      <c r="B329" s="18">
        <v>45878</v>
      </c>
      <c r="C329" s="1">
        <v>328</v>
      </c>
      <c r="D329" s="1" t="s">
        <v>12</v>
      </c>
      <c r="E329" s="1" t="s">
        <v>16</v>
      </c>
      <c r="F329" s="1" t="s">
        <v>19</v>
      </c>
      <c r="G329" s="1" t="s">
        <v>14</v>
      </c>
      <c r="H329" s="1" t="s">
        <v>13</v>
      </c>
      <c r="I329" s="1"/>
      <c r="J329" s="6">
        <f t="shared" si="2"/>
        <v>5</v>
      </c>
      <c r="K329" s="1" t="s">
        <v>19</v>
      </c>
    </row>
    <row r="330" spans="1:12" ht="15.75" customHeight="1" x14ac:dyDescent="0.2">
      <c r="A330" s="1">
        <v>89</v>
      </c>
      <c r="B330" s="18">
        <v>45878</v>
      </c>
      <c r="C330" s="1">
        <v>329</v>
      </c>
      <c r="D330" s="1" t="s">
        <v>12</v>
      </c>
      <c r="E330" s="1" t="s">
        <v>19</v>
      </c>
      <c r="F330" s="1" t="s">
        <v>14</v>
      </c>
      <c r="G330" s="1" t="s">
        <v>13</v>
      </c>
      <c r="J330" s="6">
        <f t="shared" si="2"/>
        <v>4</v>
      </c>
      <c r="K330" s="1" t="s">
        <v>19</v>
      </c>
    </row>
    <row r="331" spans="1:12" ht="15.75" customHeight="1" x14ac:dyDescent="0.2">
      <c r="A331" s="1">
        <v>90</v>
      </c>
      <c r="B331" s="18">
        <v>45883</v>
      </c>
      <c r="C331" s="1">
        <v>330</v>
      </c>
      <c r="D331" s="1" t="s">
        <v>13</v>
      </c>
      <c r="E331" s="1" t="s">
        <v>19</v>
      </c>
      <c r="F331" s="1" t="s">
        <v>14</v>
      </c>
      <c r="G331" s="1" t="s">
        <v>21</v>
      </c>
      <c r="J331" s="6">
        <f t="shared" si="2"/>
        <v>4</v>
      </c>
      <c r="K331" s="1" t="s">
        <v>19</v>
      </c>
    </row>
    <row r="332" spans="1:12" ht="15.75" customHeight="1" x14ac:dyDescent="0.2">
      <c r="A332" s="1">
        <v>90</v>
      </c>
      <c r="B332" s="18">
        <v>45883</v>
      </c>
      <c r="C332" s="1">
        <v>331</v>
      </c>
      <c r="D332" s="1" t="s">
        <v>13</v>
      </c>
      <c r="E332" s="1" t="s">
        <v>19</v>
      </c>
      <c r="F332" s="1" t="s">
        <v>14</v>
      </c>
      <c r="G332" s="1" t="s">
        <v>21</v>
      </c>
      <c r="J332" s="6">
        <f t="shared" si="2"/>
        <v>4</v>
      </c>
      <c r="K332" s="1" t="s">
        <v>19</v>
      </c>
    </row>
    <row r="333" spans="1:12" ht="15.75" customHeight="1" x14ac:dyDescent="0.2">
      <c r="A333" s="1">
        <v>90</v>
      </c>
      <c r="B333" s="18">
        <v>45883</v>
      </c>
      <c r="C333" s="1">
        <v>332</v>
      </c>
      <c r="D333" s="1" t="s">
        <v>13</v>
      </c>
      <c r="E333" s="1" t="s">
        <v>19</v>
      </c>
      <c r="F333" s="1" t="s">
        <v>14</v>
      </c>
      <c r="G333" s="1" t="s">
        <v>21</v>
      </c>
      <c r="J333" s="6">
        <f t="shared" si="2"/>
        <v>4</v>
      </c>
      <c r="K333" s="1" t="s">
        <v>19</v>
      </c>
    </row>
    <row r="334" spans="1:12" ht="15.75" customHeight="1" x14ac:dyDescent="0.2">
      <c r="A334" s="1">
        <v>90</v>
      </c>
      <c r="B334" s="18">
        <v>45883</v>
      </c>
      <c r="C334" s="1">
        <v>333</v>
      </c>
      <c r="D334" s="1" t="s">
        <v>13</v>
      </c>
      <c r="E334" s="1" t="s">
        <v>19</v>
      </c>
      <c r="F334" s="1" t="s">
        <v>14</v>
      </c>
      <c r="G334" s="1" t="s">
        <v>21</v>
      </c>
      <c r="J334" s="6">
        <f t="shared" si="2"/>
        <v>4</v>
      </c>
      <c r="K334" s="1" t="s">
        <v>19</v>
      </c>
    </row>
    <row r="335" spans="1:12" ht="15.75" customHeight="1" x14ac:dyDescent="0.2">
      <c r="A335" s="1">
        <v>91</v>
      </c>
      <c r="B335" s="18">
        <v>45890</v>
      </c>
      <c r="C335" s="1">
        <v>334</v>
      </c>
      <c r="D335" s="1" t="s">
        <v>12</v>
      </c>
      <c r="E335" s="1" t="s">
        <v>14</v>
      </c>
      <c r="F335" s="1" t="s">
        <v>21</v>
      </c>
      <c r="G335" s="1" t="s">
        <v>16</v>
      </c>
      <c r="J335" s="6">
        <f t="shared" si="2"/>
        <v>4</v>
      </c>
      <c r="K335" s="1" t="s">
        <v>14</v>
      </c>
    </row>
    <row r="336" spans="1:12" ht="15.75" customHeight="1" x14ac:dyDescent="0.2">
      <c r="A336" s="1">
        <v>91</v>
      </c>
      <c r="B336" s="18">
        <v>45890</v>
      </c>
      <c r="C336" s="1">
        <v>335</v>
      </c>
      <c r="D336" s="1" t="s">
        <v>12</v>
      </c>
      <c r="E336" s="1" t="s">
        <v>14</v>
      </c>
      <c r="F336" s="1" t="s">
        <v>21</v>
      </c>
      <c r="G336" s="1" t="s">
        <v>16</v>
      </c>
      <c r="J336" s="6">
        <f t="shared" si="2"/>
        <v>4</v>
      </c>
      <c r="K336" s="1" t="s">
        <v>14</v>
      </c>
    </row>
    <row r="337" spans="1:12" ht="15.75" customHeight="1" x14ac:dyDescent="0.2">
      <c r="A337" s="1">
        <v>91</v>
      </c>
      <c r="B337" s="18">
        <v>45890</v>
      </c>
      <c r="C337" s="1">
        <v>336</v>
      </c>
      <c r="D337" s="1" t="s">
        <v>12</v>
      </c>
      <c r="E337" s="1" t="s">
        <v>14</v>
      </c>
      <c r="F337" s="1" t="s">
        <v>21</v>
      </c>
      <c r="G337" s="1" t="s">
        <v>16</v>
      </c>
      <c r="H337" s="1" t="s">
        <v>13</v>
      </c>
      <c r="I337" s="1" t="s">
        <v>19</v>
      </c>
      <c r="J337" s="6">
        <f t="shared" si="2"/>
        <v>6</v>
      </c>
      <c r="K337" s="1" t="s">
        <v>14</v>
      </c>
      <c r="L337" s="1" t="s">
        <v>23</v>
      </c>
    </row>
    <row r="338" spans="1:12" ht="15.75" customHeight="1" x14ac:dyDescent="0.2">
      <c r="A338" s="1">
        <v>91</v>
      </c>
      <c r="B338" s="18">
        <v>45890</v>
      </c>
      <c r="C338" s="1">
        <v>337</v>
      </c>
      <c r="D338" s="1" t="s">
        <v>12</v>
      </c>
      <c r="E338" s="1" t="s">
        <v>14</v>
      </c>
      <c r="F338" s="1" t="s">
        <v>21</v>
      </c>
      <c r="G338" s="1" t="s">
        <v>16</v>
      </c>
      <c r="H338" s="1" t="s">
        <v>13</v>
      </c>
      <c r="I338" s="1" t="s">
        <v>19</v>
      </c>
      <c r="J338" s="6">
        <f t="shared" si="2"/>
        <v>6</v>
      </c>
      <c r="K338" s="1" t="s">
        <v>14</v>
      </c>
      <c r="L338" s="1" t="s">
        <v>23</v>
      </c>
    </row>
    <row r="339" spans="1:12" ht="15.75" customHeight="1" x14ac:dyDescent="0.2">
      <c r="A339" s="1">
        <v>92</v>
      </c>
      <c r="B339" s="18">
        <v>45904</v>
      </c>
      <c r="C339" s="1">
        <v>338</v>
      </c>
      <c r="D339" s="1" t="s">
        <v>12</v>
      </c>
      <c r="E339" s="1" t="s">
        <v>14</v>
      </c>
      <c r="F339" s="1" t="s">
        <v>13</v>
      </c>
      <c r="G339" s="1" t="s">
        <v>19</v>
      </c>
      <c r="J339" s="6">
        <f t="shared" si="2"/>
        <v>4</v>
      </c>
      <c r="K339" s="1" t="s">
        <v>12</v>
      </c>
    </row>
    <row r="340" spans="1:12" ht="15.75" customHeight="1" x14ac:dyDescent="0.2">
      <c r="A340" s="1">
        <v>92</v>
      </c>
      <c r="B340" s="18">
        <v>45904</v>
      </c>
      <c r="C340" s="1">
        <v>339</v>
      </c>
      <c r="D340" s="1" t="s">
        <v>12</v>
      </c>
      <c r="E340" s="1" t="s">
        <v>14</v>
      </c>
      <c r="F340" s="1" t="s">
        <v>13</v>
      </c>
      <c r="G340" s="1" t="s">
        <v>19</v>
      </c>
      <c r="J340" s="6">
        <f t="shared" si="2"/>
        <v>4</v>
      </c>
      <c r="K340" s="1" t="s">
        <v>12</v>
      </c>
    </row>
    <row r="341" spans="1:12" ht="15.75" customHeight="1" x14ac:dyDescent="0.2">
      <c r="A341" s="1">
        <v>92</v>
      </c>
      <c r="B341" s="18">
        <v>45904</v>
      </c>
      <c r="C341" s="1">
        <v>340</v>
      </c>
      <c r="D341" s="1" t="s">
        <v>12</v>
      </c>
      <c r="E341" s="1" t="s">
        <v>14</v>
      </c>
      <c r="F341" s="1" t="s">
        <v>13</v>
      </c>
      <c r="G341" s="1" t="s">
        <v>19</v>
      </c>
      <c r="H341" s="1" t="s">
        <v>15</v>
      </c>
      <c r="J341" s="6">
        <f t="shared" si="2"/>
        <v>5</v>
      </c>
      <c r="K341" s="1" t="s">
        <v>12</v>
      </c>
    </row>
    <row r="342" spans="1:12" ht="15.75" customHeight="1" x14ac:dyDescent="0.2">
      <c r="A342" s="1">
        <v>93</v>
      </c>
      <c r="B342" s="18">
        <v>45907</v>
      </c>
      <c r="C342" s="1">
        <v>341</v>
      </c>
      <c r="D342" s="1" t="s">
        <v>12</v>
      </c>
      <c r="E342" s="1" t="s">
        <v>14</v>
      </c>
      <c r="F342" s="1" t="s">
        <v>13</v>
      </c>
      <c r="G342" s="1" t="s">
        <v>19</v>
      </c>
      <c r="H342" s="1" t="s">
        <v>21</v>
      </c>
      <c r="J342" s="6">
        <f t="shared" si="2"/>
        <v>5</v>
      </c>
      <c r="K342" s="1" t="s">
        <v>13</v>
      </c>
    </row>
    <row r="343" spans="1:12" ht="15.75" customHeight="1" x14ac:dyDescent="0.2">
      <c r="A343" s="1">
        <v>93</v>
      </c>
      <c r="B343" s="18">
        <v>45907</v>
      </c>
      <c r="C343" s="1">
        <v>342</v>
      </c>
      <c r="D343" s="1" t="s">
        <v>12</v>
      </c>
      <c r="E343" s="1" t="s">
        <v>14</v>
      </c>
      <c r="F343" s="1" t="s">
        <v>13</v>
      </c>
      <c r="G343" s="1" t="s">
        <v>19</v>
      </c>
      <c r="H343" s="1" t="s">
        <v>21</v>
      </c>
      <c r="J343" s="6">
        <f t="shared" si="2"/>
        <v>5</v>
      </c>
      <c r="K343" s="1" t="s">
        <v>13</v>
      </c>
    </row>
    <row r="344" spans="1:12" ht="15.75" customHeight="1" x14ac:dyDescent="0.2">
      <c r="A344" s="1">
        <v>93</v>
      </c>
      <c r="B344" s="18">
        <v>45907</v>
      </c>
      <c r="C344" s="1">
        <v>343</v>
      </c>
      <c r="D344" s="1" t="s">
        <v>12</v>
      </c>
      <c r="E344" s="1" t="s">
        <v>14</v>
      </c>
      <c r="F344" s="1" t="s">
        <v>13</v>
      </c>
      <c r="G344" s="1" t="s">
        <v>19</v>
      </c>
      <c r="H344" s="1" t="s">
        <v>21</v>
      </c>
      <c r="J344" s="6">
        <f t="shared" si="2"/>
        <v>5</v>
      </c>
      <c r="K344" s="1" t="s">
        <v>13</v>
      </c>
    </row>
    <row r="345" spans="1:12" ht="15.75" customHeight="1" x14ac:dyDescent="0.2">
      <c r="A345" s="1">
        <v>93</v>
      </c>
      <c r="B345" s="18">
        <v>45907</v>
      </c>
      <c r="C345" s="1">
        <v>344</v>
      </c>
      <c r="D345" s="1" t="s">
        <v>12</v>
      </c>
      <c r="E345" s="1" t="s">
        <v>14</v>
      </c>
      <c r="F345" s="1" t="s">
        <v>13</v>
      </c>
      <c r="G345" s="1" t="s">
        <v>19</v>
      </c>
      <c r="H345" s="1"/>
      <c r="J345" s="6">
        <f t="shared" si="2"/>
        <v>4</v>
      </c>
      <c r="K345" s="1" t="s">
        <v>13</v>
      </c>
    </row>
    <row r="346" spans="1:12" ht="15.75" customHeight="1" x14ac:dyDescent="0.2">
      <c r="A346" s="1">
        <v>94</v>
      </c>
      <c r="B346" s="18">
        <v>45909</v>
      </c>
      <c r="C346" s="1">
        <v>345</v>
      </c>
      <c r="D346" s="1" t="s">
        <v>12</v>
      </c>
      <c r="E346" s="1" t="s">
        <v>14</v>
      </c>
      <c r="F346" s="1" t="s">
        <v>19</v>
      </c>
      <c r="G346" s="1" t="s">
        <v>21</v>
      </c>
      <c r="J346" s="6">
        <f t="shared" si="2"/>
        <v>4</v>
      </c>
      <c r="K346" s="1" t="s">
        <v>21</v>
      </c>
    </row>
    <row r="347" spans="1:12" ht="15.75" customHeight="1" x14ac:dyDescent="0.2">
      <c r="A347" s="1">
        <v>94</v>
      </c>
      <c r="B347" s="18">
        <v>45909</v>
      </c>
      <c r="C347" s="1">
        <v>346</v>
      </c>
      <c r="D347" s="1" t="s">
        <v>12</v>
      </c>
      <c r="E347" s="1" t="s">
        <v>14</v>
      </c>
      <c r="F347" s="1" t="s">
        <v>19</v>
      </c>
      <c r="G347" s="1" t="s">
        <v>21</v>
      </c>
      <c r="H347" s="1" t="s">
        <v>13</v>
      </c>
      <c r="J347" s="6">
        <f t="shared" si="2"/>
        <v>5</v>
      </c>
      <c r="K347" s="1" t="s">
        <v>21</v>
      </c>
    </row>
    <row r="348" spans="1:12" ht="15.75" customHeight="1" x14ac:dyDescent="0.2">
      <c r="A348" s="1">
        <v>94</v>
      </c>
      <c r="B348" s="18">
        <v>45909</v>
      </c>
      <c r="C348" s="1">
        <v>347</v>
      </c>
      <c r="D348" s="1" t="s">
        <v>12</v>
      </c>
      <c r="E348" s="1" t="s">
        <v>14</v>
      </c>
      <c r="F348" s="1" t="s">
        <v>19</v>
      </c>
      <c r="G348" s="1" t="s">
        <v>21</v>
      </c>
      <c r="H348" s="1" t="s">
        <v>13</v>
      </c>
      <c r="J348" s="6">
        <f t="shared" si="2"/>
        <v>5</v>
      </c>
      <c r="K348" s="1" t="s">
        <v>21</v>
      </c>
    </row>
    <row r="349" spans="1:12" ht="15.75" customHeight="1" x14ac:dyDescent="0.2">
      <c r="A349" s="1">
        <v>95</v>
      </c>
      <c r="B349" s="18">
        <v>45918</v>
      </c>
      <c r="C349" s="1">
        <v>348</v>
      </c>
      <c r="D349" s="1" t="s">
        <v>13</v>
      </c>
      <c r="E349" s="1" t="s">
        <v>14</v>
      </c>
      <c r="F349" s="1" t="s">
        <v>19</v>
      </c>
      <c r="G349" s="1" t="s">
        <v>21</v>
      </c>
      <c r="J349" s="6">
        <f t="shared" si="2"/>
        <v>4</v>
      </c>
      <c r="K349" s="1" t="s">
        <v>21</v>
      </c>
    </row>
    <row r="350" spans="1:12" ht="15.75" customHeight="1" x14ac:dyDescent="0.2">
      <c r="A350" s="1">
        <v>95</v>
      </c>
      <c r="B350" s="18">
        <v>45918</v>
      </c>
      <c r="C350" s="1">
        <v>349</v>
      </c>
      <c r="D350" s="1" t="s">
        <v>13</v>
      </c>
      <c r="E350" s="1" t="s">
        <v>14</v>
      </c>
      <c r="F350" s="1" t="s">
        <v>19</v>
      </c>
      <c r="G350" s="1" t="s">
        <v>21</v>
      </c>
      <c r="J350" s="6">
        <f t="shared" si="2"/>
        <v>4</v>
      </c>
      <c r="K350" s="1" t="s">
        <v>21</v>
      </c>
    </row>
    <row r="351" spans="1:12" ht="15.75" customHeight="1" x14ac:dyDescent="0.2">
      <c r="A351" s="1">
        <v>95</v>
      </c>
      <c r="B351" s="18">
        <v>45918</v>
      </c>
      <c r="C351" s="1">
        <v>350</v>
      </c>
      <c r="D351" s="1" t="s">
        <v>13</v>
      </c>
      <c r="E351" s="1" t="s">
        <v>14</v>
      </c>
      <c r="F351" s="1" t="s">
        <v>19</v>
      </c>
      <c r="G351" s="1" t="s">
        <v>21</v>
      </c>
      <c r="J351" s="6">
        <f t="shared" si="2"/>
        <v>4</v>
      </c>
      <c r="K351" s="1" t="s">
        <v>21</v>
      </c>
    </row>
    <row r="352" spans="1:12" ht="15.75" customHeight="1" x14ac:dyDescent="0.2">
      <c r="A352" s="1">
        <v>96</v>
      </c>
      <c r="B352" s="18">
        <v>45921</v>
      </c>
      <c r="C352" s="1">
        <v>351</v>
      </c>
      <c r="D352" s="1" t="s">
        <v>12</v>
      </c>
      <c r="E352" s="1" t="s">
        <v>13</v>
      </c>
      <c r="F352" s="1" t="s">
        <v>14</v>
      </c>
      <c r="G352" s="1" t="s">
        <v>19</v>
      </c>
      <c r="J352" s="6">
        <f t="shared" si="2"/>
        <v>4</v>
      </c>
      <c r="K352" s="1" t="s">
        <v>13</v>
      </c>
    </row>
    <row r="353" spans="1:11" ht="15.75" customHeight="1" x14ac:dyDescent="0.2">
      <c r="A353" s="1">
        <v>96</v>
      </c>
      <c r="B353" s="18">
        <v>45921</v>
      </c>
      <c r="C353" s="1">
        <v>352</v>
      </c>
      <c r="D353" s="1" t="s">
        <v>12</v>
      </c>
      <c r="E353" s="1" t="s">
        <v>13</v>
      </c>
      <c r="F353" s="1" t="s">
        <v>14</v>
      </c>
      <c r="G353" s="1" t="s">
        <v>19</v>
      </c>
      <c r="J353" s="6">
        <f t="shared" si="2"/>
        <v>4</v>
      </c>
      <c r="K353" s="1" t="s">
        <v>13</v>
      </c>
    </row>
    <row r="354" spans="1:11" ht="15.75" customHeight="1" x14ac:dyDescent="0.2">
      <c r="A354" s="1">
        <v>96</v>
      </c>
      <c r="B354" s="18">
        <v>45921</v>
      </c>
      <c r="C354" s="1">
        <v>353</v>
      </c>
      <c r="D354" s="1" t="s">
        <v>12</v>
      </c>
      <c r="E354" s="1" t="s">
        <v>13</v>
      </c>
      <c r="F354" s="1" t="s">
        <v>14</v>
      </c>
      <c r="G354" s="1" t="s">
        <v>19</v>
      </c>
      <c r="J354" s="6">
        <f t="shared" si="2"/>
        <v>4</v>
      </c>
      <c r="K354" s="1" t="s">
        <v>13</v>
      </c>
    </row>
    <row r="355" spans="1:11" ht="15.75" customHeight="1" x14ac:dyDescent="0.2">
      <c r="A355" s="1">
        <v>96</v>
      </c>
      <c r="B355" s="18">
        <v>45921</v>
      </c>
      <c r="C355" s="1">
        <v>354</v>
      </c>
      <c r="D355" s="1" t="s">
        <v>12</v>
      </c>
      <c r="E355" s="1" t="s">
        <v>13</v>
      </c>
      <c r="F355" s="1" t="s">
        <v>14</v>
      </c>
      <c r="G355" s="1" t="s">
        <v>19</v>
      </c>
      <c r="J355" s="6">
        <f t="shared" si="2"/>
        <v>4</v>
      </c>
      <c r="K355" s="1" t="s">
        <v>13</v>
      </c>
    </row>
    <row r="356" spans="1:11" ht="15.75" customHeight="1" x14ac:dyDescent="0.2">
      <c r="A356" s="1">
        <v>97</v>
      </c>
      <c r="B356" s="18">
        <v>45932</v>
      </c>
      <c r="C356" s="1">
        <v>355</v>
      </c>
      <c r="D356" s="1" t="s">
        <v>12</v>
      </c>
      <c r="E356" s="1" t="s">
        <v>13</v>
      </c>
      <c r="F356" s="1" t="s">
        <v>19</v>
      </c>
      <c r="G356" s="1" t="s">
        <v>21</v>
      </c>
      <c r="J356" s="6">
        <f t="shared" si="2"/>
        <v>4</v>
      </c>
      <c r="K356" s="1" t="s">
        <v>21</v>
      </c>
    </row>
    <row r="357" spans="1:11" ht="15.75" customHeight="1" x14ac:dyDescent="0.2">
      <c r="A357" s="1">
        <v>97</v>
      </c>
      <c r="B357" s="18">
        <v>45932</v>
      </c>
      <c r="C357" s="1">
        <v>356</v>
      </c>
      <c r="D357" s="1" t="s">
        <v>12</v>
      </c>
      <c r="E357" s="1" t="s">
        <v>13</v>
      </c>
      <c r="F357" s="1" t="s">
        <v>19</v>
      </c>
      <c r="G357" s="1" t="s">
        <v>21</v>
      </c>
      <c r="J357" s="6">
        <f t="shared" si="2"/>
        <v>4</v>
      </c>
      <c r="K357" s="1" t="s">
        <v>21</v>
      </c>
    </row>
    <row r="358" spans="1:11" ht="15.75" customHeight="1" x14ac:dyDescent="0.2">
      <c r="A358" s="1">
        <v>97</v>
      </c>
      <c r="B358" s="18">
        <v>45932</v>
      </c>
      <c r="C358" s="1">
        <v>357</v>
      </c>
      <c r="D358" s="1" t="s">
        <v>12</v>
      </c>
      <c r="E358" s="1" t="s">
        <v>13</v>
      </c>
      <c r="F358" s="1" t="s">
        <v>19</v>
      </c>
      <c r="G358" s="1" t="s">
        <v>21</v>
      </c>
      <c r="J358" s="6">
        <f t="shared" si="2"/>
        <v>4</v>
      </c>
      <c r="K358" s="1" t="s">
        <v>21</v>
      </c>
    </row>
    <row r="359" spans="1:11" ht="15.75" customHeight="1" x14ac:dyDescent="0.2">
      <c r="A359" s="1">
        <v>97</v>
      </c>
      <c r="B359" s="18">
        <v>45932</v>
      </c>
      <c r="C359" s="1">
        <v>358</v>
      </c>
      <c r="D359" s="1" t="s">
        <v>12</v>
      </c>
      <c r="E359" s="1" t="s">
        <v>13</v>
      </c>
      <c r="F359" s="1" t="s">
        <v>19</v>
      </c>
      <c r="G359" s="1" t="s">
        <v>21</v>
      </c>
      <c r="J359" s="6">
        <f t="shared" si="2"/>
        <v>4</v>
      </c>
      <c r="K359" s="1" t="s">
        <v>21</v>
      </c>
    </row>
    <row r="360" spans="1:11" ht="15.75" customHeight="1" x14ac:dyDescent="0.2">
      <c r="A360" s="1">
        <v>98</v>
      </c>
      <c r="B360" s="18">
        <v>45942</v>
      </c>
      <c r="C360" s="1">
        <v>359</v>
      </c>
      <c r="D360" s="1" t="s">
        <v>12</v>
      </c>
      <c r="E360" s="1" t="s">
        <v>13</v>
      </c>
      <c r="F360" s="1" t="s">
        <v>19</v>
      </c>
      <c r="G360" s="1" t="s">
        <v>21</v>
      </c>
      <c r="J360" s="6">
        <f t="shared" si="2"/>
        <v>4</v>
      </c>
      <c r="K360" s="1" t="s">
        <v>13</v>
      </c>
    </row>
    <row r="361" spans="1:11" ht="15.75" customHeight="1" x14ac:dyDescent="0.2">
      <c r="A361" s="1">
        <v>98</v>
      </c>
      <c r="B361" s="18">
        <v>45942</v>
      </c>
      <c r="C361" s="1">
        <v>360</v>
      </c>
      <c r="D361" s="1" t="s">
        <v>12</v>
      </c>
      <c r="E361" s="1" t="s">
        <v>13</v>
      </c>
      <c r="F361" s="1" t="s">
        <v>19</v>
      </c>
      <c r="G361" s="1" t="s">
        <v>21</v>
      </c>
      <c r="J361" s="6">
        <f t="shared" si="2"/>
        <v>4</v>
      </c>
      <c r="K361" s="1" t="s">
        <v>13</v>
      </c>
    </row>
    <row r="362" spans="1:11" ht="15.75" customHeight="1" x14ac:dyDescent="0.2">
      <c r="A362" s="1">
        <v>98</v>
      </c>
      <c r="B362" s="18">
        <v>45942</v>
      </c>
      <c r="C362" s="1">
        <v>361</v>
      </c>
      <c r="D362" s="1" t="s">
        <v>12</v>
      </c>
      <c r="E362" s="1" t="s">
        <v>13</v>
      </c>
      <c r="F362" s="1" t="s">
        <v>19</v>
      </c>
      <c r="G362" s="1" t="s">
        <v>21</v>
      </c>
      <c r="J362" s="6">
        <f t="shared" si="2"/>
        <v>4</v>
      </c>
      <c r="K362" s="1" t="s">
        <v>13</v>
      </c>
    </row>
    <row r="363" spans="1:11" ht="15.75" customHeight="1" x14ac:dyDescent="0.2">
      <c r="A363" s="1">
        <v>99</v>
      </c>
      <c r="B363" s="18">
        <v>45947</v>
      </c>
      <c r="C363" s="1">
        <v>362</v>
      </c>
      <c r="D363" s="1" t="s">
        <v>12</v>
      </c>
      <c r="E363" s="1" t="s">
        <v>13</v>
      </c>
      <c r="F363" s="1" t="s">
        <v>21</v>
      </c>
      <c r="G363" s="1" t="s">
        <v>16</v>
      </c>
      <c r="J363" s="6">
        <f t="shared" si="2"/>
        <v>4</v>
      </c>
      <c r="K363" s="1" t="s">
        <v>13</v>
      </c>
    </row>
    <row r="364" spans="1:11" ht="15.75" customHeight="1" x14ac:dyDescent="0.2">
      <c r="A364" s="1">
        <v>99</v>
      </c>
      <c r="B364" s="18">
        <v>45947</v>
      </c>
      <c r="C364" s="1">
        <v>363</v>
      </c>
      <c r="D364" s="1" t="s">
        <v>12</v>
      </c>
      <c r="E364" s="1" t="s">
        <v>13</v>
      </c>
      <c r="F364" s="1" t="s">
        <v>21</v>
      </c>
      <c r="G364" s="1" t="s">
        <v>16</v>
      </c>
      <c r="H364" s="1" t="s">
        <v>19</v>
      </c>
      <c r="J364" s="6">
        <f t="shared" si="2"/>
        <v>5</v>
      </c>
      <c r="K364" s="1" t="s">
        <v>13</v>
      </c>
    </row>
    <row r="365" spans="1:11" ht="15.75" customHeight="1" x14ac:dyDescent="0.2">
      <c r="A365" s="1">
        <v>99</v>
      </c>
      <c r="B365" s="18">
        <v>45947</v>
      </c>
      <c r="C365" s="1">
        <v>364</v>
      </c>
      <c r="D365" s="1" t="s">
        <v>12</v>
      </c>
      <c r="E365" s="1" t="s">
        <v>13</v>
      </c>
      <c r="F365" s="1" t="s">
        <v>21</v>
      </c>
      <c r="G365" s="1" t="s">
        <v>16</v>
      </c>
      <c r="H365" s="1" t="s">
        <v>19</v>
      </c>
      <c r="J365" s="6">
        <f t="shared" si="2"/>
        <v>5</v>
      </c>
      <c r="K365" s="1" t="s">
        <v>13</v>
      </c>
    </row>
    <row r="366" spans="1:11" ht="15.75" customHeight="1" x14ac:dyDescent="0.2">
      <c r="A366" s="1">
        <v>100</v>
      </c>
      <c r="B366" s="18">
        <v>45954</v>
      </c>
      <c r="C366" s="1">
        <v>365</v>
      </c>
      <c r="D366" s="1" t="s">
        <v>12</v>
      </c>
      <c r="E366" s="1" t="s">
        <v>16</v>
      </c>
      <c r="F366" s="1" t="s">
        <v>21</v>
      </c>
      <c r="G366" s="1" t="s">
        <v>19</v>
      </c>
      <c r="H366" s="1" t="s">
        <v>14</v>
      </c>
      <c r="J366" s="6">
        <f t="shared" si="2"/>
        <v>5</v>
      </c>
      <c r="K366" s="1" t="s">
        <v>21</v>
      </c>
    </row>
    <row r="367" spans="1:11" ht="15.75" customHeight="1" x14ac:dyDescent="0.2">
      <c r="A367" s="1">
        <v>100</v>
      </c>
      <c r="B367" s="18">
        <v>45954</v>
      </c>
      <c r="C367" s="1">
        <v>366</v>
      </c>
      <c r="D367" s="1" t="s">
        <v>12</v>
      </c>
      <c r="E367" s="1" t="s">
        <v>16</v>
      </c>
      <c r="F367" s="1" t="s">
        <v>21</v>
      </c>
      <c r="G367" s="1" t="s">
        <v>19</v>
      </c>
      <c r="H367" s="1" t="s">
        <v>14</v>
      </c>
      <c r="J367" s="6">
        <f t="shared" si="2"/>
        <v>5</v>
      </c>
      <c r="K367" s="1" t="s">
        <v>21</v>
      </c>
    </row>
    <row r="368" spans="1:11" ht="15.75" customHeight="1" x14ac:dyDescent="0.2">
      <c r="A368" s="1">
        <v>100</v>
      </c>
      <c r="B368" s="18">
        <v>45954</v>
      </c>
      <c r="C368" s="1">
        <v>367</v>
      </c>
      <c r="D368" s="1" t="s">
        <v>12</v>
      </c>
      <c r="E368" s="1" t="s">
        <v>16</v>
      </c>
      <c r="F368" s="1" t="s">
        <v>21</v>
      </c>
      <c r="G368" s="1" t="s">
        <v>19</v>
      </c>
      <c r="H368" s="1" t="s">
        <v>14</v>
      </c>
      <c r="J368" s="6">
        <f t="shared" si="2"/>
        <v>5</v>
      </c>
      <c r="K368" s="1" t="s">
        <v>21</v>
      </c>
    </row>
    <row r="369" spans="1:11" ht="15.75" customHeight="1" x14ac:dyDescent="0.2">
      <c r="A369" s="1">
        <v>100</v>
      </c>
      <c r="B369" s="18">
        <v>45954</v>
      </c>
      <c r="C369" s="1">
        <v>368</v>
      </c>
      <c r="D369" s="1" t="s">
        <v>12</v>
      </c>
      <c r="E369" s="1" t="s">
        <v>16</v>
      </c>
      <c r="F369" s="1" t="s">
        <v>21</v>
      </c>
      <c r="G369" s="1" t="s">
        <v>19</v>
      </c>
      <c r="H369" s="1" t="s">
        <v>14</v>
      </c>
      <c r="J369" s="6">
        <f t="shared" si="2"/>
        <v>5</v>
      </c>
      <c r="K369" s="1" t="s">
        <v>21</v>
      </c>
    </row>
    <row r="370" spans="1:11" ht="15.75" customHeight="1" x14ac:dyDescent="0.2">
      <c r="A370" s="1">
        <v>101</v>
      </c>
      <c r="B370" s="18">
        <v>45989</v>
      </c>
      <c r="C370" s="1">
        <v>369</v>
      </c>
      <c r="D370" s="1" t="s">
        <v>13</v>
      </c>
      <c r="E370" s="1" t="s">
        <v>16</v>
      </c>
      <c r="F370" s="1" t="s">
        <v>21</v>
      </c>
      <c r="G370" s="1" t="s">
        <v>19</v>
      </c>
      <c r="H370" s="1" t="s">
        <v>26</v>
      </c>
      <c r="J370" s="6">
        <f t="shared" si="2"/>
        <v>5</v>
      </c>
      <c r="K370" s="1" t="s">
        <v>21</v>
      </c>
    </row>
    <row r="371" spans="1:11" ht="15.75" customHeight="1" x14ac:dyDescent="0.2">
      <c r="A371" s="1">
        <v>101</v>
      </c>
      <c r="B371" s="18">
        <v>45990</v>
      </c>
      <c r="C371" s="1">
        <v>370</v>
      </c>
      <c r="D371" s="1" t="s">
        <v>13</v>
      </c>
      <c r="E371" s="1" t="s">
        <v>16</v>
      </c>
      <c r="F371" s="1" t="s">
        <v>19</v>
      </c>
      <c r="G371" s="1" t="s">
        <v>26</v>
      </c>
      <c r="J371" s="6">
        <f t="shared" si="2"/>
        <v>4</v>
      </c>
      <c r="K371" s="1" t="s">
        <v>21</v>
      </c>
    </row>
    <row r="372" spans="1:11" ht="15.75" customHeight="1" x14ac:dyDescent="0.2">
      <c r="A372" s="1">
        <v>101</v>
      </c>
      <c r="B372" s="18">
        <v>45990</v>
      </c>
      <c r="C372" s="1">
        <v>371</v>
      </c>
      <c r="D372" s="1" t="s">
        <v>13</v>
      </c>
      <c r="E372" s="1" t="s">
        <v>16</v>
      </c>
      <c r="F372" s="1" t="s">
        <v>21</v>
      </c>
      <c r="G372" s="1" t="s">
        <v>19</v>
      </c>
      <c r="H372" s="1" t="s">
        <v>26</v>
      </c>
      <c r="J372" s="6">
        <f t="shared" si="2"/>
        <v>5</v>
      </c>
      <c r="K372" s="1" t="s">
        <v>21</v>
      </c>
    </row>
    <row r="373" spans="1:11" ht="15.75" customHeight="1" x14ac:dyDescent="0.2">
      <c r="A373" s="1">
        <v>101</v>
      </c>
      <c r="B373" s="18">
        <v>45990</v>
      </c>
      <c r="C373" s="1">
        <v>372</v>
      </c>
      <c r="D373" s="1" t="s">
        <v>13</v>
      </c>
      <c r="E373" s="1" t="s">
        <v>16</v>
      </c>
      <c r="F373" s="1" t="s">
        <v>21</v>
      </c>
      <c r="G373" s="1" t="s">
        <v>19</v>
      </c>
      <c r="J373" s="6">
        <f t="shared" si="2"/>
        <v>4</v>
      </c>
      <c r="K373" s="1" t="s">
        <v>21</v>
      </c>
    </row>
    <row r="374" spans="1:11" ht="15.75" customHeight="1" x14ac:dyDescent="0.2">
      <c r="A374" s="1">
        <v>101</v>
      </c>
      <c r="B374" s="18">
        <v>45991</v>
      </c>
      <c r="C374" s="1">
        <v>373</v>
      </c>
      <c r="D374" s="1" t="s">
        <v>13</v>
      </c>
      <c r="E374" s="1" t="s">
        <v>16</v>
      </c>
      <c r="F374" s="1" t="s">
        <v>21</v>
      </c>
      <c r="G374" s="1" t="s">
        <v>26</v>
      </c>
      <c r="H374" s="1"/>
      <c r="J374" s="6">
        <f t="shared" si="2"/>
        <v>4</v>
      </c>
      <c r="K374" s="1" t="s">
        <v>21</v>
      </c>
    </row>
    <row r="375" spans="1:11" ht="15.75" customHeight="1" x14ac:dyDescent="0.2">
      <c r="A375" s="1">
        <v>102</v>
      </c>
      <c r="B375" s="18">
        <v>45996</v>
      </c>
      <c r="C375" s="1">
        <v>374</v>
      </c>
      <c r="D375" s="1" t="s">
        <v>12</v>
      </c>
      <c r="E375" s="1" t="s">
        <v>13</v>
      </c>
      <c r="F375" s="1" t="s">
        <v>19</v>
      </c>
      <c r="G375" s="1" t="s">
        <v>16</v>
      </c>
      <c r="H375" s="1" t="s">
        <v>21</v>
      </c>
      <c r="I375" s="1" t="s">
        <v>26</v>
      </c>
      <c r="J375" s="6">
        <f t="shared" si="2"/>
        <v>6</v>
      </c>
      <c r="K375" s="1" t="s">
        <v>13</v>
      </c>
    </row>
    <row r="376" spans="1:11" ht="15.75" customHeight="1" x14ac:dyDescent="0.2">
      <c r="A376" s="1">
        <v>103</v>
      </c>
      <c r="B376" s="18">
        <v>45999</v>
      </c>
      <c r="C376" s="1">
        <v>375</v>
      </c>
      <c r="D376" s="1" t="s">
        <v>12</v>
      </c>
      <c r="E376" s="1" t="s">
        <v>13</v>
      </c>
      <c r="F376" s="1" t="s">
        <v>21</v>
      </c>
      <c r="G376" s="1" t="s">
        <v>15</v>
      </c>
      <c r="J376" s="6">
        <f t="shared" si="2"/>
        <v>4</v>
      </c>
      <c r="K376" s="1" t="s">
        <v>12</v>
      </c>
    </row>
    <row r="377" spans="1:11" ht="15.75" customHeight="1" x14ac:dyDescent="0.2">
      <c r="A377" s="1">
        <v>103</v>
      </c>
      <c r="B377" s="18">
        <v>45999</v>
      </c>
      <c r="C377" s="1">
        <v>376</v>
      </c>
      <c r="D377" s="1" t="s">
        <v>12</v>
      </c>
      <c r="E377" s="1" t="s">
        <v>13</v>
      </c>
      <c r="F377" s="1" t="s">
        <v>21</v>
      </c>
      <c r="G377" s="1" t="s">
        <v>15</v>
      </c>
      <c r="J377" s="6">
        <f t="shared" si="2"/>
        <v>4</v>
      </c>
      <c r="K377" s="1" t="s">
        <v>12</v>
      </c>
    </row>
    <row r="378" spans="1:11" ht="15.75" customHeight="1" x14ac:dyDescent="0.2">
      <c r="A378" s="1">
        <v>103</v>
      </c>
      <c r="B378" s="18">
        <v>45999</v>
      </c>
      <c r="C378" s="1">
        <v>377</v>
      </c>
      <c r="D378" s="1" t="s">
        <v>12</v>
      </c>
      <c r="E378" s="1" t="s">
        <v>13</v>
      </c>
      <c r="F378" s="1" t="s">
        <v>21</v>
      </c>
      <c r="G378" s="1" t="s">
        <v>15</v>
      </c>
      <c r="J378" s="6">
        <f t="shared" si="2"/>
        <v>4</v>
      </c>
      <c r="K378" s="1" t="s">
        <v>12</v>
      </c>
    </row>
    <row r="379" spans="1:11" ht="15.75" customHeight="1" x14ac:dyDescent="0.2">
      <c r="A379" s="1">
        <v>103</v>
      </c>
      <c r="B379" s="18">
        <v>45999</v>
      </c>
      <c r="C379" s="1">
        <v>378</v>
      </c>
      <c r="D379" s="1" t="s">
        <v>12</v>
      </c>
      <c r="E379" s="1" t="s">
        <v>13</v>
      </c>
      <c r="F379" s="1" t="s">
        <v>21</v>
      </c>
      <c r="G379" s="1" t="s">
        <v>15</v>
      </c>
      <c r="J379" s="6">
        <f t="shared" si="2"/>
        <v>4</v>
      </c>
      <c r="K379" s="1" t="s">
        <v>12</v>
      </c>
    </row>
    <row r="380" spans="1:11" ht="15.75" customHeight="1" x14ac:dyDescent="0.2">
      <c r="A380" s="1">
        <v>104</v>
      </c>
      <c r="B380" s="18">
        <v>46003</v>
      </c>
      <c r="C380" s="1">
        <v>379</v>
      </c>
      <c r="D380" s="1" t="s">
        <v>12</v>
      </c>
      <c r="E380" s="1" t="s">
        <v>13</v>
      </c>
      <c r="F380" s="1" t="s">
        <v>16</v>
      </c>
      <c r="G380" s="1" t="s">
        <v>25</v>
      </c>
      <c r="J380" s="6">
        <f t="shared" si="2"/>
        <v>4</v>
      </c>
      <c r="K380" s="1" t="s">
        <v>13</v>
      </c>
    </row>
    <row r="381" spans="1:11" ht="15.75" customHeight="1" x14ac:dyDescent="0.2">
      <c r="A381" s="1">
        <v>104</v>
      </c>
      <c r="B381" s="18">
        <v>46003</v>
      </c>
      <c r="C381" s="1">
        <v>380</v>
      </c>
      <c r="D381" s="1" t="s">
        <v>12</v>
      </c>
      <c r="E381" s="1" t="s">
        <v>13</v>
      </c>
      <c r="F381" s="1" t="s">
        <v>16</v>
      </c>
      <c r="G381" s="1" t="s">
        <v>25</v>
      </c>
      <c r="H381" s="1" t="s">
        <v>19</v>
      </c>
      <c r="J381" s="6">
        <f t="shared" si="2"/>
        <v>5</v>
      </c>
      <c r="K381" s="1" t="s">
        <v>13</v>
      </c>
    </row>
    <row r="382" spans="1:11" ht="15.75" customHeight="1" x14ac:dyDescent="0.2">
      <c r="A382" s="1">
        <v>104</v>
      </c>
      <c r="B382" s="18">
        <v>46003</v>
      </c>
      <c r="C382" s="1">
        <v>381</v>
      </c>
      <c r="D382" s="1" t="s">
        <v>12</v>
      </c>
      <c r="E382" s="1" t="s">
        <v>13</v>
      </c>
      <c r="F382" s="1" t="s">
        <v>16</v>
      </c>
      <c r="G382" s="1" t="s">
        <v>25</v>
      </c>
      <c r="H382" s="1" t="s">
        <v>19</v>
      </c>
      <c r="J382" s="6">
        <f t="shared" si="2"/>
        <v>5</v>
      </c>
      <c r="K382" s="1" t="s">
        <v>13</v>
      </c>
    </row>
    <row r="383" spans="1:11" ht="15.75" customHeight="1" x14ac:dyDescent="0.2">
      <c r="A383" s="1">
        <v>105</v>
      </c>
      <c r="B383" s="18">
        <v>46011</v>
      </c>
      <c r="C383" s="1">
        <v>382</v>
      </c>
      <c r="D383" s="1" t="s">
        <v>12</v>
      </c>
      <c r="E383" s="1" t="s">
        <v>13</v>
      </c>
      <c r="F383" s="1" t="s">
        <v>16</v>
      </c>
      <c r="G383" s="1" t="s">
        <v>21</v>
      </c>
      <c r="H383" s="1" t="s">
        <v>19</v>
      </c>
      <c r="J383" s="6">
        <f t="shared" si="2"/>
        <v>5</v>
      </c>
      <c r="K383" s="1" t="s">
        <v>13</v>
      </c>
    </row>
    <row r="384" spans="1:11" ht="15.75" customHeight="1" x14ac:dyDescent="0.2">
      <c r="A384" s="1">
        <v>105</v>
      </c>
      <c r="B384" s="18">
        <v>46011</v>
      </c>
      <c r="C384" s="1">
        <v>383</v>
      </c>
      <c r="D384" s="1" t="s">
        <v>12</v>
      </c>
      <c r="E384" s="1" t="s">
        <v>13</v>
      </c>
      <c r="F384" s="1" t="s">
        <v>16</v>
      </c>
      <c r="G384" s="1" t="s">
        <v>21</v>
      </c>
      <c r="H384" s="1" t="s">
        <v>19</v>
      </c>
      <c r="J384" s="6">
        <f t="shared" si="2"/>
        <v>5</v>
      </c>
      <c r="K384" s="1" t="s">
        <v>13</v>
      </c>
    </row>
    <row r="385" spans="1:12" ht="15.75" customHeight="1" x14ac:dyDescent="0.2">
      <c r="A385" s="1">
        <v>105</v>
      </c>
      <c r="B385" s="18">
        <v>46011</v>
      </c>
      <c r="C385" s="1">
        <v>384</v>
      </c>
      <c r="D385" s="1" t="s">
        <v>12</v>
      </c>
      <c r="E385" s="1" t="s">
        <v>13</v>
      </c>
      <c r="F385" s="1" t="s">
        <v>16</v>
      </c>
      <c r="G385" s="1" t="s">
        <v>21</v>
      </c>
      <c r="H385" s="1" t="s">
        <v>19</v>
      </c>
      <c r="J385" s="6">
        <f t="shared" si="2"/>
        <v>5</v>
      </c>
      <c r="K385" s="1" t="s">
        <v>13</v>
      </c>
    </row>
    <row r="386" spans="1:12" ht="15.75" customHeight="1" x14ac:dyDescent="0.2">
      <c r="A386" s="1">
        <v>105</v>
      </c>
      <c r="B386" s="18">
        <v>46011</v>
      </c>
      <c r="C386" s="1">
        <v>385</v>
      </c>
      <c r="D386" s="1" t="s">
        <v>12</v>
      </c>
      <c r="E386" s="1" t="s">
        <v>13</v>
      </c>
      <c r="F386" s="1" t="s">
        <v>16</v>
      </c>
      <c r="G386" s="1" t="s">
        <v>21</v>
      </c>
      <c r="H386" s="1" t="s">
        <v>19</v>
      </c>
      <c r="J386" s="6">
        <f t="shared" si="2"/>
        <v>5</v>
      </c>
      <c r="K386" s="1" t="s">
        <v>13</v>
      </c>
    </row>
    <row r="387" spans="1:12" ht="15.75" customHeight="1" x14ac:dyDescent="0.2">
      <c r="A387" s="1">
        <v>105</v>
      </c>
      <c r="B387" s="18">
        <v>46011</v>
      </c>
      <c r="C387" s="1">
        <v>386</v>
      </c>
      <c r="D387" s="1" t="s">
        <v>12</v>
      </c>
      <c r="E387" s="1" t="s">
        <v>13</v>
      </c>
      <c r="F387" s="1" t="s">
        <v>16</v>
      </c>
      <c r="G387" s="1" t="s">
        <v>21</v>
      </c>
      <c r="H387" s="1" t="s">
        <v>19</v>
      </c>
      <c r="J387" s="6">
        <f t="shared" si="2"/>
        <v>5</v>
      </c>
      <c r="K387" s="1" t="s">
        <v>13</v>
      </c>
    </row>
    <row r="388" spans="1:12" ht="15.75" customHeight="1" x14ac:dyDescent="0.2">
      <c r="A388" s="1">
        <v>105</v>
      </c>
      <c r="B388" s="18">
        <v>46011</v>
      </c>
      <c r="C388" s="1">
        <v>387</v>
      </c>
      <c r="D388" s="1" t="s">
        <v>12</v>
      </c>
      <c r="E388" s="1" t="s">
        <v>19</v>
      </c>
      <c r="F388" s="1" t="s">
        <v>21</v>
      </c>
      <c r="G388" s="1" t="s">
        <v>26</v>
      </c>
      <c r="J388" s="6">
        <f t="shared" si="2"/>
        <v>4</v>
      </c>
      <c r="K388" s="1" t="s">
        <v>13</v>
      </c>
    </row>
    <row r="389" spans="1:12" ht="15.75" customHeight="1" x14ac:dyDescent="0.2">
      <c r="A389" s="1">
        <v>106</v>
      </c>
      <c r="B389" s="18">
        <v>46027</v>
      </c>
      <c r="C389" s="1">
        <v>388</v>
      </c>
      <c r="D389" s="1" t="s">
        <v>12</v>
      </c>
      <c r="E389" s="1" t="s">
        <v>13</v>
      </c>
      <c r="F389" s="1" t="s">
        <v>21</v>
      </c>
      <c r="G389" s="1" t="s">
        <v>19</v>
      </c>
      <c r="H389" s="1" t="s">
        <v>16</v>
      </c>
      <c r="I389" s="1" t="s">
        <v>14</v>
      </c>
      <c r="J389" s="6">
        <f t="shared" si="2"/>
        <v>6</v>
      </c>
      <c r="K389" s="1" t="s">
        <v>14</v>
      </c>
      <c r="L389" s="1" t="s">
        <v>23</v>
      </c>
    </row>
    <row r="390" spans="1:12" ht="15.75" customHeight="1" x14ac:dyDescent="0.2">
      <c r="A390" s="1">
        <v>106</v>
      </c>
      <c r="B390" s="18">
        <v>46027</v>
      </c>
      <c r="C390" s="1">
        <v>389</v>
      </c>
      <c r="D390" s="1" t="s">
        <v>12</v>
      </c>
      <c r="E390" s="1" t="s">
        <v>13</v>
      </c>
      <c r="F390" s="1" t="s">
        <v>21</v>
      </c>
      <c r="G390" s="1" t="s">
        <v>19</v>
      </c>
      <c r="H390" s="1" t="s">
        <v>16</v>
      </c>
      <c r="I390" s="1" t="s">
        <v>14</v>
      </c>
      <c r="J390" s="6">
        <f t="shared" si="2"/>
        <v>6</v>
      </c>
      <c r="K390" s="1" t="s">
        <v>14</v>
      </c>
    </row>
    <row r="391" spans="1:12" ht="15.75" customHeight="1" x14ac:dyDescent="0.2">
      <c r="A391" s="1">
        <v>106</v>
      </c>
      <c r="B391" s="18">
        <v>46027</v>
      </c>
      <c r="C391" s="1">
        <v>390</v>
      </c>
      <c r="D391" s="1" t="s">
        <v>12</v>
      </c>
      <c r="E391" s="1" t="s">
        <v>13</v>
      </c>
      <c r="F391" s="1" t="s">
        <v>21</v>
      </c>
      <c r="G391" s="1" t="s">
        <v>19</v>
      </c>
      <c r="H391" s="1" t="s">
        <v>16</v>
      </c>
      <c r="I391" s="1" t="s">
        <v>14</v>
      </c>
      <c r="J391" s="6">
        <f t="shared" si="2"/>
        <v>6</v>
      </c>
      <c r="K391" s="1" t="s">
        <v>14</v>
      </c>
    </row>
    <row r="392" spans="1:12" ht="15.75" customHeight="1" x14ac:dyDescent="0.2">
      <c r="A392" s="1">
        <v>107</v>
      </c>
      <c r="B392" s="18">
        <v>46032</v>
      </c>
      <c r="C392" s="1">
        <v>391</v>
      </c>
      <c r="D392" s="1" t="s">
        <v>19</v>
      </c>
      <c r="E392" s="1" t="s">
        <v>26</v>
      </c>
      <c r="F392" s="1" t="s">
        <v>21</v>
      </c>
      <c r="G392" s="1" t="s">
        <v>14</v>
      </c>
      <c r="J392" s="6">
        <f t="shared" si="2"/>
        <v>4</v>
      </c>
      <c r="K392" s="1" t="s">
        <v>19</v>
      </c>
    </row>
    <row r="393" spans="1:12" ht="15.75" customHeight="1" x14ac:dyDescent="0.2">
      <c r="A393" s="1">
        <v>107</v>
      </c>
      <c r="B393" s="18">
        <v>46032</v>
      </c>
      <c r="C393" s="1">
        <v>392</v>
      </c>
      <c r="D393" s="1" t="s">
        <v>19</v>
      </c>
      <c r="E393" s="1" t="s">
        <v>26</v>
      </c>
      <c r="F393" s="1" t="s">
        <v>21</v>
      </c>
      <c r="G393" s="1" t="s">
        <v>14</v>
      </c>
      <c r="J393" s="6">
        <f t="shared" si="2"/>
        <v>4</v>
      </c>
      <c r="K393" s="1" t="s">
        <v>19</v>
      </c>
    </row>
    <row r="394" spans="1:12" ht="15.75" customHeight="1" x14ac:dyDescent="0.2">
      <c r="A394" s="1">
        <v>108</v>
      </c>
      <c r="B394" s="18">
        <v>46039</v>
      </c>
      <c r="C394" s="1">
        <v>393</v>
      </c>
      <c r="D394" s="1" t="s">
        <v>12</v>
      </c>
      <c r="E394" s="1" t="s">
        <v>13</v>
      </c>
      <c r="F394" s="1" t="s">
        <v>21</v>
      </c>
      <c r="G394" s="1" t="s">
        <v>14</v>
      </c>
      <c r="H394" s="1" t="s">
        <v>16</v>
      </c>
      <c r="I394" s="1" t="s">
        <v>25</v>
      </c>
      <c r="J394" s="6">
        <f t="shared" si="2"/>
        <v>6</v>
      </c>
      <c r="K394" s="1" t="s">
        <v>16</v>
      </c>
    </row>
    <row r="395" spans="1:12" ht="15.75" customHeight="1" x14ac:dyDescent="0.2">
      <c r="A395" s="1">
        <v>108</v>
      </c>
      <c r="B395" s="18">
        <v>46039</v>
      </c>
      <c r="C395" s="1">
        <v>394</v>
      </c>
      <c r="D395" s="1" t="s">
        <v>12</v>
      </c>
      <c r="E395" s="1" t="s">
        <v>13</v>
      </c>
      <c r="F395" s="1" t="s">
        <v>21</v>
      </c>
      <c r="G395" s="1" t="s">
        <v>14</v>
      </c>
      <c r="H395" s="1" t="s">
        <v>16</v>
      </c>
      <c r="I395" s="1" t="s">
        <v>25</v>
      </c>
      <c r="J395" s="6">
        <f t="shared" si="2"/>
        <v>6</v>
      </c>
      <c r="K395" s="1" t="s">
        <v>16</v>
      </c>
    </row>
    <row r="396" spans="1:12" ht="15.75" customHeight="1" x14ac:dyDescent="0.2">
      <c r="A396" s="1">
        <v>108</v>
      </c>
      <c r="B396" s="18">
        <v>46039</v>
      </c>
      <c r="C396" s="1">
        <v>395</v>
      </c>
      <c r="D396" s="1" t="s">
        <v>12</v>
      </c>
      <c r="E396" s="1" t="s">
        <v>13</v>
      </c>
      <c r="F396" s="1" t="s">
        <v>21</v>
      </c>
      <c r="G396" s="1" t="s">
        <v>14</v>
      </c>
      <c r="H396" s="1" t="s">
        <v>16</v>
      </c>
      <c r="I396" s="1" t="s">
        <v>25</v>
      </c>
      <c r="J396" s="6">
        <f t="shared" si="2"/>
        <v>6</v>
      </c>
      <c r="K396" s="1" t="s">
        <v>16</v>
      </c>
    </row>
    <row r="397" spans="1:12" ht="15.75" customHeight="1" x14ac:dyDescent="0.2">
      <c r="A397" s="1">
        <v>108</v>
      </c>
      <c r="B397" s="18">
        <v>46039</v>
      </c>
      <c r="C397" s="1">
        <v>396</v>
      </c>
      <c r="D397" s="1" t="s">
        <v>12</v>
      </c>
      <c r="E397" s="1" t="s">
        <v>13</v>
      </c>
      <c r="F397" s="1" t="s">
        <v>21</v>
      </c>
      <c r="G397" s="1" t="s">
        <v>14</v>
      </c>
      <c r="H397" s="1"/>
      <c r="I397" s="1"/>
      <c r="J397" s="6">
        <f t="shared" si="2"/>
        <v>4</v>
      </c>
      <c r="K397" s="1" t="s">
        <v>16</v>
      </c>
    </row>
    <row r="398" spans="1:12" ht="15.75" customHeight="1" x14ac:dyDescent="0.2">
      <c r="A398" s="1">
        <v>108</v>
      </c>
      <c r="B398" s="18">
        <v>46039</v>
      </c>
      <c r="C398" s="1">
        <v>397</v>
      </c>
      <c r="D398" s="1" t="s">
        <v>13</v>
      </c>
      <c r="E398" s="1" t="s">
        <v>21</v>
      </c>
      <c r="F398" s="1" t="s">
        <v>14</v>
      </c>
      <c r="G398" s="1" t="s">
        <v>16</v>
      </c>
      <c r="J398" s="6">
        <f t="shared" si="2"/>
        <v>4</v>
      </c>
      <c r="K398" s="1" t="s">
        <v>16</v>
      </c>
    </row>
    <row r="399" spans="1:12" ht="15.75" customHeight="1" x14ac:dyDescent="0.2">
      <c r="A399" s="1">
        <v>108</v>
      </c>
      <c r="B399" s="18">
        <v>46039</v>
      </c>
      <c r="C399" s="1">
        <v>398</v>
      </c>
      <c r="D399" s="1" t="s">
        <v>13</v>
      </c>
      <c r="E399" s="1" t="s">
        <v>21</v>
      </c>
      <c r="F399" s="1" t="s">
        <v>14</v>
      </c>
      <c r="G399" s="1" t="s">
        <v>16</v>
      </c>
      <c r="J399" s="6">
        <f t="shared" si="2"/>
        <v>4</v>
      </c>
      <c r="K399" s="1" t="s">
        <v>16</v>
      </c>
    </row>
    <row r="400" spans="1:12" ht="15.75" customHeight="1" x14ac:dyDescent="0.2">
      <c r="A400" s="1">
        <v>109</v>
      </c>
      <c r="B400" s="18">
        <v>46050</v>
      </c>
      <c r="C400" s="1">
        <v>399</v>
      </c>
      <c r="D400" s="1" t="s">
        <v>12</v>
      </c>
      <c r="E400" s="1" t="s">
        <v>13</v>
      </c>
      <c r="F400" s="1" t="s">
        <v>21</v>
      </c>
      <c r="G400" s="1" t="s">
        <v>14</v>
      </c>
      <c r="H400" s="1" t="s">
        <v>19</v>
      </c>
      <c r="J400" s="6">
        <f t="shared" si="2"/>
        <v>5</v>
      </c>
      <c r="K400" s="1" t="s">
        <v>13</v>
      </c>
    </row>
    <row r="401" spans="1:11" ht="15.75" customHeight="1" x14ac:dyDescent="0.2">
      <c r="A401" s="1">
        <v>109</v>
      </c>
      <c r="B401" s="18">
        <v>46050</v>
      </c>
      <c r="C401" s="1">
        <v>400</v>
      </c>
      <c r="D401" s="1" t="s">
        <v>12</v>
      </c>
      <c r="E401" s="1" t="s">
        <v>13</v>
      </c>
      <c r="F401" s="1" t="s">
        <v>21</v>
      </c>
      <c r="G401" s="1" t="s">
        <v>14</v>
      </c>
      <c r="H401" s="1" t="s">
        <v>19</v>
      </c>
      <c r="J401" s="6">
        <f t="shared" si="2"/>
        <v>5</v>
      </c>
      <c r="K401" s="1" t="s">
        <v>13</v>
      </c>
    </row>
    <row r="402" spans="1:11" ht="15.75" customHeight="1" x14ac:dyDescent="0.2">
      <c r="A402" s="1">
        <v>109</v>
      </c>
      <c r="B402" s="18">
        <v>46050</v>
      </c>
      <c r="C402" s="1">
        <v>401</v>
      </c>
      <c r="D402" s="1" t="s">
        <v>12</v>
      </c>
      <c r="E402" s="1" t="s">
        <v>13</v>
      </c>
      <c r="F402" s="1" t="s">
        <v>21</v>
      </c>
      <c r="G402" s="1" t="s">
        <v>14</v>
      </c>
      <c r="H402" s="1" t="s">
        <v>19</v>
      </c>
      <c r="J402" s="6">
        <f t="shared" si="2"/>
        <v>5</v>
      </c>
      <c r="K402" s="1" t="s">
        <v>13</v>
      </c>
    </row>
    <row r="403" spans="1:11" ht="15.75" customHeight="1" x14ac:dyDescent="0.2">
      <c r="A403" s="1">
        <v>110</v>
      </c>
      <c r="B403" s="18">
        <v>46067</v>
      </c>
      <c r="C403" s="1">
        <v>402</v>
      </c>
      <c r="D403" s="1" t="s">
        <v>12</v>
      </c>
      <c r="E403" s="1" t="s">
        <v>13</v>
      </c>
      <c r="F403" s="1" t="s">
        <v>21</v>
      </c>
      <c r="G403" s="1" t="s">
        <v>14</v>
      </c>
      <c r="H403" s="1" t="s">
        <v>16</v>
      </c>
      <c r="I403" s="1" t="s">
        <v>26</v>
      </c>
      <c r="J403" s="6">
        <f t="shared" si="2"/>
        <v>6</v>
      </c>
      <c r="K403" s="1" t="s">
        <v>21</v>
      </c>
    </row>
    <row r="404" spans="1:11" ht="15.75" customHeight="1" x14ac:dyDescent="0.2">
      <c r="A404" s="1">
        <v>111</v>
      </c>
      <c r="B404" s="18">
        <v>46070</v>
      </c>
      <c r="C404" s="1">
        <v>403</v>
      </c>
      <c r="D404" s="1" t="s">
        <v>12</v>
      </c>
      <c r="E404" s="1" t="s">
        <v>13</v>
      </c>
      <c r="F404" s="1" t="s">
        <v>14</v>
      </c>
      <c r="G404" s="1" t="s">
        <v>16</v>
      </c>
      <c r="J404" s="6">
        <f t="shared" si="2"/>
        <v>4</v>
      </c>
      <c r="K404" s="1" t="s">
        <v>13</v>
      </c>
    </row>
    <row r="405" spans="1:11" ht="15.75" customHeight="1" x14ac:dyDescent="0.2">
      <c r="A405" s="1">
        <v>111</v>
      </c>
      <c r="B405" s="18">
        <v>46070</v>
      </c>
      <c r="C405" s="1">
        <v>404</v>
      </c>
      <c r="D405" s="1" t="s">
        <v>12</v>
      </c>
      <c r="E405" s="1" t="s">
        <v>13</v>
      </c>
      <c r="F405" s="1" t="s">
        <v>14</v>
      </c>
      <c r="G405" s="1" t="s">
        <v>16</v>
      </c>
      <c r="J405" s="6">
        <f t="shared" si="2"/>
        <v>4</v>
      </c>
      <c r="K405" s="1" t="s">
        <v>13</v>
      </c>
    </row>
    <row r="406" spans="1:11" ht="15.75" customHeight="1" x14ac:dyDescent="0.2">
      <c r="A406" s="1">
        <v>111</v>
      </c>
      <c r="B406" s="18">
        <v>46070</v>
      </c>
      <c r="C406" s="1">
        <v>405</v>
      </c>
      <c r="D406" s="1" t="s">
        <v>12</v>
      </c>
      <c r="E406" s="1" t="s">
        <v>13</v>
      </c>
      <c r="F406" s="1" t="s">
        <v>14</v>
      </c>
      <c r="G406" s="1" t="s">
        <v>21</v>
      </c>
      <c r="J406" s="6">
        <f t="shared" si="2"/>
        <v>4</v>
      </c>
      <c r="K406" s="1" t="s">
        <v>13</v>
      </c>
    </row>
    <row r="407" spans="1:11" ht="15.75" customHeight="1" x14ac:dyDescent="0.2">
      <c r="A407" s="1">
        <v>112</v>
      </c>
      <c r="B407" s="18">
        <v>46073</v>
      </c>
      <c r="C407" s="1">
        <v>406</v>
      </c>
      <c r="D407" s="1" t="s">
        <v>12</v>
      </c>
      <c r="E407" s="1" t="s">
        <v>13</v>
      </c>
      <c r="F407" s="1" t="s">
        <v>14</v>
      </c>
      <c r="G407" s="1" t="s">
        <v>21</v>
      </c>
      <c r="H407" s="1" t="s">
        <v>16</v>
      </c>
      <c r="J407" s="6">
        <f t="shared" si="2"/>
        <v>5</v>
      </c>
      <c r="K407" s="1" t="s">
        <v>13</v>
      </c>
    </row>
    <row r="408" spans="1:11" ht="15.75" customHeight="1" x14ac:dyDescent="0.2">
      <c r="A408" s="1">
        <v>112</v>
      </c>
      <c r="B408" s="18">
        <v>46073</v>
      </c>
      <c r="C408" s="1">
        <v>407</v>
      </c>
      <c r="D408" s="1" t="s">
        <v>12</v>
      </c>
      <c r="E408" s="1" t="s">
        <v>13</v>
      </c>
      <c r="F408" s="1" t="s">
        <v>14</v>
      </c>
      <c r="G408" s="1" t="s">
        <v>21</v>
      </c>
      <c r="H408" s="1" t="s">
        <v>16</v>
      </c>
      <c r="J408" s="6">
        <f t="shared" si="2"/>
        <v>5</v>
      </c>
      <c r="K408" s="1" t="s">
        <v>13</v>
      </c>
    </row>
    <row r="409" spans="1:11" ht="15.75" customHeight="1" x14ac:dyDescent="0.2">
      <c r="A409" s="1">
        <v>112</v>
      </c>
      <c r="B409" s="18">
        <v>46073</v>
      </c>
      <c r="C409" s="1">
        <v>408</v>
      </c>
      <c r="D409" s="1" t="s">
        <v>12</v>
      </c>
      <c r="E409" s="1" t="s">
        <v>13</v>
      </c>
      <c r="F409" s="1" t="s">
        <v>14</v>
      </c>
      <c r="G409" s="1" t="s">
        <v>21</v>
      </c>
      <c r="H409" s="1" t="s">
        <v>16</v>
      </c>
      <c r="J409" s="6">
        <f t="shared" si="2"/>
        <v>5</v>
      </c>
      <c r="K409" s="1" t="s">
        <v>13</v>
      </c>
    </row>
    <row r="410" spans="1:11" ht="15.75" customHeight="1" x14ac:dyDescent="0.2">
      <c r="A410" s="1">
        <v>112</v>
      </c>
      <c r="B410" s="18">
        <v>46073</v>
      </c>
      <c r="C410" s="1">
        <v>409</v>
      </c>
      <c r="D410" s="1" t="s">
        <v>12</v>
      </c>
      <c r="E410" s="1" t="s">
        <v>13</v>
      </c>
      <c r="F410" s="1" t="s">
        <v>14</v>
      </c>
      <c r="G410" s="1" t="s">
        <v>21</v>
      </c>
      <c r="J410" s="6">
        <f t="shared" si="2"/>
        <v>4</v>
      </c>
      <c r="K410" s="1" t="s">
        <v>13</v>
      </c>
    </row>
    <row r="411" spans="1:11" ht="15.75" customHeight="1" x14ac:dyDescent="0.2">
      <c r="A411" s="1">
        <v>112</v>
      </c>
      <c r="B411" s="18">
        <v>46073</v>
      </c>
      <c r="C411" s="1">
        <v>410</v>
      </c>
      <c r="D411" s="1" t="s">
        <v>12</v>
      </c>
      <c r="E411" s="1" t="s">
        <v>13</v>
      </c>
      <c r="F411" s="1" t="s">
        <v>14</v>
      </c>
      <c r="G411" s="1" t="s">
        <v>21</v>
      </c>
      <c r="J411" s="6">
        <f t="shared" si="2"/>
        <v>4</v>
      </c>
      <c r="K411" s="1" t="s">
        <v>13</v>
      </c>
    </row>
    <row r="412" spans="1:11" ht="15.75" customHeight="1" x14ac:dyDescent="0.2">
      <c r="A412" s="1">
        <v>112</v>
      </c>
      <c r="B412" s="18">
        <v>46073</v>
      </c>
      <c r="C412" s="1">
        <v>411</v>
      </c>
      <c r="D412" s="1" t="s">
        <v>12</v>
      </c>
      <c r="E412" s="1" t="s">
        <v>13</v>
      </c>
      <c r="F412" s="1" t="s">
        <v>14</v>
      </c>
      <c r="G412" s="1" t="s">
        <v>21</v>
      </c>
      <c r="J412" s="6">
        <f t="shared" si="2"/>
        <v>4</v>
      </c>
      <c r="K412" s="1" t="s">
        <v>13</v>
      </c>
    </row>
    <row r="413" spans="1:11" ht="15.75" customHeight="1" x14ac:dyDescent="0.2">
      <c r="A413" s="1">
        <v>113</v>
      </c>
      <c r="B413" s="18">
        <v>46078</v>
      </c>
      <c r="C413" s="1">
        <v>412</v>
      </c>
      <c r="D413" s="1" t="s">
        <v>13</v>
      </c>
      <c r="E413" s="1" t="s">
        <v>14</v>
      </c>
      <c r="F413" s="1" t="s">
        <v>21</v>
      </c>
      <c r="G413" s="1" t="s">
        <v>19</v>
      </c>
      <c r="J413" s="6">
        <f t="shared" si="2"/>
        <v>4</v>
      </c>
      <c r="K413" s="1" t="s">
        <v>21</v>
      </c>
    </row>
    <row r="414" spans="1:11" ht="15.75" customHeight="1" x14ac:dyDescent="0.2">
      <c r="A414" s="1">
        <v>113</v>
      </c>
      <c r="B414" s="18">
        <v>46078</v>
      </c>
      <c r="C414" s="1">
        <v>413</v>
      </c>
      <c r="D414" s="1" t="s">
        <v>13</v>
      </c>
      <c r="E414" s="1" t="s">
        <v>14</v>
      </c>
      <c r="F414" s="1" t="s">
        <v>21</v>
      </c>
      <c r="G414" s="1" t="s">
        <v>19</v>
      </c>
      <c r="J414" s="6">
        <f t="shared" si="2"/>
        <v>4</v>
      </c>
      <c r="K414" s="1" t="s">
        <v>21</v>
      </c>
    </row>
    <row r="415" spans="1:11" ht="15.75" customHeight="1" x14ac:dyDescent="0.2">
      <c r="A415" s="1">
        <v>113</v>
      </c>
      <c r="B415" s="18">
        <v>46078</v>
      </c>
      <c r="C415" s="1">
        <v>414</v>
      </c>
      <c r="D415" s="1" t="s">
        <v>13</v>
      </c>
      <c r="E415" s="1" t="s">
        <v>14</v>
      </c>
      <c r="F415" s="1" t="s">
        <v>21</v>
      </c>
      <c r="G415" s="1" t="s">
        <v>19</v>
      </c>
      <c r="J415" s="6">
        <f t="shared" si="2"/>
        <v>4</v>
      </c>
      <c r="K415" s="1" t="s">
        <v>21</v>
      </c>
    </row>
    <row r="416" spans="1:11" ht="15.75" customHeight="1" x14ac:dyDescent="0.2">
      <c r="A416" s="1">
        <v>114</v>
      </c>
      <c r="B416" s="18">
        <v>46081</v>
      </c>
      <c r="C416" s="1">
        <v>415</v>
      </c>
      <c r="D416" s="1" t="s">
        <v>12</v>
      </c>
      <c r="E416" s="1" t="s">
        <v>13</v>
      </c>
      <c r="F416" s="1" t="s">
        <v>14</v>
      </c>
      <c r="G416" s="1" t="s">
        <v>19</v>
      </c>
      <c r="H416" s="1" t="s">
        <v>26</v>
      </c>
      <c r="J416" s="6">
        <f t="shared" si="2"/>
        <v>5</v>
      </c>
      <c r="K416" s="1" t="s">
        <v>19</v>
      </c>
    </row>
    <row r="417" spans="1:11" ht="15.75" customHeight="1" x14ac:dyDescent="0.2">
      <c r="A417" s="1">
        <v>114</v>
      </c>
      <c r="B417" s="18">
        <v>46081</v>
      </c>
      <c r="C417" s="1">
        <v>416</v>
      </c>
      <c r="D417" s="1" t="s">
        <v>12</v>
      </c>
      <c r="E417" s="1" t="s">
        <v>13</v>
      </c>
      <c r="F417" s="1" t="s">
        <v>14</v>
      </c>
      <c r="G417" s="1" t="s">
        <v>19</v>
      </c>
      <c r="H417" s="1" t="s">
        <v>26</v>
      </c>
      <c r="I417" s="1" t="s">
        <v>16</v>
      </c>
      <c r="J417" s="6">
        <f t="shared" si="2"/>
        <v>6</v>
      </c>
      <c r="K417" s="1" t="s">
        <v>19</v>
      </c>
    </row>
    <row r="418" spans="1:11" ht="15.75" customHeight="1" x14ac:dyDescent="0.2">
      <c r="A418" s="1">
        <v>115</v>
      </c>
      <c r="B418" s="18">
        <v>46084</v>
      </c>
      <c r="C418" s="1">
        <v>417</v>
      </c>
      <c r="D418" s="1" t="s">
        <v>13</v>
      </c>
      <c r="E418" s="1" t="s">
        <v>14</v>
      </c>
      <c r="F418" s="1" t="s">
        <v>16</v>
      </c>
      <c r="G418" s="1" t="s">
        <v>25</v>
      </c>
      <c r="J418" s="6">
        <f t="shared" si="2"/>
        <v>4</v>
      </c>
      <c r="K418" s="1" t="s">
        <v>13</v>
      </c>
    </row>
    <row r="419" spans="1:11" ht="15.75" customHeight="1" x14ac:dyDescent="0.2">
      <c r="A419" s="1">
        <v>115</v>
      </c>
      <c r="B419" s="18">
        <v>46084</v>
      </c>
      <c r="C419" s="1">
        <v>418</v>
      </c>
      <c r="D419" s="1" t="s">
        <v>13</v>
      </c>
      <c r="E419" s="1" t="s">
        <v>14</v>
      </c>
      <c r="F419" s="1" t="s">
        <v>16</v>
      </c>
      <c r="G419" s="1" t="s">
        <v>21</v>
      </c>
      <c r="H419" s="1" t="s">
        <v>25</v>
      </c>
      <c r="J419" s="6">
        <f t="shared" si="2"/>
        <v>5</v>
      </c>
      <c r="K419" s="1" t="s">
        <v>13</v>
      </c>
    </row>
    <row r="420" spans="1:11" ht="15.75" customHeight="1" x14ac:dyDescent="0.2">
      <c r="A420" s="1">
        <v>115</v>
      </c>
      <c r="B420" s="18">
        <v>46084</v>
      </c>
      <c r="C420" s="1">
        <v>419</v>
      </c>
      <c r="D420" s="1" t="s">
        <v>13</v>
      </c>
      <c r="E420" s="1" t="s">
        <v>14</v>
      </c>
      <c r="F420" s="1" t="s">
        <v>16</v>
      </c>
      <c r="G420" s="1" t="s">
        <v>21</v>
      </c>
      <c r="H420" s="1" t="s">
        <v>25</v>
      </c>
      <c r="J420" s="6">
        <f t="shared" si="2"/>
        <v>5</v>
      </c>
      <c r="K420" s="1" t="s">
        <v>13</v>
      </c>
    </row>
    <row r="421" spans="1:11" ht="15.75" customHeight="1" x14ac:dyDescent="0.2">
      <c r="A421" s="1">
        <v>115</v>
      </c>
      <c r="B421" s="18">
        <v>46084</v>
      </c>
      <c r="C421" s="1">
        <v>420</v>
      </c>
      <c r="D421" s="1" t="s">
        <v>13</v>
      </c>
      <c r="E421" s="1" t="s">
        <v>14</v>
      </c>
      <c r="F421" s="1" t="s">
        <v>21</v>
      </c>
      <c r="G421" s="1" t="s">
        <v>25</v>
      </c>
      <c r="H421" s="1"/>
      <c r="J421" s="6">
        <f t="shared" si="2"/>
        <v>4</v>
      </c>
      <c r="K421" s="1" t="s">
        <v>13</v>
      </c>
    </row>
    <row r="422" spans="1:11" ht="15.75" customHeight="1" x14ac:dyDescent="0.2">
      <c r="A422" s="1">
        <v>116</v>
      </c>
      <c r="B422" s="18">
        <v>46095</v>
      </c>
      <c r="C422" s="1">
        <v>421</v>
      </c>
      <c r="D422" s="1" t="s">
        <v>13</v>
      </c>
      <c r="E422" s="1" t="s">
        <v>14</v>
      </c>
      <c r="F422" s="1" t="s">
        <v>21</v>
      </c>
      <c r="G422" s="1" t="s">
        <v>16</v>
      </c>
      <c r="J422" s="6">
        <f t="shared" si="2"/>
        <v>4</v>
      </c>
      <c r="K422" s="1" t="s">
        <v>21</v>
      </c>
    </row>
    <row r="423" spans="1:11" ht="15.75" customHeight="1" x14ac:dyDescent="0.2">
      <c r="A423" s="1">
        <v>116</v>
      </c>
      <c r="B423" s="18">
        <v>46095</v>
      </c>
      <c r="C423" s="1">
        <v>422</v>
      </c>
      <c r="D423" s="1" t="s">
        <v>13</v>
      </c>
      <c r="E423" s="1" t="s">
        <v>14</v>
      </c>
      <c r="F423" s="1" t="s">
        <v>21</v>
      </c>
      <c r="G423" s="1" t="s">
        <v>16</v>
      </c>
      <c r="J423" s="6">
        <f t="shared" si="2"/>
        <v>4</v>
      </c>
      <c r="K423" s="1" t="s">
        <v>21</v>
      </c>
    </row>
    <row r="424" spans="1:11" ht="15.75" customHeight="1" x14ac:dyDescent="0.2">
      <c r="A424" s="1">
        <v>116</v>
      </c>
      <c r="B424" s="18">
        <v>46095</v>
      </c>
      <c r="C424" s="1">
        <v>423</v>
      </c>
      <c r="D424" s="1" t="s">
        <v>13</v>
      </c>
      <c r="E424" s="1" t="s">
        <v>14</v>
      </c>
      <c r="F424" s="1" t="s">
        <v>21</v>
      </c>
      <c r="G424" s="1" t="s">
        <v>16</v>
      </c>
      <c r="J424" s="6">
        <f t="shared" si="2"/>
        <v>4</v>
      </c>
      <c r="K424" s="1" t="s">
        <v>21</v>
      </c>
    </row>
    <row r="425" spans="1:11" ht="15.75" customHeight="1" x14ac:dyDescent="0.2">
      <c r="A425" s="1">
        <v>116</v>
      </c>
      <c r="B425" s="18">
        <v>46095</v>
      </c>
      <c r="C425" s="1">
        <v>424</v>
      </c>
      <c r="D425" s="1" t="s">
        <v>13</v>
      </c>
      <c r="E425" s="1" t="s">
        <v>14</v>
      </c>
      <c r="F425" s="1" t="s">
        <v>21</v>
      </c>
      <c r="G425" s="1" t="s">
        <v>16</v>
      </c>
      <c r="J425" s="6">
        <f t="shared" si="2"/>
        <v>4</v>
      </c>
      <c r="K425" s="1" t="s">
        <v>21</v>
      </c>
    </row>
    <row r="426" spans="1:11" ht="15.75" customHeight="1" x14ac:dyDescent="0.2">
      <c r="A426" s="1">
        <v>117</v>
      </c>
      <c r="B426" s="18">
        <v>46100</v>
      </c>
      <c r="C426" s="1">
        <v>425</v>
      </c>
      <c r="D426" s="1" t="s">
        <v>12</v>
      </c>
      <c r="E426" s="1" t="s">
        <v>13</v>
      </c>
      <c r="F426" s="1" t="s">
        <v>14</v>
      </c>
      <c r="G426" s="1" t="s">
        <v>21</v>
      </c>
      <c r="H426" s="1" t="s">
        <v>16</v>
      </c>
      <c r="J426" s="6">
        <f t="shared" si="2"/>
        <v>5</v>
      </c>
      <c r="K426" s="1" t="s">
        <v>13</v>
      </c>
    </row>
    <row r="427" spans="1:11" ht="15.75" customHeight="1" x14ac:dyDescent="0.2">
      <c r="A427" s="1">
        <v>117</v>
      </c>
      <c r="B427" s="18">
        <v>46100</v>
      </c>
      <c r="C427" s="1">
        <v>426</v>
      </c>
      <c r="D427" s="1" t="s">
        <v>12</v>
      </c>
      <c r="E427" s="1" t="s">
        <v>13</v>
      </c>
      <c r="F427" s="1" t="s">
        <v>14</v>
      </c>
      <c r="G427" s="1" t="s">
        <v>21</v>
      </c>
      <c r="H427" s="1" t="s">
        <v>16</v>
      </c>
      <c r="J427" s="6">
        <f t="shared" si="2"/>
        <v>5</v>
      </c>
      <c r="K427" s="1" t="s">
        <v>13</v>
      </c>
    </row>
    <row r="428" spans="1:11" ht="15.75" customHeight="1" x14ac:dyDescent="0.2">
      <c r="A428" s="1">
        <v>117</v>
      </c>
      <c r="B428" s="18">
        <v>46100</v>
      </c>
      <c r="C428" s="1">
        <v>427</v>
      </c>
      <c r="D428" s="1" t="s">
        <v>12</v>
      </c>
      <c r="E428" s="1" t="s">
        <v>13</v>
      </c>
      <c r="F428" s="1" t="s">
        <v>14</v>
      </c>
      <c r="G428" s="1" t="s">
        <v>21</v>
      </c>
      <c r="H428" s="1" t="s">
        <v>16</v>
      </c>
      <c r="J428" s="6">
        <f t="shared" si="2"/>
        <v>5</v>
      </c>
      <c r="K428" s="1" t="s">
        <v>13</v>
      </c>
    </row>
    <row r="429" spans="1:11" ht="15.75" customHeight="1" x14ac:dyDescent="0.2">
      <c r="A429" s="1">
        <v>118</v>
      </c>
      <c r="B429" s="18">
        <v>46102</v>
      </c>
      <c r="C429" s="1">
        <v>428</v>
      </c>
      <c r="D429" s="1" t="s">
        <v>12</v>
      </c>
      <c r="E429" s="1" t="s">
        <v>13</v>
      </c>
      <c r="F429" s="1" t="s">
        <v>14</v>
      </c>
      <c r="G429" s="1" t="s">
        <v>16</v>
      </c>
      <c r="J429" s="6">
        <f t="shared" si="2"/>
        <v>4</v>
      </c>
      <c r="K429" s="1" t="s">
        <v>16</v>
      </c>
    </row>
    <row r="430" spans="1:11" ht="15.75" customHeight="1" x14ac:dyDescent="0.2">
      <c r="A430" s="1">
        <v>118</v>
      </c>
      <c r="B430" s="18">
        <v>46102</v>
      </c>
      <c r="C430" s="1">
        <v>429</v>
      </c>
      <c r="D430" s="1" t="s">
        <v>12</v>
      </c>
      <c r="E430" s="1" t="s">
        <v>13</v>
      </c>
      <c r="F430" s="1" t="s">
        <v>14</v>
      </c>
      <c r="G430" s="1" t="s">
        <v>16</v>
      </c>
      <c r="J430" s="6">
        <f t="shared" si="2"/>
        <v>4</v>
      </c>
      <c r="K430" s="1" t="s">
        <v>16</v>
      </c>
    </row>
    <row r="431" spans="1:11" ht="15.75" customHeight="1" x14ac:dyDescent="0.2">
      <c r="A431" s="1">
        <v>118</v>
      </c>
      <c r="B431" s="18">
        <v>46102</v>
      </c>
      <c r="C431" s="1">
        <v>430</v>
      </c>
      <c r="D431" s="1" t="s">
        <v>12</v>
      </c>
      <c r="E431" s="1" t="s">
        <v>13</v>
      </c>
      <c r="F431" s="1" t="s">
        <v>14</v>
      </c>
      <c r="G431" s="1" t="s">
        <v>16</v>
      </c>
      <c r="J431" s="6">
        <f t="shared" si="2"/>
        <v>4</v>
      </c>
      <c r="K431" s="1" t="s">
        <v>16</v>
      </c>
    </row>
    <row r="432" spans="1:11" ht="15.75" customHeight="1" x14ac:dyDescent="0.2">
      <c r="A432" s="1">
        <v>119</v>
      </c>
      <c r="B432" s="18">
        <v>46112</v>
      </c>
      <c r="C432" s="1">
        <v>431</v>
      </c>
      <c r="D432" s="1" t="s">
        <v>12</v>
      </c>
      <c r="E432" s="1" t="s">
        <v>13</v>
      </c>
      <c r="F432" s="1" t="s">
        <v>14</v>
      </c>
      <c r="G432" s="1" t="s">
        <v>21</v>
      </c>
      <c r="J432" s="6">
        <f t="shared" si="2"/>
        <v>4</v>
      </c>
      <c r="K432" s="1" t="s">
        <v>13</v>
      </c>
    </row>
    <row r="433" spans="1:11" ht="15.75" customHeight="1" x14ac:dyDescent="0.2">
      <c r="A433" s="1">
        <v>119</v>
      </c>
      <c r="B433" s="18">
        <v>46112</v>
      </c>
      <c r="C433" s="1">
        <v>432</v>
      </c>
      <c r="D433" s="1" t="s">
        <v>12</v>
      </c>
      <c r="E433" s="1" t="s">
        <v>13</v>
      </c>
      <c r="F433" s="1" t="s">
        <v>14</v>
      </c>
      <c r="G433" s="1" t="s">
        <v>21</v>
      </c>
      <c r="J433" s="6">
        <f t="shared" si="2"/>
        <v>4</v>
      </c>
      <c r="K433" s="1" t="s">
        <v>13</v>
      </c>
    </row>
    <row r="434" spans="1:11" ht="15.75" customHeight="1" x14ac:dyDescent="0.2">
      <c r="A434" s="1">
        <v>119</v>
      </c>
      <c r="B434" s="18">
        <v>46112</v>
      </c>
      <c r="C434" s="1">
        <v>433</v>
      </c>
      <c r="D434" s="1" t="s">
        <v>12</v>
      </c>
      <c r="E434" s="1" t="s">
        <v>13</v>
      </c>
      <c r="F434" s="1" t="s">
        <v>14</v>
      </c>
      <c r="G434" s="1" t="s">
        <v>21</v>
      </c>
      <c r="H434" s="1"/>
      <c r="J434" s="6">
        <f t="shared" si="2"/>
        <v>4</v>
      </c>
      <c r="K434" s="1" t="s">
        <v>13</v>
      </c>
    </row>
    <row r="435" spans="1:11" ht="15.75" customHeight="1" x14ac:dyDescent="0.2">
      <c r="A435" s="1">
        <v>120</v>
      </c>
      <c r="B435" s="18">
        <v>46114</v>
      </c>
      <c r="C435" s="1">
        <v>434</v>
      </c>
      <c r="D435" s="1" t="s">
        <v>12</v>
      </c>
      <c r="E435" s="1" t="s">
        <v>13</v>
      </c>
      <c r="F435" s="1" t="s">
        <v>14</v>
      </c>
      <c r="G435" s="1" t="s">
        <v>21</v>
      </c>
      <c r="H435" s="1" t="s">
        <v>19</v>
      </c>
      <c r="J435" s="6">
        <f t="shared" si="2"/>
        <v>5</v>
      </c>
      <c r="K435" s="1" t="s">
        <v>13</v>
      </c>
    </row>
    <row r="436" spans="1:11" ht="15.75" customHeight="1" x14ac:dyDescent="0.2">
      <c r="A436" s="1">
        <v>120</v>
      </c>
      <c r="B436" s="18">
        <v>46114</v>
      </c>
      <c r="C436" s="1">
        <v>435</v>
      </c>
      <c r="D436" s="1" t="s">
        <v>12</v>
      </c>
      <c r="E436" s="1" t="s">
        <v>13</v>
      </c>
      <c r="F436" s="1" t="s">
        <v>14</v>
      </c>
      <c r="G436" s="1" t="s">
        <v>21</v>
      </c>
      <c r="H436" s="1" t="s">
        <v>19</v>
      </c>
      <c r="J436" s="6">
        <f t="shared" si="2"/>
        <v>5</v>
      </c>
      <c r="K436" s="1" t="s">
        <v>13</v>
      </c>
    </row>
    <row r="437" spans="1:11" ht="15.75" customHeight="1" x14ac:dyDescent="0.2">
      <c r="A437" s="1">
        <v>120</v>
      </c>
      <c r="B437" s="18">
        <v>46114</v>
      </c>
      <c r="C437" s="1">
        <v>436</v>
      </c>
      <c r="D437" s="1" t="s">
        <v>12</v>
      </c>
      <c r="E437" s="1" t="s">
        <v>13</v>
      </c>
      <c r="F437" s="1" t="s">
        <v>14</v>
      </c>
      <c r="G437" s="1" t="s">
        <v>19</v>
      </c>
      <c r="J437" s="6">
        <f t="shared" si="2"/>
        <v>4</v>
      </c>
      <c r="K437" s="1" t="s">
        <v>13</v>
      </c>
    </row>
    <row r="438" spans="1:11" ht="15.75" customHeight="1" x14ac:dyDescent="0.2">
      <c r="A438" s="1">
        <v>121</v>
      </c>
      <c r="B438" s="18">
        <v>46116</v>
      </c>
      <c r="C438" s="1">
        <v>437</v>
      </c>
      <c r="D438" s="1" t="s">
        <v>12</v>
      </c>
      <c r="E438" s="1" t="s">
        <v>13</v>
      </c>
      <c r="F438" s="1" t="s">
        <v>21</v>
      </c>
      <c r="G438" s="1" t="s">
        <v>19</v>
      </c>
      <c r="J438" s="6">
        <f t="shared" si="2"/>
        <v>4</v>
      </c>
      <c r="K438" s="1" t="s">
        <v>19</v>
      </c>
    </row>
    <row r="439" spans="1:11" ht="15.75" customHeight="1" x14ac:dyDescent="0.2">
      <c r="A439" s="1">
        <v>121</v>
      </c>
      <c r="B439" s="18">
        <v>46116</v>
      </c>
      <c r="C439" s="1">
        <v>438</v>
      </c>
      <c r="D439" s="1" t="s">
        <v>12</v>
      </c>
      <c r="E439" s="1" t="s">
        <v>13</v>
      </c>
      <c r="F439" s="1" t="s">
        <v>21</v>
      </c>
      <c r="G439" s="1" t="s">
        <v>19</v>
      </c>
      <c r="J439" s="6">
        <f t="shared" si="2"/>
        <v>4</v>
      </c>
      <c r="K439" s="1" t="s">
        <v>19</v>
      </c>
    </row>
    <row r="440" spans="1:11" ht="15.75" customHeight="1" x14ac:dyDescent="0.2">
      <c r="A440" s="1">
        <v>121</v>
      </c>
      <c r="B440" s="18">
        <v>46116</v>
      </c>
      <c r="C440" s="1">
        <v>439</v>
      </c>
      <c r="D440" s="1" t="s">
        <v>12</v>
      </c>
      <c r="E440" s="1" t="s">
        <v>13</v>
      </c>
      <c r="F440" s="1" t="s">
        <v>21</v>
      </c>
      <c r="G440" s="1" t="s">
        <v>19</v>
      </c>
      <c r="J440" s="6">
        <f t="shared" si="2"/>
        <v>4</v>
      </c>
      <c r="K440" s="1" t="s">
        <v>19</v>
      </c>
    </row>
    <row r="441" spans="1:11" ht="15.75" customHeight="1" x14ac:dyDescent="0.2">
      <c r="A441" s="1">
        <v>121</v>
      </c>
      <c r="B441" s="18">
        <v>46116</v>
      </c>
      <c r="C441" s="1">
        <v>440</v>
      </c>
      <c r="D441" s="1" t="s">
        <v>12</v>
      </c>
      <c r="E441" s="1" t="s">
        <v>13</v>
      </c>
      <c r="F441" s="1" t="s">
        <v>21</v>
      </c>
      <c r="G441" s="1" t="s">
        <v>19</v>
      </c>
      <c r="J441" s="6">
        <f t="shared" si="2"/>
        <v>4</v>
      </c>
      <c r="K441" s="1" t="s">
        <v>19</v>
      </c>
    </row>
    <row r="442" spans="1:11" ht="15.75" customHeight="1" x14ac:dyDescent="0.2">
      <c r="A442" s="1">
        <v>121</v>
      </c>
      <c r="B442" s="18">
        <v>46116</v>
      </c>
      <c r="C442" s="1">
        <v>441</v>
      </c>
      <c r="D442" s="1" t="s">
        <v>12</v>
      </c>
      <c r="E442" s="1" t="s">
        <v>13</v>
      </c>
      <c r="F442" s="1" t="s">
        <v>21</v>
      </c>
      <c r="G442" s="1" t="s">
        <v>19</v>
      </c>
      <c r="J442" s="6">
        <f t="shared" si="2"/>
        <v>4</v>
      </c>
      <c r="K442" s="1" t="s">
        <v>19</v>
      </c>
    </row>
    <row r="443" spans="1:11" ht="15.75" customHeight="1" x14ac:dyDescent="0.2">
      <c r="A443" s="1">
        <v>122</v>
      </c>
      <c r="B443" s="18">
        <v>46121</v>
      </c>
      <c r="C443" s="1">
        <v>442</v>
      </c>
      <c r="D443" s="1" t="s">
        <v>12</v>
      </c>
      <c r="E443" s="1" t="s">
        <v>21</v>
      </c>
      <c r="F443" s="1" t="s">
        <v>19</v>
      </c>
      <c r="G443" s="1" t="s">
        <v>16</v>
      </c>
      <c r="J443" s="6">
        <f t="shared" si="2"/>
        <v>4</v>
      </c>
      <c r="K443" s="1" t="s">
        <v>19</v>
      </c>
    </row>
    <row r="444" spans="1:11" ht="15.75" customHeight="1" x14ac:dyDescent="0.2">
      <c r="A444" s="1">
        <v>122</v>
      </c>
      <c r="B444" s="18">
        <v>46121</v>
      </c>
      <c r="C444" s="1">
        <v>443</v>
      </c>
      <c r="D444" s="1" t="s">
        <v>12</v>
      </c>
      <c r="E444" s="1" t="s">
        <v>21</v>
      </c>
      <c r="F444" s="1" t="s">
        <v>19</v>
      </c>
      <c r="G444" s="1" t="s">
        <v>16</v>
      </c>
      <c r="J444" s="6">
        <f t="shared" si="2"/>
        <v>4</v>
      </c>
      <c r="K444" s="1" t="s">
        <v>19</v>
      </c>
    </row>
    <row r="445" spans="1:11" ht="15.75" customHeight="1" x14ac:dyDescent="0.2">
      <c r="A445" s="1">
        <v>122</v>
      </c>
      <c r="B445" s="18">
        <v>46121</v>
      </c>
      <c r="C445" s="1">
        <v>444</v>
      </c>
      <c r="D445" s="1" t="s">
        <v>12</v>
      </c>
      <c r="E445" s="1" t="s">
        <v>21</v>
      </c>
      <c r="F445" s="1" t="s">
        <v>19</v>
      </c>
      <c r="G445" s="1" t="s">
        <v>16</v>
      </c>
      <c r="J445" s="6">
        <f t="shared" si="2"/>
        <v>4</v>
      </c>
      <c r="K445" s="1" t="s">
        <v>19</v>
      </c>
    </row>
    <row r="446" spans="1:11" ht="15.75" customHeight="1" x14ac:dyDescent="0.2">
      <c r="A446" s="1">
        <v>123</v>
      </c>
      <c r="B446" s="18">
        <v>46125</v>
      </c>
      <c r="C446" s="1">
        <v>445</v>
      </c>
      <c r="D446" s="1" t="s">
        <v>13</v>
      </c>
      <c r="E446" s="1" t="s">
        <v>21</v>
      </c>
      <c r="F446" s="1" t="s">
        <v>19</v>
      </c>
      <c r="G446" s="1" t="s">
        <v>16</v>
      </c>
      <c r="H446" s="1" t="s">
        <v>14</v>
      </c>
      <c r="J446" s="6">
        <f t="shared" si="2"/>
        <v>5</v>
      </c>
      <c r="K446" s="1" t="s">
        <v>13</v>
      </c>
    </row>
    <row r="447" spans="1:11" ht="15.75" customHeight="1" x14ac:dyDescent="0.2">
      <c r="A447" s="1">
        <v>123</v>
      </c>
      <c r="B447" s="18">
        <v>46125</v>
      </c>
      <c r="C447" s="1">
        <v>446</v>
      </c>
      <c r="D447" s="1" t="s">
        <v>13</v>
      </c>
      <c r="E447" s="1" t="s">
        <v>21</v>
      </c>
      <c r="F447" s="1" t="s">
        <v>19</v>
      </c>
      <c r="G447" s="1" t="s">
        <v>16</v>
      </c>
      <c r="H447" s="1" t="s">
        <v>14</v>
      </c>
      <c r="J447" s="6">
        <f t="shared" si="2"/>
        <v>5</v>
      </c>
      <c r="K447" s="1" t="s">
        <v>13</v>
      </c>
    </row>
    <row r="448" spans="1:11" ht="15.75" customHeight="1" x14ac:dyDescent="0.2">
      <c r="A448" s="1">
        <v>123</v>
      </c>
      <c r="B448" s="18">
        <v>46125</v>
      </c>
      <c r="C448" s="1">
        <v>447</v>
      </c>
      <c r="D448" s="1" t="s">
        <v>13</v>
      </c>
      <c r="E448" s="1" t="s">
        <v>21</v>
      </c>
      <c r="F448" s="1" t="s">
        <v>19</v>
      </c>
      <c r="G448" s="1" t="s">
        <v>16</v>
      </c>
      <c r="H448" s="1" t="s">
        <v>14</v>
      </c>
      <c r="J448" s="6">
        <f t="shared" si="2"/>
        <v>5</v>
      </c>
      <c r="K448" s="1" t="s">
        <v>13</v>
      </c>
    </row>
    <row r="449" spans="1:11" ht="15.75" customHeight="1" x14ac:dyDescent="0.2">
      <c r="A449" s="59">
        <v>124</v>
      </c>
      <c r="B449" s="60">
        <v>46130</v>
      </c>
      <c r="C449" s="59">
        <v>448</v>
      </c>
      <c r="D449" s="61" t="s">
        <v>16</v>
      </c>
      <c r="E449" s="61" t="s">
        <v>12</v>
      </c>
      <c r="F449" s="61" t="s">
        <v>13</v>
      </c>
      <c r="G449" s="61" t="s">
        <v>25</v>
      </c>
      <c r="H449" s="61"/>
      <c r="I449" s="61"/>
      <c r="J449" s="62">
        <v>4</v>
      </c>
      <c r="K449" s="61" t="s">
        <v>13</v>
      </c>
    </row>
    <row r="450" spans="1:11" ht="15.75" customHeight="1" x14ac:dyDescent="0.2">
      <c r="A450" s="59">
        <v>124</v>
      </c>
      <c r="B450" s="60">
        <v>46130</v>
      </c>
      <c r="C450" s="59">
        <v>449</v>
      </c>
      <c r="D450" s="61" t="s">
        <v>13</v>
      </c>
      <c r="E450" s="61" t="s">
        <v>25</v>
      </c>
      <c r="F450" s="61" t="s">
        <v>16</v>
      </c>
      <c r="G450" s="61" t="s">
        <v>12</v>
      </c>
      <c r="H450" s="61"/>
      <c r="I450" s="61"/>
      <c r="J450" s="62">
        <v>4</v>
      </c>
      <c r="K450" s="61" t="s">
        <v>13</v>
      </c>
    </row>
    <row r="451" spans="1:11" ht="15.75" customHeight="1" x14ac:dyDescent="0.2">
      <c r="A451" s="59">
        <v>124</v>
      </c>
      <c r="B451" s="60">
        <v>46130</v>
      </c>
      <c r="C451" s="59">
        <v>450</v>
      </c>
      <c r="D451" s="61" t="s">
        <v>16</v>
      </c>
      <c r="E451" s="61" t="s">
        <v>25</v>
      </c>
      <c r="F451" s="61" t="s">
        <v>13</v>
      </c>
      <c r="G451" s="61" t="s">
        <v>12</v>
      </c>
      <c r="H451" s="61"/>
      <c r="I451" s="61"/>
      <c r="J451" s="62">
        <v>4</v>
      </c>
      <c r="K451" s="61" t="s">
        <v>13</v>
      </c>
    </row>
    <row r="452" spans="1:11" ht="15.75" customHeight="1" x14ac:dyDescent="0.2">
      <c r="A452" s="59">
        <v>124</v>
      </c>
      <c r="B452" s="60">
        <v>46130</v>
      </c>
      <c r="C452" s="59">
        <v>451</v>
      </c>
      <c r="D452" s="61" t="s">
        <v>12</v>
      </c>
      <c r="E452" s="61" t="s">
        <v>16</v>
      </c>
      <c r="F452" s="61" t="s">
        <v>25</v>
      </c>
      <c r="G452" s="61" t="s">
        <v>13</v>
      </c>
      <c r="H452" s="61"/>
      <c r="I452" s="61"/>
      <c r="J452" s="62">
        <v>4</v>
      </c>
      <c r="K452" s="61" t="s">
        <v>13</v>
      </c>
    </row>
    <row r="453" spans="1:11" ht="15.75" customHeight="1" x14ac:dyDescent="0.2">
      <c r="A453" s="59">
        <v>124</v>
      </c>
      <c r="B453" s="60">
        <v>46130</v>
      </c>
      <c r="C453" s="59">
        <v>452</v>
      </c>
      <c r="D453" s="61" t="s">
        <v>25</v>
      </c>
      <c r="E453" s="61" t="s">
        <v>16</v>
      </c>
      <c r="F453" s="61" t="s">
        <v>12</v>
      </c>
      <c r="G453" s="61" t="s">
        <v>13</v>
      </c>
      <c r="H453" s="61"/>
      <c r="I453" s="61"/>
      <c r="J453" s="62">
        <v>4</v>
      </c>
      <c r="K453" s="61" t="s">
        <v>13</v>
      </c>
    </row>
    <row r="454" spans="1:11" ht="15.75" customHeight="1" x14ac:dyDescent="0.2"/>
    <row r="455" spans="1:11" ht="15.75" customHeight="1" x14ac:dyDescent="0.2"/>
    <row r="456" spans="1:11" ht="15.75" customHeight="1" x14ac:dyDescent="0.2"/>
    <row r="457" spans="1:11" ht="15.75" customHeight="1" x14ac:dyDescent="0.2"/>
    <row r="458" spans="1:11" ht="15.75" customHeight="1" x14ac:dyDescent="0.2"/>
    <row r="459" spans="1:11" ht="15.75" customHeight="1" x14ac:dyDescent="0.2"/>
    <row r="460" spans="1:11" ht="15.75" customHeight="1" x14ac:dyDescent="0.2"/>
    <row r="461" spans="1:11" ht="15.75" customHeight="1" x14ac:dyDescent="0.2"/>
    <row r="462" spans="1:11" ht="15.75" customHeight="1" x14ac:dyDescent="0.2"/>
    <row r="463" spans="1:11" ht="15.75" customHeight="1" x14ac:dyDescent="0.2"/>
    <row r="464" spans="1:11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autoFilter ref="A1:J113" xr:uid="{00000000-0009-0000-0000-000002000000}"/>
  <conditionalFormatting sqref="A2:I23 K2:K23 J2:J448">
    <cfRule type="expression" dxfId="3" priority="5">
      <formula>#REF!=2</formula>
    </cfRule>
    <cfRule type="expression" dxfId="2" priority="6">
      <formula>#REF!=1</formula>
    </cfRule>
  </conditionalFormatting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AQ1000"/>
  <sheetViews>
    <sheetView workbookViewId="0">
      <pane xSplit="2" topLeftCell="C1" activePane="topRight" state="frozen"/>
      <selection pane="topRight" activeCell="D2" sqref="D2"/>
    </sheetView>
  </sheetViews>
  <sheetFormatPr defaultColWidth="12.5703125" defaultRowHeight="15" customHeight="1" x14ac:dyDescent="0.2"/>
  <cols>
    <col min="3" max="3" width="7.85546875" customWidth="1"/>
    <col min="4" max="4" width="8.5703125" customWidth="1"/>
    <col min="5" max="5" width="7.5703125" customWidth="1"/>
    <col min="6" max="6" width="3.28515625" customWidth="1"/>
    <col min="7" max="7" width="7.28515625" customWidth="1"/>
    <col min="8" max="8" width="7.85546875" customWidth="1"/>
    <col min="9" max="9" width="8.5703125" customWidth="1"/>
    <col min="10" max="10" width="7.5703125" customWidth="1"/>
    <col min="11" max="11" width="3.28515625" customWidth="1"/>
    <col min="12" max="12" width="7.28515625" customWidth="1"/>
    <col min="13" max="13" width="7.85546875" customWidth="1"/>
    <col min="14" max="14" width="8.5703125" customWidth="1"/>
    <col min="15" max="15" width="7.5703125" customWidth="1"/>
    <col min="16" max="16" width="3.28515625" customWidth="1"/>
    <col min="17" max="17" width="7.28515625" customWidth="1"/>
  </cols>
  <sheetData>
    <row r="1" spans="2:43" ht="15.75" customHeight="1" x14ac:dyDescent="0.2">
      <c r="C1" s="23" t="s">
        <v>29</v>
      </c>
      <c r="G1" s="23" t="s">
        <v>30</v>
      </c>
      <c r="H1" s="23"/>
      <c r="L1" s="23"/>
      <c r="M1" s="23" t="s">
        <v>31</v>
      </c>
      <c r="Q1" s="23"/>
      <c r="R1" s="23" t="s">
        <v>32</v>
      </c>
      <c r="X1" s="23" t="s">
        <v>33</v>
      </c>
      <c r="AC1" s="23" t="s">
        <v>34</v>
      </c>
      <c r="AH1" s="23" t="s">
        <v>35</v>
      </c>
      <c r="AM1" s="23" t="s">
        <v>35</v>
      </c>
    </row>
    <row r="2" spans="2:43" ht="39.75" customHeight="1" x14ac:dyDescent="0.2">
      <c r="B2" s="23" t="s">
        <v>36</v>
      </c>
      <c r="C2" s="24" t="s">
        <v>37</v>
      </c>
      <c r="D2" s="24" t="s">
        <v>38</v>
      </c>
      <c r="E2" s="24" t="s">
        <v>39</v>
      </c>
      <c r="F2" s="24" t="s">
        <v>40</v>
      </c>
      <c r="G2" s="24" t="s">
        <v>41</v>
      </c>
      <c r="H2" s="25" t="s">
        <v>37</v>
      </c>
      <c r="I2" s="25" t="s">
        <v>38</v>
      </c>
      <c r="J2" s="25" t="s">
        <v>39</v>
      </c>
      <c r="K2" s="25" t="s">
        <v>40</v>
      </c>
      <c r="L2" s="25" t="s">
        <v>41</v>
      </c>
      <c r="M2" s="24" t="s">
        <v>37</v>
      </c>
      <c r="N2" s="24" t="s">
        <v>38</v>
      </c>
      <c r="O2" s="24" t="s">
        <v>39</v>
      </c>
      <c r="P2" s="24" t="s">
        <v>40</v>
      </c>
      <c r="Q2" s="24" t="s">
        <v>41</v>
      </c>
      <c r="R2" s="26" t="s">
        <v>42</v>
      </c>
      <c r="S2" s="26" t="s">
        <v>43</v>
      </c>
      <c r="T2" s="26" t="s">
        <v>44</v>
      </c>
      <c r="U2" s="26" t="s">
        <v>45</v>
      </c>
      <c r="V2" s="26" t="s">
        <v>46</v>
      </c>
      <c r="X2" s="27" t="s">
        <v>42</v>
      </c>
      <c r="Y2" s="27" t="s">
        <v>43</v>
      </c>
      <c r="Z2" s="27" t="s">
        <v>44</v>
      </c>
      <c r="AA2" s="27" t="s">
        <v>45</v>
      </c>
      <c r="AB2" s="27" t="s">
        <v>46</v>
      </c>
      <c r="AC2" s="26" t="s">
        <v>42</v>
      </c>
      <c r="AD2" s="26" t="s">
        <v>43</v>
      </c>
      <c r="AE2" s="26" t="s">
        <v>44</v>
      </c>
      <c r="AF2" s="26" t="s">
        <v>45</v>
      </c>
      <c r="AG2" s="26" t="s">
        <v>46</v>
      </c>
      <c r="AH2" s="27" t="s">
        <v>42</v>
      </c>
      <c r="AI2" s="27" t="s">
        <v>43</v>
      </c>
      <c r="AJ2" s="27" t="s">
        <v>44</v>
      </c>
      <c r="AK2" s="27" t="s">
        <v>45</v>
      </c>
      <c r="AL2" s="27" t="s">
        <v>46</v>
      </c>
      <c r="AM2" s="27" t="s">
        <v>42</v>
      </c>
      <c r="AN2" s="27" t="s">
        <v>43</v>
      </c>
      <c r="AO2" s="27" t="s">
        <v>44</v>
      </c>
      <c r="AP2" s="27" t="s">
        <v>45</v>
      </c>
      <c r="AQ2" s="27" t="s">
        <v>46</v>
      </c>
    </row>
    <row r="3" spans="2:43" ht="15.75" customHeight="1" x14ac:dyDescent="0.2">
      <c r="B3" s="23" t="s">
        <v>12</v>
      </c>
      <c r="C3" s="27">
        <v>6</v>
      </c>
      <c r="D3" s="27"/>
      <c r="E3" s="27"/>
      <c r="F3" s="27"/>
      <c r="G3" s="27">
        <f t="shared" ref="G3:G7" si="0">SUM(C3,F3)+SUM(D3:E3)*2</f>
        <v>6</v>
      </c>
      <c r="H3" s="26">
        <v>6</v>
      </c>
      <c r="I3" s="26"/>
      <c r="J3" s="26"/>
      <c r="K3" s="26"/>
      <c r="L3" s="26">
        <f t="shared" ref="L3:L7" si="1">SUM(H3,K3)+SUM(I3:J3)*2</f>
        <v>6</v>
      </c>
      <c r="M3" s="27">
        <v>7</v>
      </c>
      <c r="N3" s="27">
        <v>1</v>
      </c>
      <c r="O3" s="27"/>
      <c r="P3" s="27">
        <v>1</v>
      </c>
      <c r="Q3" s="27">
        <f t="shared" ref="Q3:Q7" si="2">SUM(M3,P3)+SUM(N3:O3)*2</f>
        <v>10</v>
      </c>
      <c r="R3" s="26"/>
      <c r="S3" s="26"/>
      <c r="T3" s="26"/>
      <c r="U3" s="26"/>
      <c r="V3" s="26">
        <v>0</v>
      </c>
      <c r="X3" s="27"/>
      <c r="Y3" s="27"/>
      <c r="Z3" s="27"/>
      <c r="AA3" s="27"/>
      <c r="AB3" s="27">
        <v>0</v>
      </c>
      <c r="AC3" s="26">
        <v>7</v>
      </c>
      <c r="AD3" s="26"/>
      <c r="AE3" s="26"/>
      <c r="AF3" s="26">
        <v>3</v>
      </c>
      <c r="AG3" s="26">
        <v>10</v>
      </c>
      <c r="AH3" s="23">
        <v>7</v>
      </c>
      <c r="AI3" s="27"/>
      <c r="AJ3" s="27">
        <v>1</v>
      </c>
      <c r="AK3" s="27">
        <v>1</v>
      </c>
      <c r="AL3" s="27">
        <v>10</v>
      </c>
      <c r="AM3" s="23">
        <v>5</v>
      </c>
      <c r="AN3" s="27"/>
      <c r="AO3" s="27"/>
      <c r="AP3" s="27"/>
      <c r="AQ3" s="27">
        <v>5</v>
      </c>
    </row>
    <row r="4" spans="2:43" ht="15.75" customHeight="1" x14ac:dyDescent="0.2">
      <c r="B4" s="23" t="s">
        <v>13</v>
      </c>
      <c r="C4" s="27">
        <v>5</v>
      </c>
      <c r="D4" s="27">
        <v>1</v>
      </c>
      <c r="E4" s="27"/>
      <c r="F4" s="27"/>
      <c r="G4" s="27">
        <f t="shared" si="0"/>
        <v>7</v>
      </c>
      <c r="H4" s="26">
        <v>7</v>
      </c>
      <c r="I4" s="26"/>
      <c r="J4" s="26">
        <v>1</v>
      </c>
      <c r="K4" s="26">
        <v>1</v>
      </c>
      <c r="L4" s="26">
        <f t="shared" si="1"/>
        <v>10</v>
      </c>
      <c r="M4" s="27">
        <v>6</v>
      </c>
      <c r="N4" s="27"/>
      <c r="O4" s="27">
        <v>1</v>
      </c>
      <c r="P4" s="27"/>
      <c r="Q4" s="27">
        <f t="shared" si="2"/>
        <v>8</v>
      </c>
      <c r="R4" s="26">
        <v>6</v>
      </c>
      <c r="S4" s="26">
        <v>1</v>
      </c>
      <c r="T4" s="26"/>
      <c r="U4" s="26">
        <v>2</v>
      </c>
      <c r="V4" s="26">
        <v>10</v>
      </c>
      <c r="X4" s="27">
        <v>4</v>
      </c>
      <c r="Y4" s="27"/>
      <c r="Z4" s="27"/>
      <c r="AA4" s="27"/>
      <c r="AB4" s="27">
        <v>4</v>
      </c>
      <c r="AC4" s="26">
        <v>5</v>
      </c>
      <c r="AD4" s="26"/>
      <c r="AE4" s="26">
        <v>1</v>
      </c>
      <c r="AF4" s="26"/>
      <c r="AG4" s="26">
        <v>7</v>
      </c>
      <c r="AH4" s="23">
        <v>4</v>
      </c>
      <c r="AI4" s="27"/>
      <c r="AJ4" s="27"/>
      <c r="AK4" s="27">
        <v>1</v>
      </c>
      <c r="AL4" s="27">
        <v>5</v>
      </c>
      <c r="AM4" s="23">
        <v>7</v>
      </c>
      <c r="AN4" s="27">
        <v>1</v>
      </c>
      <c r="AO4" s="27"/>
      <c r="AP4" s="27">
        <v>1</v>
      </c>
      <c r="AQ4" s="27">
        <v>10</v>
      </c>
    </row>
    <row r="5" spans="2:43" ht="15.75" customHeight="1" x14ac:dyDescent="0.2">
      <c r="B5" s="23" t="s">
        <v>14</v>
      </c>
      <c r="C5" s="27">
        <v>7</v>
      </c>
      <c r="D5" s="27"/>
      <c r="E5" s="27"/>
      <c r="F5" s="27"/>
      <c r="G5" s="27">
        <f t="shared" si="0"/>
        <v>7</v>
      </c>
      <c r="H5" s="26">
        <v>7</v>
      </c>
      <c r="I5" s="26"/>
      <c r="J5" s="26"/>
      <c r="K5" s="26"/>
      <c r="L5" s="26">
        <f t="shared" si="1"/>
        <v>7</v>
      </c>
      <c r="M5" s="27">
        <v>5</v>
      </c>
      <c r="N5" s="27"/>
      <c r="O5" s="27"/>
      <c r="P5" s="27"/>
      <c r="Q5" s="27">
        <f t="shared" si="2"/>
        <v>5</v>
      </c>
      <c r="R5" s="26">
        <v>6</v>
      </c>
      <c r="S5" s="26"/>
      <c r="T5" s="26"/>
      <c r="U5" s="26"/>
      <c r="V5" s="26">
        <v>6</v>
      </c>
      <c r="X5" s="27">
        <v>8</v>
      </c>
      <c r="Y5" s="27"/>
      <c r="Z5" s="27">
        <v>1</v>
      </c>
      <c r="AA5" s="27"/>
      <c r="AB5" s="27">
        <v>10</v>
      </c>
      <c r="AC5" s="26">
        <v>8</v>
      </c>
      <c r="AD5" s="26"/>
      <c r="AE5" s="26"/>
      <c r="AF5" s="26"/>
      <c r="AG5" s="26">
        <v>8</v>
      </c>
      <c r="AH5" s="23">
        <v>7</v>
      </c>
      <c r="AI5" s="27"/>
      <c r="AJ5" s="27"/>
      <c r="AK5" s="27"/>
      <c r="AL5" s="27">
        <v>7</v>
      </c>
      <c r="AM5" s="23">
        <v>8</v>
      </c>
      <c r="AN5" s="27"/>
      <c r="AO5" s="27"/>
      <c r="AP5" s="27"/>
      <c r="AQ5" s="27">
        <v>8</v>
      </c>
    </row>
    <row r="6" spans="2:43" ht="15.75" customHeight="1" x14ac:dyDescent="0.2">
      <c r="B6" s="23" t="s">
        <v>15</v>
      </c>
      <c r="C6" s="27">
        <v>7</v>
      </c>
      <c r="D6" s="27"/>
      <c r="E6" s="27"/>
      <c r="F6" s="27">
        <v>1</v>
      </c>
      <c r="G6" s="27">
        <f t="shared" si="0"/>
        <v>8</v>
      </c>
      <c r="H6" s="26">
        <v>7</v>
      </c>
      <c r="I6" s="26">
        <v>1</v>
      </c>
      <c r="J6" s="26"/>
      <c r="K6" s="26"/>
      <c r="L6" s="26">
        <f t="shared" si="1"/>
        <v>9</v>
      </c>
      <c r="M6" s="27">
        <v>9</v>
      </c>
      <c r="N6" s="27"/>
      <c r="O6" s="27"/>
      <c r="P6" s="27"/>
      <c r="Q6" s="27">
        <f t="shared" si="2"/>
        <v>9</v>
      </c>
      <c r="R6" s="26"/>
      <c r="S6" s="26"/>
      <c r="T6" s="26"/>
      <c r="U6" s="26"/>
      <c r="V6" s="26">
        <v>0</v>
      </c>
      <c r="X6" s="27"/>
      <c r="Y6" s="27"/>
      <c r="Z6" s="27"/>
      <c r="AA6" s="27"/>
      <c r="AB6" s="27">
        <v>0</v>
      </c>
      <c r="AC6" s="26"/>
      <c r="AD6" s="26"/>
      <c r="AE6" s="26"/>
      <c r="AF6" s="26"/>
      <c r="AG6" s="26">
        <v>0</v>
      </c>
      <c r="AH6" s="23"/>
      <c r="AI6" s="27"/>
      <c r="AJ6" s="27"/>
      <c r="AK6" s="27"/>
      <c r="AL6" s="27">
        <v>8</v>
      </c>
      <c r="AN6" s="27"/>
      <c r="AO6" s="27"/>
      <c r="AP6" s="27"/>
      <c r="AQ6" s="27">
        <v>0</v>
      </c>
    </row>
    <row r="7" spans="2:43" ht="15.75" customHeight="1" x14ac:dyDescent="0.2">
      <c r="B7" s="23" t="s">
        <v>16</v>
      </c>
      <c r="C7" s="27">
        <v>8</v>
      </c>
      <c r="D7" s="27"/>
      <c r="E7" s="27">
        <v>1</v>
      </c>
      <c r="F7" s="27"/>
      <c r="G7" s="27">
        <f t="shared" si="0"/>
        <v>10</v>
      </c>
      <c r="H7" s="26">
        <v>7</v>
      </c>
      <c r="I7" s="26"/>
      <c r="J7" s="26"/>
      <c r="K7" s="26"/>
      <c r="L7" s="26">
        <f t="shared" si="1"/>
        <v>7</v>
      </c>
      <c r="M7" s="27"/>
      <c r="N7" s="27"/>
      <c r="O7" s="27"/>
      <c r="P7" s="27"/>
      <c r="Q7" s="27">
        <f t="shared" si="2"/>
        <v>0</v>
      </c>
      <c r="R7" s="26">
        <v>7</v>
      </c>
      <c r="S7" s="26"/>
      <c r="T7" s="26">
        <v>1</v>
      </c>
      <c r="U7" s="26"/>
      <c r="V7" s="26">
        <v>9</v>
      </c>
      <c r="X7" s="27">
        <v>5</v>
      </c>
      <c r="Y7" s="27"/>
      <c r="Z7" s="27"/>
      <c r="AA7" s="27"/>
      <c r="AB7" s="27">
        <v>5</v>
      </c>
      <c r="AC7" s="26"/>
      <c r="AD7" s="26"/>
      <c r="AE7" s="26"/>
      <c r="AF7" s="26"/>
      <c r="AG7" s="26">
        <v>0</v>
      </c>
      <c r="AH7" s="23">
        <v>5</v>
      </c>
      <c r="AI7" s="27">
        <v>1</v>
      </c>
      <c r="AJ7" s="27"/>
      <c r="AK7" s="27">
        <v>1</v>
      </c>
      <c r="AL7" s="27">
        <v>5</v>
      </c>
      <c r="AM7" s="23">
        <v>4</v>
      </c>
      <c r="AN7" s="27"/>
      <c r="AO7" s="27"/>
      <c r="AP7" s="27"/>
      <c r="AQ7" s="27">
        <v>4</v>
      </c>
    </row>
    <row r="8" spans="2:43" ht="15.75" customHeight="1" x14ac:dyDescent="0.2">
      <c r="B8" s="23" t="s">
        <v>17</v>
      </c>
      <c r="C8" s="27"/>
      <c r="D8" s="27"/>
      <c r="E8" s="27"/>
      <c r="F8" s="27"/>
      <c r="G8" s="27"/>
      <c r="H8" s="26"/>
      <c r="I8" s="26"/>
      <c r="J8" s="26"/>
      <c r="K8" s="26"/>
      <c r="L8" s="26"/>
      <c r="M8" s="27"/>
      <c r="N8" s="27"/>
      <c r="O8" s="27"/>
      <c r="P8" s="27"/>
      <c r="Q8" s="27"/>
      <c r="R8" s="26">
        <v>4</v>
      </c>
      <c r="S8" s="26"/>
      <c r="T8" s="26"/>
      <c r="U8" s="26">
        <v>2</v>
      </c>
      <c r="V8" s="26">
        <v>6</v>
      </c>
      <c r="X8" s="27">
        <v>6</v>
      </c>
      <c r="Y8" s="27"/>
      <c r="Z8" s="27"/>
      <c r="AA8" s="27">
        <v>1</v>
      </c>
      <c r="AB8" s="27">
        <v>7</v>
      </c>
      <c r="AC8" s="26">
        <v>5</v>
      </c>
      <c r="AD8" s="26"/>
      <c r="AE8" s="26"/>
      <c r="AF8" s="26"/>
      <c r="AG8" s="26">
        <v>5</v>
      </c>
      <c r="AH8" s="23">
        <v>5</v>
      </c>
      <c r="AI8" s="27"/>
      <c r="AJ8" s="27"/>
      <c r="AK8" s="27"/>
      <c r="AL8" s="27">
        <v>0</v>
      </c>
      <c r="AM8" s="23">
        <v>6</v>
      </c>
      <c r="AN8" s="27"/>
      <c r="AO8" s="27">
        <v>1</v>
      </c>
      <c r="AP8" s="27"/>
      <c r="AQ8" s="27">
        <v>8</v>
      </c>
    </row>
    <row r="9" spans="2:43" ht="15.75" customHeight="1" x14ac:dyDescent="0.2">
      <c r="B9" s="23" t="s">
        <v>18</v>
      </c>
      <c r="C9" s="27"/>
      <c r="D9" s="27"/>
      <c r="E9" s="27"/>
      <c r="F9" s="27"/>
      <c r="G9" s="27"/>
      <c r="H9" s="26"/>
      <c r="I9" s="26"/>
      <c r="J9" s="26"/>
      <c r="K9" s="26"/>
      <c r="L9" s="26"/>
      <c r="M9" s="27"/>
      <c r="N9" s="27"/>
      <c r="O9" s="27"/>
      <c r="P9" s="27"/>
      <c r="Q9" s="27"/>
      <c r="R9" s="26"/>
      <c r="S9" s="26"/>
      <c r="T9" s="26"/>
      <c r="U9" s="26"/>
      <c r="V9" s="26">
        <v>0</v>
      </c>
      <c r="X9" s="27">
        <v>5</v>
      </c>
      <c r="Y9" s="27">
        <v>1</v>
      </c>
      <c r="Z9" s="27"/>
      <c r="AA9" s="27">
        <v>1</v>
      </c>
      <c r="AB9" s="27">
        <v>8</v>
      </c>
      <c r="AC9" s="26"/>
      <c r="AD9" s="26"/>
      <c r="AE9" s="26"/>
      <c r="AF9" s="26"/>
      <c r="AG9" s="26">
        <v>0</v>
      </c>
      <c r="AH9" s="27"/>
      <c r="AI9" s="27"/>
      <c r="AJ9" s="27"/>
      <c r="AK9" s="27"/>
      <c r="AL9" s="27">
        <v>0</v>
      </c>
      <c r="AM9" s="27"/>
      <c r="AN9" s="27"/>
      <c r="AO9" s="27"/>
      <c r="AP9" s="27"/>
      <c r="AQ9" s="27">
        <v>0</v>
      </c>
    </row>
    <row r="10" spans="2:43" ht="15.75" customHeight="1" x14ac:dyDescent="0.2">
      <c r="C10" s="27"/>
      <c r="D10" s="27"/>
      <c r="E10" s="27"/>
      <c r="F10" s="27"/>
      <c r="G10" s="27"/>
      <c r="H10" s="26"/>
      <c r="I10" s="26"/>
      <c r="J10" s="26"/>
      <c r="K10" s="26"/>
      <c r="L10" s="26"/>
      <c r="M10" s="27"/>
      <c r="N10" s="27"/>
      <c r="O10" s="27"/>
      <c r="P10" s="27"/>
      <c r="Q10" s="27"/>
      <c r="R10" s="26"/>
      <c r="S10" s="26"/>
      <c r="T10" s="26"/>
      <c r="U10" s="26"/>
      <c r="V10" s="26">
        <v>0</v>
      </c>
      <c r="X10" s="27"/>
      <c r="Y10" s="27"/>
      <c r="Z10" s="27"/>
      <c r="AA10" s="27"/>
      <c r="AB10" s="27">
        <v>0</v>
      </c>
      <c r="AC10" s="26"/>
      <c r="AD10" s="26"/>
      <c r="AE10" s="26"/>
      <c r="AF10" s="26"/>
      <c r="AG10" s="26">
        <v>0</v>
      </c>
      <c r="AH10" s="27"/>
      <c r="AI10" s="27"/>
      <c r="AJ10" s="27"/>
      <c r="AK10" s="27"/>
      <c r="AL10" s="27">
        <v>0</v>
      </c>
      <c r="AM10" s="27"/>
      <c r="AN10" s="27"/>
      <c r="AO10" s="27"/>
      <c r="AP10" s="27"/>
      <c r="AQ10" s="27">
        <v>0</v>
      </c>
    </row>
    <row r="11" spans="2:43" ht="15.75" customHeight="1" x14ac:dyDescent="0.2">
      <c r="C11" s="27"/>
      <c r="D11" s="27"/>
      <c r="E11" s="27"/>
      <c r="F11" s="27"/>
      <c r="G11" s="27"/>
      <c r="H11" s="26"/>
      <c r="I11" s="26"/>
      <c r="J11" s="26"/>
      <c r="K11" s="26"/>
      <c r="L11" s="26"/>
      <c r="M11" s="27"/>
      <c r="N11" s="27"/>
      <c r="O11" s="27"/>
      <c r="P11" s="27"/>
      <c r="Q11" s="27"/>
      <c r="R11" s="26"/>
      <c r="S11" s="26"/>
      <c r="T11" s="26"/>
      <c r="U11" s="26"/>
      <c r="V11" s="26"/>
      <c r="X11" s="27"/>
      <c r="Y11" s="27"/>
      <c r="Z11" s="27"/>
      <c r="AA11" s="27"/>
      <c r="AB11" s="27"/>
      <c r="AC11" s="26"/>
      <c r="AD11" s="26"/>
      <c r="AE11" s="26"/>
      <c r="AF11" s="26"/>
      <c r="AG11" s="26"/>
      <c r="AH11" s="27"/>
      <c r="AI11" s="27"/>
      <c r="AJ11" s="27"/>
      <c r="AK11" s="27"/>
      <c r="AL11" s="27"/>
      <c r="AM11" s="27"/>
      <c r="AN11" s="27"/>
      <c r="AO11" s="27"/>
      <c r="AP11" s="27"/>
      <c r="AQ11" s="27"/>
    </row>
    <row r="12" spans="2:43" ht="15.75" customHeight="1" x14ac:dyDescent="0.2">
      <c r="C12" s="27"/>
      <c r="D12" s="27"/>
      <c r="E12" s="27"/>
      <c r="F12" s="27"/>
      <c r="G12" s="27"/>
      <c r="H12" s="26"/>
      <c r="I12" s="26"/>
      <c r="J12" s="26"/>
      <c r="K12" s="26"/>
      <c r="L12" s="26"/>
      <c r="M12" s="27"/>
      <c r="N12" s="27"/>
      <c r="O12" s="27"/>
      <c r="P12" s="27"/>
      <c r="Q12" s="27"/>
      <c r="R12" s="26"/>
      <c r="S12" s="26"/>
      <c r="T12" s="26"/>
      <c r="U12" s="26"/>
      <c r="V12" s="26"/>
      <c r="W12" s="27"/>
      <c r="X12" s="27"/>
      <c r="Y12" s="27"/>
      <c r="Z12" s="27"/>
      <c r="AA12" s="27"/>
      <c r="AB12" s="27"/>
      <c r="AC12" s="26"/>
      <c r="AD12" s="26"/>
      <c r="AE12" s="26"/>
      <c r="AF12" s="26"/>
      <c r="AG12" s="26"/>
      <c r="AH12" s="27"/>
      <c r="AI12" s="27"/>
      <c r="AJ12" s="27"/>
      <c r="AK12" s="27"/>
      <c r="AL12" s="27"/>
      <c r="AM12" s="27"/>
      <c r="AN12" s="27"/>
      <c r="AO12" s="27"/>
      <c r="AP12" s="27"/>
      <c r="AQ12" s="27"/>
    </row>
    <row r="13" spans="2:43" ht="15.75" customHeight="1" x14ac:dyDescent="0.2">
      <c r="C13" s="27"/>
      <c r="D13" s="27"/>
      <c r="E13" s="27"/>
      <c r="F13" s="27"/>
      <c r="G13" s="27"/>
      <c r="H13" s="26"/>
      <c r="I13" s="26"/>
      <c r="J13" s="26"/>
      <c r="K13" s="26"/>
      <c r="L13" s="26"/>
      <c r="M13" s="27"/>
      <c r="N13" s="27"/>
      <c r="O13" s="27"/>
      <c r="P13" s="27"/>
      <c r="Q13" s="27"/>
      <c r="R13" s="26"/>
      <c r="S13" s="26"/>
      <c r="T13" s="26"/>
      <c r="U13" s="26"/>
      <c r="V13" s="26"/>
      <c r="W13" s="27"/>
      <c r="X13" s="27"/>
      <c r="Y13" s="27"/>
      <c r="Z13" s="27"/>
      <c r="AA13" s="27"/>
      <c r="AB13" s="27"/>
      <c r="AC13" s="26"/>
      <c r="AD13" s="26"/>
      <c r="AE13" s="26"/>
      <c r="AF13" s="26"/>
      <c r="AG13" s="26"/>
      <c r="AH13" s="27"/>
      <c r="AI13" s="27"/>
      <c r="AJ13" s="27"/>
      <c r="AK13" s="27"/>
      <c r="AL13" s="27"/>
      <c r="AM13" s="27"/>
      <c r="AN13" s="27"/>
      <c r="AO13" s="27"/>
      <c r="AP13" s="27"/>
      <c r="AQ13" s="27"/>
    </row>
    <row r="14" spans="2:43" ht="15.75" customHeight="1" x14ac:dyDescent="0.2">
      <c r="C14" s="27"/>
      <c r="D14" s="27"/>
      <c r="E14" s="27"/>
      <c r="F14" s="27"/>
      <c r="G14" s="27"/>
      <c r="H14" s="26"/>
      <c r="I14" s="26"/>
      <c r="J14" s="26"/>
      <c r="K14" s="26"/>
      <c r="L14" s="26"/>
      <c r="M14" s="27"/>
      <c r="N14" s="27"/>
      <c r="O14" s="27"/>
      <c r="P14" s="27"/>
      <c r="Q14" s="27"/>
      <c r="R14" s="26"/>
      <c r="S14" s="26"/>
      <c r="T14" s="26"/>
      <c r="U14" s="26"/>
      <c r="V14" s="26"/>
      <c r="W14" s="27"/>
      <c r="X14" s="27"/>
      <c r="Y14" s="27"/>
      <c r="Z14" s="27"/>
      <c r="AA14" s="27"/>
      <c r="AB14" s="27"/>
      <c r="AC14" s="26"/>
      <c r="AD14" s="26"/>
      <c r="AE14" s="26"/>
      <c r="AF14" s="26"/>
      <c r="AG14" s="26"/>
      <c r="AH14" s="27"/>
      <c r="AI14" s="27"/>
      <c r="AJ14" s="27"/>
      <c r="AK14" s="27"/>
      <c r="AL14" s="27"/>
    </row>
    <row r="15" spans="2:43" ht="15.75" customHeight="1" x14ac:dyDescent="0.2">
      <c r="C15" s="27"/>
      <c r="D15" s="27"/>
      <c r="E15" s="27"/>
      <c r="F15" s="27"/>
      <c r="G15" s="27"/>
      <c r="H15" s="26"/>
      <c r="I15" s="26"/>
      <c r="J15" s="26"/>
      <c r="K15" s="26"/>
      <c r="L15" s="26"/>
      <c r="M15" s="27"/>
      <c r="N15" s="27"/>
      <c r="O15" s="27"/>
      <c r="P15" s="27"/>
      <c r="Q15" s="27"/>
      <c r="R15" s="26"/>
      <c r="S15" s="26"/>
      <c r="T15" s="26"/>
      <c r="U15" s="26"/>
      <c r="V15" s="26"/>
      <c r="W15" s="27"/>
      <c r="X15" s="27"/>
      <c r="Y15" s="27"/>
      <c r="Z15" s="27"/>
      <c r="AA15" s="27"/>
      <c r="AB15" s="27"/>
      <c r="AC15" s="26"/>
      <c r="AD15" s="26"/>
      <c r="AE15" s="26"/>
      <c r="AF15" s="26"/>
      <c r="AG15" s="26"/>
      <c r="AH15" s="27"/>
      <c r="AI15" s="27"/>
      <c r="AJ15" s="27"/>
      <c r="AK15" s="27"/>
      <c r="AL15" s="27"/>
    </row>
    <row r="16" spans="2:43" ht="15.75" customHeight="1" x14ac:dyDescent="0.2">
      <c r="C16" s="27"/>
      <c r="D16" s="27"/>
      <c r="E16" s="27"/>
      <c r="F16" s="27"/>
      <c r="G16" s="27"/>
      <c r="H16" s="26"/>
      <c r="I16" s="26"/>
      <c r="J16" s="26"/>
      <c r="K16" s="26"/>
      <c r="L16" s="26"/>
      <c r="M16" s="27"/>
      <c r="N16" s="27"/>
      <c r="O16" s="27"/>
      <c r="P16" s="27"/>
      <c r="Q16" s="27"/>
      <c r="R16" s="26"/>
      <c r="S16" s="26"/>
      <c r="T16" s="26"/>
      <c r="U16" s="26"/>
      <c r="V16" s="26"/>
      <c r="W16" s="27"/>
      <c r="X16" s="27"/>
      <c r="Y16" s="27"/>
      <c r="Z16" s="27"/>
      <c r="AA16" s="27"/>
      <c r="AB16" s="27"/>
      <c r="AC16" s="26"/>
      <c r="AD16" s="26"/>
      <c r="AE16" s="26"/>
      <c r="AF16" s="26"/>
      <c r="AG16" s="26"/>
      <c r="AH16" s="27"/>
      <c r="AI16" s="27"/>
      <c r="AJ16" s="27"/>
      <c r="AK16" s="27"/>
      <c r="AL16" s="27"/>
    </row>
    <row r="17" spans="3:28" ht="15.75" customHeight="1" x14ac:dyDescent="0.2">
      <c r="C17" s="27"/>
      <c r="D17" s="27"/>
      <c r="E17" s="27"/>
      <c r="F17" s="27"/>
      <c r="G17" s="27"/>
      <c r="H17" s="26"/>
      <c r="I17" s="26"/>
      <c r="J17" s="26"/>
      <c r="K17" s="26"/>
      <c r="L17" s="26"/>
      <c r="M17" s="27"/>
      <c r="N17" s="27"/>
      <c r="O17" s="27"/>
      <c r="P17" s="27"/>
      <c r="Q17" s="27"/>
      <c r="W17" s="27"/>
      <c r="X17" s="27"/>
      <c r="Y17" s="27"/>
      <c r="Z17" s="27"/>
      <c r="AA17" s="27"/>
      <c r="AB17" s="27"/>
    </row>
    <row r="18" spans="3:28" ht="15.75" customHeight="1" x14ac:dyDescent="0.2">
      <c r="C18" s="27"/>
      <c r="D18" s="27"/>
      <c r="E18" s="27"/>
      <c r="F18" s="27"/>
      <c r="G18" s="27"/>
      <c r="H18" s="26"/>
      <c r="I18" s="26"/>
      <c r="J18" s="26"/>
      <c r="K18" s="26"/>
      <c r="L18" s="26"/>
      <c r="M18" s="27"/>
      <c r="N18" s="27"/>
      <c r="O18" s="27"/>
      <c r="P18" s="27"/>
      <c r="Q18" s="27"/>
    </row>
    <row r="19" spans="3:28" ht="15.75" customHeight="1" x14ac:dyDescent="0.2">
      <c r="C19" s="27"/>
      <c r="D19" s="27"/>
      <c r="E19" s="27"/>
      <c r="F19" s="27"/>
      <c r="G19" s="27"/>
      <c r="H19" s="26"/>
      <c r="I19" s="26"/>
      <c r="J19" s="26"/>
      <c r="K19" s="26"/>
      <c r="L19" s="26"/>
      <c r="M19" s="27"/>
      <c r="N19" s="27"/>
      <c r="O19" s="27"/>
      <c r="P19" s="27"/>
      <c r="Q19" s="27"/>
    </row>
    <row r="20" spans="3:28" ht="15.75" customHeight="1" x14ac:dyDescent="0.2">
      <c r="C20" s="27"/>
      <c r="D20" s="27"/>
      <c r="E20" s="27"/>
      <c r="F20" s="27"/>
      <c r="G20" s="27"/>
      <c r="H20" s="26"/>
      <c r="I20" s="26"/>
      <c r="J20" s="26"/>
      <c r="K20" s="26"/>
      <c r="L20" s="26"/>
      <c r="M20" s="27"/>
      <c r="N20" s="27"/>
      <c r="O20" s="27"/>
      <c r="P20" s="27"/>
      <c r="Q20" s="27"/>
    </row>
    <row r="21" spans="3:28" ht="15.75" customHeight="1" x14ac:dyDescent="0.2">
      <c r="C21" s="27"/>
      <c r="D21" s="27"/>
      <c r="E21" s="27"/>
      <c r="F21" s="27"/>
      <c r="G21" s="27"/>
      <c r="H21" s="26"/>
      <c r="I21" s="26"/>
      <c r="J21" s="26"/>
      <c r="K21" s="26"/>
      <c r="L21" s="26"/>
      <c r="M21" s="27"/>
      <c r="N21" s="27"/>
      <c r="O21" s="27"/>
      <c r="P21" s="27"/>
      <c r="Q21" s="27"/>
    </row>
    <row r="22" spans="3:28" ht="15.75" customHeight="1" x14ac:dyDescent="0.2">
      <c r="C22" s="27"/>
      <c r="D22" s="27"/>
      <c r="E22" s="27"/>
      <c r="F22" s="27"/>
      <c r="G22" s="27"/>
      <c r="H22" s="26"/>
      <c r="I22" s="26"/>
      <c r="J22" s="26"/>
      <c r="K22" s="26"/>
      <c r="L22" s="26"/>
      <c r="M22" s="27"/>
      <c r="N22" s="27"/>
      <c r="O22" s="27"/>
      <c r="P22" s="27"/>
      <c r="Q22" s="27"/>
    </row>
    <row r="23" spans="3:28" ht="15.75" customHeight="1" x14ac:dyDescent="0.2">
      <c r="C23" s="27"/>
      <c r="D23" s="27"/>
      <c r="E23" s="27"/>
      <c r="F23" s="27"/>
      <c r="G23" s="27"/>
      <c r="H23" s="26"/>
      <c r="I23" s="26"/>
      <c r="J23" s="26"/>
      <c r="K23" s="26"/>
      <c r="L23" s="26"/>
      <c r="M23" s="27"/>
      <c r="N23" s="27"/>
      <c r="O23" s="27"/>
      <c r="P23" s="27"/>
      <c r="Q23" s="27"/>
    </row>
    <row r="24" spans="3:28" ht="15.75" customHeight="1" x14ac:dyDescent="0.2">
      <c r="C24" s="27"/>
      <c r="D24" s="27"/>
      <c r="E24" s="27"/>
      <c r="F24" s="27"/>
      <c r="G24" s="27"/>
      <c r="H24" s="26"/>
      <c r="I24" s="26"/>
      <c r="J24" s="26"/>
      <c r="K24" s="26"/>
      <c r="L24" s="26"/>
      <c r="M24" s="27"/>
      <c r="N24" s="27"/>
      <c r="O24" s="27"/>
      <c r="P24" s="27"/>
      <c r="Q24" s="27"/>
    </row>
    <row r="25" spans="3:28" ht="15.75" customHeight="1" x14ac:dyDescent="0.2"/>
    <row r="26" spans="3:28" ht="15.75" customHeight="1" x14ac:dyDescent="0.2"/>
    <row r="27" spans="3:28" ht="15.75" customHeight="1" x14ac:dyDescent="0.2"/>
    <row r="28" spans="3:28" ht="15.75" customHeight="1" x14ac:dyDescent="0.2"/>
    <row r="29" spans="3:28" ht="15.75" customHeight="1" x14ac:dyDescent="0.2"/>
    <row r="30" spans="3:28" ht="15.75" customHeight="1" x14ac:dyDescent="0.2"/>
    <row r="31" spans="3:28" ht="15.75" customHeight="1" x14ac:dyDescent="0.2"/>
    <row r="32" spans="3:2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J2075"/>
  <sheetViews>
    <sheetView showGridLines="0" tabSelected="1" workbookViewId="0">
      <pane ySplit="1" topLeftCell="A2024" activePane="bottomLeft" state="frozen"/>
      <selection pane="bottomLeft" activeCell="D2031" sqref="D2031:G2050"/>
    </sheetView>
  </sheetViews>
  <sheetFormatPr defaultColWidth="12.5703125" defaultRowHeight="15" customHeight="1" x14ac:dyDescent="0.2"/>
  <cols>
    <col min="1" max="1" width="9.140625" customWidth="1"/>
    <col min="2" max="2" width="9.7109375" customWidth="1"/>
    <col min="4" max="4" width="11.42578125" customWidth="1"/>
    <col min="5" max="5" width="8.5703125" customWidth="1"/>
    <col min="6" max="6" width="12.85546875" customWidth="1"/>
    <col min="7" max="7" width="12.7109375" customWidth="1"/>
    <col min="8" max="10" width="10.28515625" customWidth="1"/>
    <col min="11" max="25" width="8.5703125" customWidth="1"/>
  </cols>
  <sheetData>
    <row r="1" spans="1:10" ht="28.5" customHeight="1" x14ac:dyDescent="0.2">
      <c r="A1" s="28" t="s">
        <v>1</v>
      </c>
      <c r="B1" s="29" t="s">
        <v>2</v>
      </c>
      <c r="C1" s="30" t="s">
        <v>36</v>
      </c>
      <c r="D1" s="31" t="s">
        <v>37</v>
      </c>
      <c r="E1" s="31" t="s">
        <v>40</v>
      </c>
      <c r="F1" s="31" t="s">
        <v>38</v>
      </c>
      <c r="G1" s="31" t="s">
        <v>39</v>
      </c>
      <c r="H1" s="32" t="s">
        <v>41</v>
      </c>
      <c r="I1" s="33" t="s">
        <v>47</v>
      </c>
      <c r="J1" s="34" t="s">
        <v>48</v>
      </c>
    </row>
    <row r="2" spans="1:10" ht="12.75" customHeight="1" x14ac:dyDescent="0.2">
      <c r="A2" s="35">
        <v>45294</v>
      </c>
      <c r="B2" s="36">
        <v>1</v>
      </c>
      <c r="C2" s="37" t="s">
        <v>12</v>
      </c>
      <c r="D2" s="37">
        <v>6</v>
      </c>
      <c r="E2" s="37"/>
      <c r="F2" s="37"/>
      <c r="G2" s="37"/>
      <c r="H2" s="38">
        <f t="shared" ref="H2:H256" si="0">+SUM(D2:E2)+2*SUM(F2:G2)+J2</f>
        <v>6</v>
      </c>
      <c r="I2" s="38">
        <f t="shared" ref="I2:I256" si="1">COUNTIFS($B$2:$B$1075,B2,$H$2:$H$1075,"&gt;" &amp; H2)+1</f>
        <v>5</v>
      </c>
      <c r="J2" s="38"/>
    </row>
    <row r="3" spans="1:10" ht="12.75" customHeight="1" x14ac:dyDescent="0.2">
      <c r="A3" s="35">
        <v>45294</v>
      </c>
      <c r="B3" s="36">
        <v>1</v>
      </c>
      <c r="C3" s="37" t="s">
        <v>13</v>
      </c>
      <c r="D3" s="37">
        <v>5</v>
      </c>
      <c r="E3" s="37"/>
      <c r="F3" s="37">
        <v>1</v>
      </c>
      <c r="G3" s="37"/>
      <c r="H3" s="38">
        <f t="shared" si="0"/>
        <v>7</v>
      </c>
      <c r="I3" s="38">
        <f t="shared" si="1"/>
        <v>3</v>
      </c>
      <c r="J3" s="38"/>
    </row>
    <row r="4" spans="1:10" ht="12.75" customHeight="1" x14ac:dyDescent="0.2">
      <c r="A4" s="35">
        <v>45294</v>
      </c>
      <c r="B4" s="36">
        <v>1</v>
      </c>
      <c r="C4" s="37" t="s">
        <v>14</v>
      </c>
      <c r="D4" s="37">
        <v>7</v>
      </c>
      <c r="E4" s="37"/>
      <c r="F4" s="37"/>
      <c r="G4" s="37"/>
      <c r="H4" s="38">
        <f t="shared" si="0"/>
        <v>7</v>
      </c>
      <c r="I4" s="38">
        <f t="shared" si="1"/>
        <v>3</v>
      </c>
      <c r="J4" s="38"/>
    </row>
    <row r="5" spans="1:10" ht="12.75" customHeight="1" x14ac:dyDescent="0.2">
      <c r="A5" s="35">
        <v>45294</v>
      </c>
      <c r="B5" s="36">
        <v>1</v>
      </c>
      <c r="C5" s="37" t="s">
        <v>15</v>
      </c>
      <c r="D5" s="37">
        <v>7</v>
      </c>
      <c r="E5" s="37">
        <v>1</v>
      </c>
      <c r="F5" s="37"/>
      <c r="G5" s="37"/>
      <c r="H5" s="38">
        <f t="shared" si="0"/>
        <v>8</v>
      </c>
      <c r="I5" s="38">
        <f t="shared" si="1"/>
        <v>2</v>
      </c>
      <c r="J5" s="38"/>
    </row>
    <row r="6" spans="1:10" ht="12.75" customHeight="1" x14ac:dyDescent="0.2">
      <c r="A6" s="35">
        <v>45294</v>
      </c>
      <c r="B6" s="36">
        <v>1</v>
      </c>
      <c r="C6" s="37" t="s">
        <v>16</v>
      </c>
      <c r="D6" s="37">
        <v>8</v>
      </c>
      <c r="E6" s="37"/>
      <c r="F6" s="37"/>
      <c r="G6" s="37">
        <v>1</v>
      </c>
      <c r="H6" s="38">
        <f t="shared" si="0"/>
        <v>10</v>
      </c>
      <c r="I6" s="38">
        <f t="shared" si="1"/>
        <v>1</v>
      </c>
      <c r="J6" s="38"/>
    </row>
    <row r="7" spans="1:10" ht="12.75" customHeight="1" x14ac:dyDescent="0.2">
      <c r="A7" s="39">
        <v>45294</v>
      </c>
      <c r="B7" s="40">
        <v>2</v>
      </c>
      <c r="C7" s="41" t="s">
        <v>12</v>
      </c>
      <c r="D7" s="41">
        <v>6</v>
      </c>
      <c r="E7" s="41"/>
      <c r="F7" s="41"/>
      <c r="G7" s="41"/>
      <c r="H7" s="38">
        <f t="shared" si="0"/>
        <v>6</v>
      </c>
      <c r="I7" s="38">
        <f t="shared" si="1"/>
        <v>5</v>
      </c>
      <c r="J7" s="42"/>
    </row>
    <row r="8" spans="1:10" ht="12.75" customHeight="1" x14ac:dyDescent="0.2">
      <c r="A8" s="39">
        <v>45294</v>
      </c>
      <c r="B8" s="40">
        <v>2</v>
      </c>
      <c r="C8" s="41" t="s">
        <v>13</v>
      </c>
      <c r="D8" s="41">
        <v>7</v>
      </c>
      <c r="E8" s="41">
        <v>1</v>
      </c>
      <c r="F8" s="41"/>
      <c r="G8" s="41">
        <v>1</v>
      </c>
      <c r="H8" s="38">
        <f t="shared" si="0"/>
        <v>10</v>
      </c>
      <c r="I8" s="38">
        <f t="shared" si="1"/>
        <v>1</v>
      </c>
      <c r="J8" s="42"/>
    </row>
    <row r="9" spans="1:10" ht="12.75" customHeight="1" x14ac:dyDescent="0.2">
      <c r="A9" s="39">
        <v>45294</v>
      </c>
      <c r="B9" s="40">
        <v>2</v>
      </c>
      <c r="C9" s="41" t="s">
        <v>14</v>
      </c>
      <c r="D9" s="41">
        <v>7</v>
      </c>
      <c r="E9" s="41"/>
      <c r="F9" s="41"/>
      <c r="G9" s="41"/>
      <c r="H9" s="38">
        <f t="shared" si="0"/>
        <v>7</v>
      </c>
      <c r="I9" s="38">
        <f t="shared" si="1"/>
        <v>3</v>
      </c>
      <c r="J9" s="42"/>
    </row>
    <row r="10" spans="1:10" ht="12.75" customHeight="1" x14ac:dyDescent="0.2">
      <c r="A10" s="39">
        <v>45294</v>
      </c>
      <c r="B10" s="40">
        <v>2</v>
      </c>
      <c r="C10" s="41" t="s">
        <v>15</v>
      </c>
      <c r="D10" s="41">
        <v>7</v>
      </c>
      <c r="E10" s="41"/>
      <c r="F10" s="41">
        <v>1</v>
      </c>
      <c r="G10" s="41"/>
      <c r="H10" s="38">
        <f t="shared" si="0"/>
        <v>9</v>
      </c>
      <c r="I10" s="38">
        <f t="shared" si="1"/>
        <v>2</v>
      </c>
      <c r="J10" s="42"/>
    </row>
    <row r="11" spans="1:10" ht="12.75" customHeight="1" x14ac:dyDescent="0.2">
      <c r="A11" s="39">
        <v>45294</v>
      </c>
      <c r="B11" s="40">
        <v>2</v>
      </c>
      <c r="C11" s="41" t="s">
        <v>16</v>
      </c>
      <c r="D11" s="41">
        <v>7</v>
      </c>
      <c r="E11" s="41"/>
      <c r="F11" s="41"/>
      <c r="G11" s="41"/>
      <c r="H11" s="38">
        <f t="shared" si="0"/>
        <v>7</v>
      </c>
      <c r="I11" s="38">
        <f t="shared" si="1"/>
        <v>3</v>
      </c>
      <c r="J11" s="42"/>
    </row>
    <row r="12" spans="1:10" ht="12.75" customHeight="1" x14ac:dyDescent="0.2">
      <c r="A12" s="35">
        <v>45294</v>
      </c>
      <c r="B12" s="36">
        <v>3</v>
      </c>
      <c r="C12" s="37" t="s">
        <v>12</v>
      </c>
      <c r="D12" s="37">
        <v>7</v>
      </c>
      <c r="E12" s="37">
        <v>1</v>
      </c>
      <c r="F12" s="37">
        <v>1</v>
      </c>
      <c r="G12" s="37"/>
      <c r="H12" s="38">
        <f t="shared" si="0"/>
        <v>10</v>
      </c>
      <c r="I12" s="38">
        <f t="shared" si="1"/>
        <v>1</v>
      </c>
      <c r="J12" s="38"/>
    </row>
    <row r="13" spans="1:10" ht="12.75" customHeight="1" x14ac:dyDescent="0.2">
      <c r="A13" s="35">
        <v>45294</v>
      </c>
      <c r="B13" s="36">
        <v>3</v>
      </c>
      <c r="C13" s="37" t="s">
        <v>13</v>
      </c>
      <c r="D13" s="37">
        <v>6</v>
      </c>
      <c r="E13" s="37"/>
      <c r="F13" s="37"/>
      <c r="G13" s="37">
        <v>1</v>
      </c>
      <c r="H13" s="38">
        <f t="shared" si="0"/>
        <v>8</v>
      </c>
      <c r="I13" s="38">
        <f t="shared" si="1"/>
        <v>3</v>
      </c>
      <c r="J13" s="38"/>
    </row>
    <row r="14" spans="1:10" ht="12.75" customHeight="1" x14ac:dyDescent="0.2">
      <c r="A14" s="35">
        <v>45294</v>
      </c>
      <c r="B14" s="36">
        <v>3</v>
      </c>
      <c r="C14" s="37" t="s">
        <v>14</v>
      </c>
      <c r="D14" s="37">
        <v>5</v>
      </c>
      <c r="E14" s="37"/>
      <c r="F14" s="37"/>
      <c r="G14" s="37"/>
      <c r="H14" s="38">
        <f t="shared" si="0"/>
        <v>5</v>
      </c>
      <c r="I14" s="38">
        <f t="shared" si="1"/>
        <v>4</v>
      </c>
      <c r="J14" s="38"/>
    </row>
    <row r="15" spans="1:10" ht="12.75" customHeight="1" x14ac:dyDescent="0.2">
      <c r="A15" s="35">
        <v>45294</v>
      </c>
      <c r="B15" s="36">
        <v>3</v>
      </c>
      <c r="C15" s="37" t="s">
        <v>15</v>
      </c>
      <c r="D15" s="37">
        <v>9</v>
      </c>
      <c r="E15" s="37"/>
      <c r="F15" s="37"/>
      <c r="G15" s="37"/>
      <c r="H15" s="38">
        <f t="shared" si="0"/>
        <v>9</v>
      </c>
      <c r="I15" s="38">
        <f t="shared" si="1"/>
        <v>2</v>
      </c>
      <c r="J15" s="38"/>
    </row>
    <row r="16" spans="1:10" ht="12.75" customHeight="1" x14ac:dyDescent="0.2">
      <c r="A16" s="43">
        <v>45297</v>
      </c>
      <c r="B16" s="40">
        <v>4</v>
      </c>
      <c r="C16" s="41" t="s">
        <v>13</v>
      </c>
      <c r="D16" s="41">
        <v>6</v>
      </c>
      <c r="E16" s="41">
        <v>2</v>
      </c>
      <c r="F16" s="41">
        <v>1</v>
      </c>
      <c r="G16" s="41"/>
      <c r="H16" s="38">
        <f t="shared" si="0"/>
        <v>10</v>
      </c>
      <c r="I16" s="38">
        <f t="shared" si="1"/>
        <v>1</v>
      </c>
      <c r="J16" s="42"/>
    </row>
    <row r="17" spans="1:10" ht="12.75" customHeight="1" x14ac:dyDescent="0.2">
      <c r="A17" s="43">
        <v>45297</v>
      </c>
      <c r="B17" s="40">
        <v>4</v>
      </c>
      <c r="C17" s="41" t="s">
        <v>14</v>
      </c>
      <c r="D17" s="41">
        <v>6</v>
      </c>
      <c r="E17" s="41"/>
      <c r="F17" s="41"/>
      <c r="G17" s="41"/>
      <c r="H17" s="38">
        <f t="shared" si="0"/>
        <v>6</v>
      </c>
      <c r="I17" s="38">
        <f t="shared" si="1"/>
        <v>3</v>
      </c>
      <c r="J17" s="42"/>
    </row>
    <row r="18" spans="1:10" ht="12.75" customHeight="1" x14ac:dyDescent="0.2">
      <c r="A18" s="43">
        <v>45297</v>
      </c>
      <c r="B18" s="40">
        <v>4</v>
      </c>
      <c r="C18" s="41" t="s">
        <v>16</v>
      </c>
      <c r="D18" s="41">
        <v>7</v>
      </c>
      <c r="E18" s="41"/>
      <c r="F18" s="41"/>
      <c r="G18" s="41">
        <v>1</v>
      </c>
      <c r="H18" s="38">
        <f t="shared" si="0"/>
        <v>9</v>
      </c>
      <c r="I18" s="38">
        <f t="shared" si="1"/>
        <v>2</v>
      </c>
      <c r="J18" s="42"/>
    </row>
    <row r="19" spans="1:10" ht="12.75" customHeight="1" x14ac:dyDescent="0.2">
      <c r="A19" s="43">
        <v>45297</v>
      </c>
      <c r="B19" s="40">
        <v>4</v>
      </c>
      <c r="C19" s="41" t="s">
        <v>17</v>
      </c>
      <c r="D19" s="41">
        <v>4</v>
      </c>
      <c r="E19" s="41">
        <v>2</v>
      </c>
      <c r="F19" s="41"/>
      <c r="G19" s="41"/>
      <c r="H19" s="38">
        <f t="shared" si="0"/>
        <v>6</v>
      </c>
      <c r="I19" s="38">
        <f t="shared" si="1"/>
        <v>3</v>
      </c>
      <c r="J19" s="42"/>
    </row>
    <row r="20" spans="1:10" ht="12.75" customHeight="1" x14ac:dyDescent="0.2">
      <c r="A20" s="44">
        <v>45297</v>
      </c>
      <c r="B20" s="36">
        <v>5</v>
      </c>
      <c r="C20" s="37" t="s">
        <v>13</v>
      </c>
      <c r="D20" s="37">
        <v>4</v>
      </c>
      <c r="E20" s="37"/>
      <c r="F20" s="37"/>
      <c r="G20" s="37"/>
      <c r="H20" s="38">
        <f t="shared" si="0"/>
        <v>4</v>
      </c>
      <c r="I20" s="38">
        <f t="shared" si="1"/>
        <v>5</v>
      </c>
      <c r="J20" s="38"/>
    </row>
    <row r="21" spans="1:10" ht="12.75" customHeight="1" x14ac:dyDescent="0.2">
      <c r="A21" s="44">
        <v>45297</v>
      </c>
      <c r="B21" s="36">
        <v>5</v>
      </c>
      <c r="C21" s="37" t="s">
        <v>14</v>
      </c>
      <c r="D21" s="37">
        <v>8</v>
      </c>
      <c r="E21" s="37"/>
      <c r="F21" s="37"/>
      <c r="G21" s="37">
        <v>1</v>
      </c>
      <c r="H21" s="38">
        <f t="shared" si="0"/>
        <v>10</v>
      </c>
      <c r="I21" s="38">
        <f t="shared" si="1"/>
        <v>1</v>
      </c>
      <c r="J21" s="38"/>
    </row>
    <row r="22" spans="1:10" ht="12.75" customHeight="1" x14ac:dyDescent="0.2">
      <c r="A22" s="44">
        <v>45297</v>
      </c>
      <c r="B22" s="36">
        <v>5</v>
      </c>
      <c r="C22" s="37" t="s">
        <v>16</v>
      </c>
      <c r="D22" s="37">
        <v>5</v>
      </c>
      <c r="E22" s="37"/>
      <c r="F22" s="37"/>
      <c r="G22" s="37"/>
      <c r="H22" s="38">
        <f t="shared" si="0"/>
        <v>5</v>
      </c>
      <c r="I22" s="38">
        <f t="shared" si="1"/>
        <v>4</v>
      </c>
      <c r="J22" s="38"/>
    </row>
    <row r="23" spans="1:10" ht="12.75" customHeight="1" x14ac:dyDescent="0.2">
      <c r="A23" s="44">
        <v>45297</v>
      </c>
      <c r="B23" s="36">
        <v>5</v>
      </c>
      <c r="C23" s="37" t="s">
        <v>17</v>
      </c>
      <c r="D23" s="37">
        <v>6</v>
      </c>
      <c r="E23" s="37">
        <v>1</v>
      </c>
      <c r="F23" s="37"/>
      <c r="G23" s="37"/>
      <c r="H23" s="38">
        <f t="shared" si="0"/>
        <v>7</v>
      </c>
      <c r="I23" s="38">
        <f t="shared" si="1"/>
        <v>3</v>
      </c>
      <c r="J23" s="38"/>
    </row>
    <row r="24" spans="1:10" ht="12.75" customHeight="1" x14ac:dyDescent="0.2">
      <c r="A24" s="44">
        <v>45297</v>
      </c>
      <c r="B24" s="36">
        <v>5</v>
      </c>
      <c r="C24" s="37" t="s">
        <v>18</v>
      </c>
      <c r="D24" s="37">
        <v>5</v>
      </c>
      <c r="E24" s="37">
        <v>1</v>
      </c>
      <c r="F24" s="37">
        <v>1</v>
      </c>
      <c r="G24" s="37"/>
      <c r="H24" s="38">
        <f t="shared" si="0"/>
        <v>8</v>
      </c>
      <c r="I24" s="38">
        <f t="shared" si="1"/>
        <v>2</v>
      </c>
      <c r="J24" s="38"/>
    </row>
    <row r="25" spans="1:10" ht="12.75" customHeight="1" x14ac:dyDescent="0.2">
      <c r="A25" s="43">
        <v>45297</v>
      </c>
      <c r="B25" s="40">
        <v>6</v>
      </c>
      <c r="C25" s="41" t="s">
        <v>12</v>
      </c>
      <c r="D25" s="41">
        <v>7</v>
      </c>
      <c r="E25" s="41">
        <v>3</v>
      </c>
      <c r="F25" s="41"/>
      <c r="G25" s="41"/>
      <c r="H25" s="38">
        <f t="shared" si="0"/>
        <v>10</v>
      </c>
      <c r="I25" s="38">
        <f t="shared" si="1"/>
        <v>1</v>
      </c>
      <c r="J25" s="42"/>
    </row>
    <row r="26" spans="1:10" ht="12.75" customHeight="1" x14ac:dyDescent="0.2">
      <c r="A26" s="43">
        <v>45297</v>
      </c>
      <c r="B26" s="40">
        <v>6</v>
      </c>
      <c r="C26" s="41" t="s">
        <v>13</v>
      </c>
      <c r="D26" s="41">
        <v>5</v>
      </c>
      <c r="E26" s="41"/>
      <c r="F26" s="41"/>
      <c r="G26" s="41">
        <v>1</v>
      </c>
      <c r="H26" s="38">
        <f t="shared" si="0"/>
        <v>7</v>
      </c>
      <c r="I26" s="38">
        <f t="shared" si="1"/>
        <v>3</v>
      </c>
      <c r="J26" s="42"/>
    </row>
    <row r="27" spans="1:10" ht="12.75" customHeight="1" x14ac:dyDescent="0.2">
      <c r="A27" s="43">
        <v>45297</v>
      </c>
      <c r="B27" s="40">
        <v>6</v>
      </c>
      <c r="C27" s="41" t="s">
        <v>14</v>
      </c>
      <c r="D27" s="41">
        <v>8</v>
      </c>
      <c r="E27" s="41"/>
      <c r="F27" s="41"/>
      <c r="G27" s="41"/>
      <c r="H27" s="38">
        <f t="shared" si="0"/>
        <v>8</v>
      </c>
      <c r="I27" s="38">
        <f t="shared" si="1"/>
        <v>2</v>
      </c>
      <c r="J27" s="42"/>
    </row>
    <row r="28" spans="1:10" ht="12.75" customHeight="1" x14ac:dyDescent="0.2">
      <c r="A28" s="43">
        <v>45297</v>
      </c>
      <c r="B28" s="40">
        <v>6</v>
      </c>
      <c r="C28" s="41" t="s">
        <v>17</v>
      </c>
      <c r="D28" s="41">
        <v>5</v>
      </c>
      <c r="E28" s="41"/>
      <c r="F28" s="41"/>
      <c r="G28" s="41"/>
      <c r="H28" s="38">
        <f t="shared" si="0"/>
        <v>5</v>
      </c>
      <c r="I28" s="38">
        <f t="shared" si="1"/>
        <v>4</v>
      </c>
      <c r="J28" s="42"/>
    </row>
    <row r="29" spans="1:10" ht="12.75" customHeight="1" x14ac:dyDescent="0.2">
      <c r="A29" s="44">
        <v>45297</v>
      </c>
      <c r="B29" s="36">
        <v>7</v>
      </c>
      <c r="C29" s="37" t="s">
        <v>12</v>
      </c>
      <c r="D29" s="37">
        <v>7</v>
      </c>
      <c r="E29" s="37">
        <v>1</v>
      </c>
      <c r="F29" s="37"/>
      <c r="G29" s="37">
        <v>1</v>
      </c>
      <c r="H29" s="38">
        <f t="shared" si="0"/>
        <v>10</v>
      </c>
      <c r="I29" s="38">
        <f t="shared" si="1"/>
        <v>1</v>
      </c>
      <c r="J29" s="38"/>
    </row>
    <row r="30" spans="1:10" ht="12.75" customHeight="1" x14ac:dyDescent="0.2">
      <c r="A30" s="44">
        <v>45297</v>
      </c>
      <c r="B30" s="36">
        <v>7</v>
      </c>
      <c r="C30" s="37" t="s">
        <v>13</v>
      </c>
      <c r="D30" s="37">
        <v>4</v>
      </c>
      <c r="E30" s="37">
        <v>1</v>
      </c>
      <c r="F30" s="37"/>
      <c r="G30" s="37"/>
      <c r="H30" s="38">
        <f t="shared" si="0"/>
        <v>5</v>
      </c>
      <c r="I30" s="38">
        <f t="shared" si="1"/>
        <v>4</v>
      </c>
      <c r="J30" s="38"/>
    </row>
    <row r="31" spans="1:10" ht="12.75" customHeight="1" x14ac:dyDescent="0.2">
      <c r="A31" s="44">
        <v>45297</v>
      </c>
      <c r="B31" s="36">
        <v>7</v>
      </c>
      <c r="C31" s="37" t="s">
        <v>14</v>
      </c>
      <c r="D31" s="37">
        <v>7</v>
      </c>
      <c r="E31" s="37"/>
      <c r="F31" s="37"/>
      <c r="G31" s="37"/>
      <c r="H31" s="38">
        <f t="shared" si="0"/>
        <v>7</v>
      </c>
      <c r="I31" s="38">
        <f t="shared" si="1"/>
        <v>3</v>
      </c>
      <c r="J31" s="38"/>
    </row>
    <row r="32" spans="1:10" ht="12.75" customHeight="1" x14ac:dyDescent="0.2">
      <c r="A32" s="44">
        <v>45297</v>
      </c>
      <c r="B32" s="36">
        <v>7</v>
      </c>
      <c r="C32" s="37" t="s">
        <v>16</v>
      </c>
      <c r="D32" s="37">
        <v>5</v>
      </c>
      <c r="E32" s="37">
        <v>1</v>
      </c>
      <c r="F32" s="37">
        <v>1</v>
      </c>
      <c r="G32" s="37"/>
      <c r="H32" s="38">
        <f t="shared" si="0"/>
        <v>8</v>
      </c>
      <c r="I32" s="38">
        <f t="shared" si="1"/>
        <v>2</v>
      </c>
      <c r="J32" s="38"/>
    </row>
    <row r="33" spans="1:10" ht="12.75" customHeight="1" x14ac:dyDescent="0.2">
      <c r="A33" s="44">
        <v>45297</v>
      </c>
      <c r="B33" s="36">
        <v>7</v>
      </c>
      <c r="C33" s="37" t="s">
        <v>17</v>
      </c>
      <c r="D33" s="37">
        <v>5</v>
      </c>
      <c r="E33" s="37"/>
      <c r="F33" s="37"/>
      <c r="G33" s="37"/>
      <c r="H33" s="38">
        <f t="shared" si="0"/>
        <v>5</v>
      </c>
      <c r="I33" s="38">
        <f t="shared" si="1"/>
        <v>4</v>
      </c>
      <c r="J33" s="38"/>
    </row>
    <row r="34" spans="1:10" ht="12.75" customHeight="1" x14ac:dyDescent="0.2">
      <c r="A34" s="43">
        <v>45297</v>
      </c>
      <c r="B34" s="40">
        <v>8</v>
      </c>
      <c r="C34" s="41" t="s">
        <v>12</v>
      </c>
      <c r="D34" s="41">
        <v>5</v>
      </c>
      <c r="E34" s="41"/>
      <c r="F34" s="41"/>
      <c r="G34" s="41"/>
      <c r="H34" s="38">
        <f t="shared" si="0"/>
        <v>5</v>
      </c>
      <c r="I34" s="38">
        <f t="shared" si="1"/>
        <v>4</v>
      </c>
      <c r="J34" s="42"/>
    </row>
    <row r="35" spans="1:10" ht="12.75" customHeight="1" x14ac:dyDescent="0.2">
      <c r="A35" s="43">
        <v>45297</v>
      </c>
      <c r="B35" s="40">
        <v>8</v>
      </c>
      <c r="C35" s="41" t="s">
        <v>13</v>
      </c>
      <c r="D35" s="41">
        <v>7</v>
      </c>
      <c r="E35" s="41">
        <v>1</v>
      </c>
      <c r="F35" s="41">
        <v>1</v>
      </c>
      <c r="G35" s="41"/>
      <c r="H35" s="38">
        <f t="shared" si="0"/>
        <v>10</v>
      </c>
      <c r="I35" s="38">
        <f t="shared" si="1"/>
        <v>1</v>
      </c>
      <c r="J35" s="42"/>
    </row>
    <row r="36" spans="1:10" ht="12.75" customHeight="1" x14ac:dyDescent="0.2">
      <c r="A36" s="43">
        <v>45297</v>
      </c>
      <c r="B36" s="40">
        <v>8</v>
      </c>
      <c r="C36" s="41" t="s">
        <v>14</v>
      </c>
      <c r="D36" s="41">
        <v>8</v>
      </c>
      <c r="E36" s="41"/>
      <c r="F36" s="41"/>
      <c r="G36" s="41"/>
      <c r="H36" s="38">
        <f t="shared" si="0"/>
        <v>8</v>
      </c>
      <c r="I36" s="38">
        <f t="shared" si="1"/>
        <v>2</v>
      </c>
      <c r="J36" s="42"/>
    </row>
    <row r="37" spans="1:10" ht="12.75" customHeight="1" x14ac:dyDescent="0.2">
      <c r="A37" s="43">
        <v>45297</v>
      </c>
      <c r="B37" s="40">
        <v>8</v>
      </c>
      <c r="C37" s="41" t="s">
        <v>16</v>
      </c>
      <c r="D37" s="41">
        <v>4</v>
      </c>
      <c r="E37" s="41"/>
      <c r="F37" s="41"/>
      <c r="G37" s="41"/>
      <c r="H37" s="38">
        <f t="shared" si="0"/>
        <v>4</v>
      </c>
      <c r="I37" s="38">
        <f t="shared" si="1"/>
        <v>5</v>
      </c>
      <c r="J37" s="42"/>
    </row>
    <row r="38" spans="1:10" ht="12.75" customHeight="1" x14ac:dyDescent="0.2">
      <c r="A38" s="45">
        <v>45297</v>
      </c>
      <c r="B38" s="46">
        <v>8</v>
      </c>
      <c r="C38" s="47" t="s">
        <v>17</v>
      </c>
      <c r="D38" s="47">
        <v>6</v>
      </c>
      <c r="E38" s="47"/>
      <c r="F38" s="47"/>
      <c r="G38" s="47">
        <v>1</v>
      </c>
      <c r="H38" s="38">
        <f t="shared" si="0"/>
        <v>8</v>
      </c>
      <c r="I38" s="38">
        <f t="shared" si="1"/>
        <v>2</v>
      </c>
      <c r="J38" s="48"/>
    </row>
    <row r="39" spans="1:10" ht="12.75" customHeight="1" x14ac:dyDescent="0.2">
      <c r="A39" s="45">
        <f t="array" ref="A39">+INDEX(Partidas!$A:$J,MATCH('Resultados dashboard'!$B39,Partidas!$C:$C,0),2)</f>
        <v>45304</v>
      </c>
      <c r="B39" s="46">
        <f>+IF(COUNTIF($B$2:B38,B38)=VLOOKUP(B38,Partidas!$C:$J,8,0),B38+1,B38)</f>
        <v>9</v>
      </c>
      <c r="C39" s="47" t="str">
        <f t="array" ref="C39">+INDEX(Partidas!$A:$J,MATCH('Resultados dashboard'!$B39,Partidas!$C:$C,0),3+COUNTIF($B$2:B39,'Resultados dashboard'!$B39))</f>
        <v>Gallo</v>
      </c>
      <c r="D39" s="49">
        <v>6</v>
      </c>
      <c r="E39" s="47"/>
      <c r="F39" s="49">
        <v>1</v>
      </c>
      <c r="G39" s="47"/>
      <c r="H39" s="38">
        <f t="shared" si="0"/>
        <v>8</v>
      </c>
      <c r="I39" s="38">
        <f t="shared" si="1"/>
        <v>2</v>
      </c>
      <c r="J39" s="48"/>
    </row>
    <row r="40" spans="1:10" ht="12.75" customHeight="1" x14ac:dyDescent="0.2">
      <c r="A40" s="45">
        <f t="array" ref="A40">+INDEX(Partidas!$A:$J,MATCH('Resultados dashboard'!$B40,Partidas!$C:$C,0),2)</f>
        <v>45304</v>
      </c>
      <c r="B40" s="46">
        <f>+IF(COUNTIF($B$2:B39,B39)=VLOOKUP(B39,Partidas!$C:$J,8,0),B39+1,B39)</f>
        <v>9</v>
      </c>
      <c r="C40" s="47" t="str">
        <f t="array" ref="C40">+INDEX(Partidas!$A:$J,MATCH('Resultados dashboard'!$B40,Partidas!$C:$C,0),3+COUNTIF($B$2:B40,'Resultados dashboard'!$B40))</f>
        <v>Ivo</v>
      </c>
      <c r="D40" s="49">
        <v>5</v>
      </c>
      <c r="E40" s="49">
        <v>1</v>
      </c>
      <c r="F40" s="47"/>
      <c r="G40" s="49"/>
      <c r="H40" s="38">
        <f t="shared" si="0"/>
        <v>6</v>
      </c>
      <c r="I40" s="38">
        <f t="shared" si="1"/>
        <v>3</v>
      </c>
      <c r="J40" s="48"/>
    </row>
    <row r="41" spans="1:10" ht="12.75" customHeight="1" x14ac:dyDescent="0.2">
      <c r="A41" s="45">
        <f t="array" ref="A41">+INDEX(Partidas!$A:$J,MATCH('Resultados dashboard'!$B41,Partidas!$C:$C,0),2)</f>
        <v>45304</v>
      </c>
      <c r="B41" s="46">
        <f>+IF(COUNTIF($B$2:B40,B40)=VLOOKUP(B40,Partidas!$C:$J,8,0),B40+1,B40)</f>
        <v>9</v>
      </c>
      <c r="C41" s="47" t="str">
        <f t="array" ref="C41">+INDEX(Partidas!$A:$J,MATCH('Resultados dashboard'!$B41,Partidas!$C:$C,0),3+COUNTIF($B$2:B41,'Resultados dashboard'!$B41))</f>
        <v>Gaspa</v>
      </c>
      <c r="D41" s="49">
        <v>8</v>
      </c>
      <c r="E41" s="47"/>
      <c r="F41" s="47"/>
      <c r="G41" s="49">
        <v>1</v>
      </c>
      <c r="H41" s="38">
        <f t="shared" si="0"/>
        <v>10</v>
      </c>
      <c r="I41" s="38">
        <f t="shared" si="1"/>
        <v>1</v>
      </c>
      <c r="J41" s="48"/>
    </row>
    <row r="42" spans="1:10" ht="12.75" customHeight="1" x14ac:dyDescent="0.2">
      <c r="A42" s="45">
        <f t="array" ref="A42">+INDEX(Partidas!$A:$J,MATCH('Resultados dashboard'!$B42,Partidas!$C:$C,0),2)</f>
        <v>45304</v>
      </c>
      <c r="B42" s="46">
        <f>+IF(COUNTIF($B$2:B41,B41)=VLOOKUP(B41,Partidas!$C:$J,8,0),B41+1,B41)</f>
        <v>9</v>
      </c>
      <c r="C42" s="47" t="str">
        <f t="array" ref="C42">+INDEX(Partidas!$A:$J,MATCH('Resultados dashboard'!$B42,Partidas!$C:$C,0),3+COUNTIF($B$2:B42,'Resultados dashboard'!$B42))</f>
        <v>Rodri</v>
      </c>
      <c r="D42" s="49">
        <v>5</v>
      </c>
      <c r="E42" s="47"/>
      <c r="F42" s="47"/>
      <c r="G42" s="47"/>
      <c r="H42" s="38">
        <f t="shared" si="0"/>
        <v>5</v>
      </c>
      <c r="I42" s="38">
        <f t="shared" si="1"/>
        <v>4</v>
      </c>
      <c r="J42" s="48"/>
    </row>
    <row r="43" spans="1:10" ht="12.75" customHeight="1" x14ac:dyDescent="0.2">
      <c r="A43" s="45">
        <f t="array" ref="A43">+INDEX(Partidas!$A:$J,MATCH('Resultados dashboard'!$B43,Partidas!$C:$C,0),2)</f>
        <v>45304</v>
      </c>
      <c r="B43" s="46">
        <f>+IF(COUNTIF($B$2:B42,B42)=VLOOKUP(B42,Partidas!$C:$J,8,0),B42+1,B42)</f>
        <v>10</v>
      </c>
      <c r="C43" s="47" t="str">
        <f t="array" ref="C43">+INDEX(Partidas!$A:$J,MATCH('Resultados dashboard'!$B43,Partidas!$C:$C,0),3+COUNTIF($B$2:B43,'Resultados dashboard'!$B43))</f>
        <v>Gallo</v>
      </c>
      <c r="D43" s="49">
        <v>7</v>
      </c>
      <c r="E43" s="49">
        <v>1</v>
      </c>
      <c r="F43" s="47"/>
      <c r="G43" s="49"/>
      <c r="H43" s="38">
        <f t="shared" si="0"/>
        <v>8</v>
      </c>
      <c r="I43" s="38">
        <f t="shared" si="1"/>
        <v>2</v>
      </c>
      <c r="J43" s="48"/>
    </row>
    <row r="44" spans="1:10" ht="12.75" customHeight="1" x14ac:dyDescent="0.2">
      <c r="A44" s="45">
        <f t="array" ref="A44">+INDEX(Partidas!$A:$J,MATCH('Resultados dashboard'!$B44,Partidas!$C:$C,0),2)</f>
        <v>45304</v>
      </c>
      <c r="B44" s="46">
        <f>+IF(COUNTIF($B$2:B43,B43)=VLOOKUP(B43,Partidas!$C:$J,8,0),B43+1,B43)</f>
        <v>10</v>
      </c>
      <c r="C44" s="47" t="str">
        <f t="array" ref="C44">+INDEX(Partidas!$A:$J,MATCH('Resultados dashboard'!$B44,Partidas!$C:$C,0),3+COUNTIF($B$2:B44,'Resultados dashboard'!$B44))</f>
        <v>Ivo</v>
      </c>
      <c r="D44" s="49">
        <v>5</v>
      </c>
      <c r="E44" s="47"/>
      <c r="F44" s="49">
        <v>1</v>
      </c>
      <c r="G44" s="47"/>
      <c r="H44" s="38">
        <f t="shared" si="0"/>
        <v>7</v>
      </c>
      <c r="I44" s="38">
        <f t="shared" si="1"/>
        <v>4</v>
      </c>
      <c r="J44" s="48"/>
    </row>
    <row r="45" spans="1:10" ht="12.75" customHeight="1" x14ac:dyDescent="0.2">
      <c r="A45" s="45">
        <f t="array" ref="A45">+INDEX(Partidas!$A:$J,MATCH('Resultados dashboard'!$B45,Partidas!$C:$C,0),2)</f>
        <v>45304</v>
      </c>
      <c r="B45" s="46">
        <f>+IF(COUNTIF($B$2:B44,B44)=VLOOKUP(B44,Partidas!$C:$J,8,0),B44+1,B44)</f>
        <v>10</v>
      </c>
      <c r="C45" s="47" t="str">
        <f t="array" ref="C45">+INDEX(Partidas!$A:$J,MATCH('Resultados dashboard'!$B45,Partidas!$C:$C,0),3+COUNTIF($B$2:B45,'Resultados dashboard'!$B45))</f>
        <v>Gaspa</v>
      </c>
      <c r="D45" s="49">
        <v>6</v>
      </c>
      <c r="E45" s="47"/>
      <c r="F45" s="47"/>
      <c r="G45" s="49">
        <v>1</v>
      </c>
      <c r="H45" s="38">
        <f t="shared" si="0"/>
        <v>8</v>
      </c>
      <c r="I45" s="38">
        <f t="shared" si="1"/>
        <v>2</v>
      </c>
      <c r="J45" s="48"/>
    </row>
    <row r="46" spans="1:10" ht="12.75" customHeight="1" x14ac:dyDescent="0.2">
      <c r="A46" s="45">
        <f t="array" ref="A46">+INDEX(Partidas!$A:$J,MATCH('Resultados dashboard'!$B46,Partidas!$C:$C,0),2)</f>
        <v>45304</v>
      </c>
      <c r="B46" s="46">
        <f>+IF(COUNTIF($B$2:B45,B45)=VLOOKUP(B45,Partidas!$C:$J,8,0),B45+1,B45)</f>
        <v>10</v>
      </c>
      <c r="C46" s="47" t="str">
        <f t="array" ref="C46">+INDEX(Partidas!$A:$J,MATCH('Resultados dashboard'!$B46,Partidas!$C:$C,0),3+COUNTIF($B$2:B46,'Resultados dashboard'!$B46))</f>
        <v>Hugo</v>
      </c>
      <c r="D46" s="49">
        <v>10</v>
      </c>
      <c r="E46" s="47"/>
      <c r="F46" s="47"/>
      <c r="G46" s="47"/>
      <c r="H46" s="38">
        <f t="shared" si="0"/>
        <v>10</v>
      </c>
      <c r="I46" s="38">
        <f t="shared" si="1"/>
        <v>1</v>
      </c>
      <c r="J46" s="48"/>
    </row>
    <row r="47" spans="1:10" ht="12.75" customHeight="1" x14ac:dyDescent="0.2">
      <c r="A47" s="45">
        <f t="array" ref="A47">+INDEX(Partidas!$A:$J,MATCH('Resultados dashboard'!$B47,Partidas!$C:$C,0),2)</f>
        <v>45304</v>
      </c>
      <c r="B47" s="46">
        <f>+IF(COUNTIF($B$2:B46,B46)=VLOOKUP(B46,Partidas!$C:$J,8,0),B46+1,B46)</f>
        <v>10</v>
      </c>
      <c r="C47" s="47" t="str">
        <f t="array" ref="C47">+INDEX(Partidas!$A:$J,MATCH('Resultados dashboard'!$B47,Partidas!$C:$C,0),3+COUNTIF($B$2:B47,'Resultados dashboard'!$B47))</f>
        <v>Rodri</v>
      </c>
      <c r="D47" s="49">
        <v>5</v>
      </c>
      <c r="E47" s="47"/>
      <c r="F47" s="47"/>
      <c r="G47" s="47"/>
      <c r="H47" s="38">
        <f t="shared" si="0"/>
        <v>5</v>
      </c>
      <c r="I47" s="38">
        <f t="shared" si="1"/>
        <v>5</v>
      </c>
      <c r="J47" s="48"/>
    </row>
    <row r="48" spans="1:10" ht="12.75" customHeight="1" x14ac:dyDescent="0.2">
      <c r="A48" s="50">
        <f t="array" ref="A48">+INDEX(Partidas!$A:$J,MATCH('Resultados dashboard'!$B48,Partidas!$C:$C,0),2)</f>
        <v>45304</v>
      </c>
      <c r="B48" s="40">
        <f>+IF(COUNTIF($B$2:B47,B47)=VLOOKUP(B47,Partidas!$C:$J,8,0),B47+1,B47)</f>
        <v>11</v>
      </c>
      <c r="C48" s="41" t="str">
        <f t="array" ref="C48">+INDEX(Partidas!$A:$J,MATCH('Resultados dashboard'!$B48,Partidas!$C:$C,0),3+COUNTIF($B$2:B48,'Resultados dashboard'!$B48))</f>
        <v>Gallo</v>
      </c>
      <c r="D48" s="51">
        <v>6</v>
      </c>
      <c r="E48" s="51">
        <v>1</v>
      </c>
      <c r="F48" s="41"/>
      <c r="G48" s="41"/>
      <c r="H48" s="38">
        <f t="shared" si="0"/>
        <v>7</v>
      </c>
      <c r="I48" s="38">
        <f t="shared" si="1"/>
        <v>4</v>
      </c>
      <c r="J48" s="52"/>
    </row>
    <row r="49" spans="1:10" ht="12.75" customHeight="1" x14ac:dyDescent="0.2">
      <c r="A49" s="50">
        <f t="array" ref="A49">+INDEX(Partidas!$A:$J,MATCH('Resultados dashboard'!$B49,Partidas!$C:$C,0),2)</f>
        <v>45304</v>
      </c>
      <c r="B49" s="40">
        <f>+IF(COUNTIF($B$2:B48,B48)=VLOOKUP(B48,Partidas!$C:$J,8,0),B48+1,B48)</f>
        <v>11</v>
      </c>
      <c r="C49" s="41" t="str">
        <f t="array" ref="C49">+INDEX(Partidas!$A:$J,MATCH('Resultados dashboard'!$B49,Partidas!$C:$C,0),3+COUNTIF($B$2:B49,'Resultados dashboard'!$B49))</f>
        <v>Ivo</v>
      </c>
      <c r="D49" s="51">
        <v>8</v>
      </c>
      <c r="E49" s="41"/>
      <c r="F49" s="41"/>
      <c r="G49" s="51">
        <v>1</v>
      </c>
      <c r="H49" s="38">
        <f t="shared" si="0"/>
        <v>10</v>
      </c>
      <c r="I49" s="38">
        <f t="shared" si="1"/>
        <v>1</v>
      </c>
      <c r="J49" s="52"/>
    </row>
    <row r="50" spans="1:10" ht="12.75" customHeight="1" x14ac:dyDescent="0.2">
      <c r="A50" s="50">
        <f t="array" ref="A50">+INDEX(Partidas!$A:$J,MATCH('Resultados dashboard'!$B50,Partidas!$C:$C,0),2)</f>
        <v>45304</v>
      </c>
      <c r="B50" s="53">
        <f>+IF(COUNTIF($B$2:B49,B49)=VLOOKUP(B49,Partidas!$C:$J,8,0),B49+1,B49)</f>
        <v>11</v>
      </c>
      <c r="C50" s="41" t="str">
        <f t="array" ref="C50">+INDEX(Partidas!$A:$J,MATCH('Resultados dashboard'!$B50,Partidas!$C:$C,0),3+COUNTIF($B$2:B50,'Resultados dashboard'!$B50))</f>
        <v>Gaspa</v>
      </c>
      <c r="D50" s="54">
        <v>5</v>
      </c>
      <c r="E50" s="53"/>
      <c r="F50" s="53"/>
      <c r="G50" s="53"/>
      <c r="H50" s="38">
        <f t="shared" si="0"/>
        <v>5</v>
      </c>
      <c r="I50" s="38">
        <f t="shared" si="1"/>
        <v>6</v>
      </c>
      <c r="J50" s="55"/>
    </row>
    <row r="51" spans="1:10" ht="12.75" customHeight="1" x14ac:dyDescent="0.2">
      <c r="A51" s="50">
        <f t="array" ref="A51">+INDEX(Partidas!$A:$J,MATCH('Resultados dashboard'!$B51,Partidas!$C:$C,0),2)</f>
        <v>45304</v>
      </c>
      <c r="B51" s="53">
        <f>+IF(COUNTIF($B$2:B50,B50)=VLOOKUP(B50,Partidas!$C:$J,8,0),B50+1,B50)</f>
        <v>11</v>
      </c>
      <c r="C51" s="41" t="str">
        <f t="array" ref="C51">+INDEX(Partidas!$A:$J,MATCH('Resultados dashboard'!$B51,Partidas!$C:$C,0),3+COUNTIF($B$2:B51,'Resultados dashboard'!$B51))</f>
        <v>Hugo</v>
      </c>
      <c r="D51" s="54">
        <v>7</v>
      </c>
      <c r="E51" s="54">
        <v>1</v>
      </c>
      <c r="F51" s="53"/>
      <c r="G51" s="53"/>
      <c r="H51" s="38">
        <f t="shared" si="0"/>
        <v>8</v>
      </c>
      <c r="I51" s="38">
        <f t="shared" si="1"/>
        <v>3</v>
      </c>
      <c r="J51" s="55"/>
    </row>
    <row r="52" spans="1:10" ht="12.75" customHeight="1" x14ac:dyDescent="0.2">
      <c r="A52" s="50">
        <f t="array" ref="A52">+INDEX(Partidas!$A:$J,MATCH('Resultados dashboard'!$B52,Partidas!$C:$C,0),2)</f>
        <v>45304</v>
      </c>
      <c r="B52" s="53">
        <f>+IF(COUNTIF($B$2:B51,B51)=VLOOKUP(B51,Partidas!$C:$J,8,0),B51+1,B51)</f>
        <v>11</v>
      </c>
      <c r="C52" s="41" t="str">
        <f t="array" ref="C52">+INDEX(Partidas!$A:$J,MATCH('Resultados dashboard'!$B52,Partidas!$C:$C,0),3+COUNTIF($B$2:B52,'Resultados dashboard'!$B52))</f>
        <v>Rodri</v>
      </c>
      <c r="D52" s="54">
        <v>5</v>
      </c>
      <c r="E52" s="54">
        <v>1</v>
      </c>
      <c r="F52" s="53"/>
      <c r="G52" s="53"/>
      <c r="H52" s="38">
        <f t="shared" si="0"/>
        <v>6</v>
      </c>
      <c r="I52" s="38">
        <f t="shared" si="1"/>
        <v>5</v>
      </c>
      <c r="J52" s="55"/>
    </row>
    <row r="53" spans="1:10" ht="12.75" customHeight="1" x14ac:dyDescent="0.2">
      <c r="A53" s="50">
        <f t="array" ref="A53">+INDEX(Partidas!$A:$J,MATCH('Resultados dashboard'!$B53,Partidas!$C:$C,0),2)</f>
        <v>45304</v>
      </c>
      <c r="B53" s="53">
        <f>+IF(COUNTIF($B$2:B52,B52)=VLOOKUP(B52,Partidas!$C:$J,8,0),B52+1,B52)</f>
        <v>11</v>
      </c>
      <c r="C53" s="41" t="str">
        <f t="array" ref="C53">+INDEX(Partidas!$A:$J,MATCH('Resultados dashboard'!$B53,Partidas!$C:$C,0),3+COUNTIF($B$2:B53,'Resultados dashboard'!$B53))</f>
        <v>Sofi</v>
      </c>
      <c r="D53" s="54">
        <v>9</v>
      </c>
      <c r="E53" s="53"/>
      <c r="F53" s="53"/>
      <c r="G53" s="53"/>
      <c r="H53" s="38">
        <f t="shared" si="0"/>
        <v>9</v>
      </c>
      <c r="I53" s="38">
        <f t="shared" si="1"/>
        <v>2</v>
      </c>
      <c r="J53" s="55"/>
    </row>
    <row r="54" spans="1:10" ht="12.75" customHeight="1" x14ac:dyDescent="0.2">
      <c r="A54" s="50">
        <f t="array" ref="A54">+INDEX(Partidas!$A:$J,MATCH('Resultados dashboard'!$B54,Partidas!$C:$C,0),2)</f>
        <v>45304</v>
      </c>
      <c r="B54" s="53">
        <f>+IF(COUNTIF($B$2:B53,B53)=VLOOKUP(B53,Partidas!$C:$J,8,0),B53+1,B53)</f>
        <v>12</v>
      </c>
      <c r="C54" s="41" t="str">
        <f t="array" ref="C54">+INDEX(Partidas!$A:$J,MATCH('Resultados dashboard'!$B54,Partidas!$C:$C,0),3+COUNTIF($B$2:B54,'Resultados dashboard'!$B54))</f>
        <v>Gallo</v>
      </c>
      <c r="D54" s="54">
        <v>8</v>
      </c>
      <c r="E54" s="54">
        <v>1</v>
      </c>
      <c r="F54" s="53"/>
      <c r="G54" s="53"/>
      <c r="H54" s="38">
        <f t="shared" si="0"/>
        <v>9</v>
      </c>
      <c r="I54" s="38">
        <f t="shared" si="1"/>
        <v>2</v>
      </c>
      <c r="J54" s="55"/>
    </row>
    <row r="55" spans="1:10" ht="12.75" customHeight="1" x14ac:dyDescent="0.2">
      <c r="A55" s="50">
        <f t="array" ref="A55">+INDEX(Partidas!$A:$J,MATCH('Resultados dashboard'!$B55,Partidas!$C:$C,0),2)</f>
        <v>45304</v>
      </c>
      <c r="B55" s="53">
        <f>+IF(COUNTIF($B$2:B54,B54)=VLOOKUP(B54,Partidas!$C:$J,8,0),B54+1,B54)</f>
        <v>12</v>
      </c>
      <c r="C55" s="41" t="str">
        <f t="array" ref="C55">+INDEX(Partidas!$A:$J,MATCH('Resultados dashboard'!$B55,Partidas!$C:$C,0),3+COUNTIF($B$2:B55,'Resultados dashboard'!$B55))</f>
        <v>Ivo</v>
      </c>
      <c r="D55" s="54">
        <v>7</v>
      </c>
      <c r="E55" s="54">
        <v>1</v>
      </c>
      <c r="F55" s="53"/>
      <c r="G55" s="54">
        <v>1</v>
      </c>
      <c r="H55" s="38">
        <f t="shared" si="0"/>
        <v>10</v>
      </c>
      <c r="I55" s="38">
        <f t="shared" si="1"/>
        <v>1</v>
      </c>
      <c r="J55" s="55"/>
    </row>
    <row r="56" spans="1:10" ht="12.75" customHeight="1" x14ac:dyDescent="0.2">
      <c r="A56" s="50">
        <f t="array" ref="A56">+INDEX(Partidas!$A:$J,MATCH('Resultados dashboard'!$B56,Partidas!$C:$C,0),2)</f>
        <v>45304</v>
      </c>
      <c r="B56" s="53">
        <f>+IF(COUNTIF($B$2:B55,B55)=VLOOKUP(B55,Partidas!$C:$J,8,0),B55+1,B55)</f>
        <v>12</v>
      </c>
      <c r="C56" s="41" t="str">
        <f t="array" ref="C56">+INDEX(Partidas!$A:$J,MATCH('Resultados dashboard'!$B56,Partidas!$C:$C,0),3+COUNTIF($B$2:B56,'Resultados dashboard'!$B56))</f>
        <v>Gaspa</v>
      </c>
      <c r="D56" s="54">
        <v>4</v>
      </c>
      <c r="E56" s="54">
        <v>1</v>
      </c>
      <c r="F56" s="53"/>
      <c r="G56" s="53"/>
      <c r="H56" s="38">
        <f t="shared" si="0"/>
        <v>5</v>
      </c>
      <c r="I56" s="38">
        <f t="shared" si="1"/>
        <v>6</v>
      </c>
      <c r="J56" s="55"/>
    </row>
    <row r="57" spans="1:10" ht="12.75" customHeight="1" x14ac:dyDescent="0.2">
      <c r="A57" s="50">
        <f t="array" ref="A57">+INDEX(Partidas!$A:$J,MATCH('Resultados dashboard'!$B57,Partidas!$C:$C,0),2)</f>
        <v>45304</v>
      </c>
      <c r="B57" s="53">
        <f>+IF(COUNTIF($B$2:B56,B56)=VLOOKUP(B56,Partidas!$C:$J,8,0),B56+1,B56)</f>
        <v>12</v>
      </c>
      <c r="C57" s="41" t="str">
        <f t="array" ref="C57">+INDEX(Partidas!$A:$J,MATCH('Resultados dashboard'!$B57,Partidas!$C:$C,0),3+COUNTIF($B$2:B57,'Resultados dashboard'!$B57))</f>
        <v>Hugo</v>
      </c>
      <c r="D57" s="54">
        <v>5</v>
      </c>
      <c r="E57" s="54">
        <v>1</v>
      </c>
      <c r="F57" s="53"/>
      <c r="G57" s="53"/>
      <c r="H57" s="38">
        <f t="shared" si="0"/>
        <v>6</v>
      </c>
      <c r="I57" s="38">
        <f t="shared" si="1"/>
        <v>4</v>
      </c>
      <c r="J57" s="55"/>
    </row>
    <row r="58" spans="1:10" ht="12.75" customHeight="1" x14ac:dyDescent="0.2">
      <c r="A58" s="50">
        <f t="array" ref="A58">+INDEX(Partidas!$A:$J,MATCH('Resultados dashboard'!$B58,Partidas!$C:$C,0),2)</f>
        <v>45304</v>
      </c>
      <c r="B58" s="53">
        <f>+IF(COUNTIF($B$2:B57,B57)=VLOOKUP(B57,Partidas!$C:$J,8,0),B57+1,B57)</f>
        <v>12</v>
      </c>
      <c r="C58" s="41" t="str">
        <f t="array" ref="C58">+INDEX(Partidas!$A:$J,MATCH('Resultados dashboard'!$B58,Partidas!$C:$C,0),3+COUNTIF($B$2:B58,'Resultados dashboard'!$B58))</f>
        <v>Rodri</v>
      </c>
      <c r="D58" s="54">
        <v>5</v>
      </c>
      <c r="E58" s="54">
        <v>1</v>
      </c>
      <c r="F58" s="53"/>
      <c r="G58" s="53"/>
      <c r="H58" s="38">
        <f t="shared" si="0"/>
        <v>6</v>
      </c>
      <c r="I58" s="38">
        <f t="shared" si="1"/>
        <v>4</v>
      </c>
      <c r="J58" s="55"/>
    </row>
    <row r="59" spans="1:10" ht="12.75" customHeight="1" x14ac:dyDescent="0.2">
      <c r="A59" s="50">
        <f t="array" ref="A59">+INDEX(Partidas!$A:$J,MATCH('Resultados dashboard'!$B59,Partidas!$C:$C,0),2)</f>
        <v>45304</v>
      </c>
      <c r="B59" s="53">
        <f>+IF(COUNTIF($B$2:B58,B58)=VLOOKUP(B58,Partidas!$C:$J,8,0),B58+1,B58)</f>
        <v>12</v>
      </c>
      <c r="C59" s="41" t="str">
        <f t="array" ref="C59">+INDEX(Partidas!$A:$J,MATCH('Resultados dashboard'!$B59,Partidas!$C:$C,0),3+COUNTIF($B$2:B59,'Resultados dashboard'!$B59))</f>
        <v>Sofi</v>
      </c>
      <c r="D59" s="54">
        <v>5</v>
      </c>
      <c r="E59" s="53"/>
      <c r="F59" s="54">
        <v>1</v>
      </c>
      <c r="G59" s="2"/>
      <c r="H59" s="38">
        <f t="shared" si="0"/>
        <v>7</v>
      </c>
      <c r="I59" s="38">
        <f t="shared" si="1"/>
        <v>3</v>
      </c>
      <c r="J59" s="55"/>
    </row>
    <row r="60" spans="1:10" ht="12.75" customHeight="1" x14ac:dyDescent="0.2">
      <c r="A60" s="50">
        <f t="array" ref="A60">+INDEX(Partidas!$A:$J,MATCH('Resultados dashboard'!$B60,Partidas!$C:$C,0),2)</f>
        <v>45304</v>
      </c>
      <c r="B60" s="53">
        <f>+IF(COUNTIF($B$2:B59,B59)=VLOOKUP(B59,Partidas!$C:$J,8,0),B59+1,B59)</f>
        <v>13</v>
      </c>
      <c r="C60" s="41" t="str">
        <f t="array" ref="C60">+INDEX(Partidas!$A:$J,MATCH('Resultados dashboard'!$B60,Partidas!$C:$C,0),3+COUNTIF($B$2:B60,'Resultados dashboard'!$B60))</f>
        <v>Gallo</v>
      </c>
      <c r="D60" s="54">
        <v>7</v>
      </c>
      <c r="E60" s="54">
        <v>1</v>
      </c>
      <c r="F60" s="53"/>
      <c r="G60" s="54">
        <v>1</v>
      </c>
      <c r="H60" s="38">
        <f t="shared" si="0"/>
        <v>10</v>
      </c>
      <c r="I60" s="38">
        <f t="shared" si="1"/>
        <v>1</v>
      </c>
      <c r="J60" s="55"/>
    </row>
    <row r="61" spans="1:10" ht="12.75" customHeight="1" x14ac:dyDescent="0.2">
      <c r="A61" s="50">
        <f t="array" ref="A61">+INDEX(Partidas!$A:$J,MATCH('Resultados dashboard'!$B61,Partidas!$C:$C,0),2)</f>
        <v>45304</v>
      </c>
      <c r="B61" s="53">
        <f>+IF(COUNTIF($B$2:B60,B60)=VLOOKUP(B60,Partidas!$C:$J,8,0),B60+1,B60)</f>
        <v>13</v>
      </c>
      <c r="C61" s="41" t="str">
        <f t="array" ref="C61">+INDEX(Partidas!$A:$J,MATCH('Resultados dashboard'!$B61,Partidas!$C:$C,0),3+COUNTIF($B$2:B61,'Resultados dashboard'!$B61))</f>
        <v>Ivo</v>
      </c>
      <c r="D61" s="54">
        <v>5</v>
      </c>
      <c r="E61" s="54">
        <v>1</v>
      </c>
      <c r="F61" s="53"/>
      <c r="G61" s="53"/>
      <c r="H61" s="38">
        <f t="shared" si="0"/>
        <v>6</v>
      </c>
      <c r="I61" s="38">
        <f t="shared" si="1"/>
        <v>4</v>
      </c>
      <c r="J61" s="55"/>
    </row>
    <row r="62" spans="1:10" ht="12.75" customHeight="1" x14ac:dyDescent="0.2">
      <c r="A62" s="50">
        <f t="array" ref="A62">+INDEX(Partidas!$A:$J,MATCH('Resultados dashboard'!$B62,Partidas!$C:$C,0),2)</f>
        <v>45304</v>
      </c>
      <c r="B62" s="53">
        <f>+IF(COUNTIF($B$2:B61,B61)=VLOOKUP(B61,Partidas!$C:$J,8,0),B61+1,B61)</f>
        <v>13</v>
      </c>
      <c r="C62" s="41" t="str">
        <f t="array" ref="C62">+INDEX(Partidas!$A:$J,MATCH('Resultados dashboard'!$B62,Partidas!$C:$C,0),3+COUNTIF($B$2:B62,'Resultados dashboard'!$B62))</f>
        <v>Gaspa</v>
      </c>
      <c r="D62" s="54">
        <v>5</v>
      </c>
      <c r="E62" s="53"/>
      <c r="F62" s="54">
        <v>1</v>
      </c>
      <c r="G62" s="53"/>
      <c r="H62" s="38">
        <f t="shared" si="0"/>
        <v>7</v>
      </c>
      <c r="I62" s="38">
        <f t="shared" si="1"/>
        <v>3</v>
      </c>
      <c r="J62" s="55"/>
    </row>
    <row r="63" spans="1:10" ht="12.75" customHeight="1" x14ac:dyDescent="0.2">
      <c r="A63" s="50">
        <f t="array" ref="A63">+INDEX(Partidas!$A:$J,MATCH('Resultados dashboard'!$B63,Partidas!$C:$C,0),2)</f>
        <v>45304</v>
      </c>
      <c r="B63" s="53">
        <f>+IF(COUNTIF($B$2:B62,B62)=VLOOKUP(B62,Partidas!$C:$J,8,0),B62+1,B62)</f>
        <v>13</v>
      </c>
      <c r="C63" s="41" t="str">
        <f t="array" ref="C63">+INDEX(Partidas!$A:$J,MATCH('Resultados dashboard'!$B63,Partidas!$C:$C,0),3+COUNTIF($B$2:B63,'Resultados dashboard'!$B63))</f>
        <v>Hugo</v>
      </c>
      <c r="D63" s="54">
        <v>5</v>
      </c>
      <c r="E63" s="54">
        <v>1</v>
      </c>
      <c r="F63" s="53"/>
      <c r="G63" s="53"/>
      <c r="H63" s="38">
        <f t="shared" si="0"/>
        <v>6</v>
      </c>
      <c r="I63" s="38">
        <f t="shared" si="1"/>
        <v>4</v>
      </c>
      <c r="J63" s="55"/>
    </row>
    <row r="64" spans="1:10" ht="12.75" customHeight="1" x14ac:dyDescent="0.2">
      <c r="A64" s="50">
        <f t="array" ref="A64">+INDEX(Partidas!$A:$J,MATCH('Resultados dashboard'!$B64,Partidas!$C:$C,0),2)</f>
        <v>45304</v>
      </c>
      <c r="B64" s="56">
        <f>+IF(COUNTIF($B$2:B63,B63)=VLOOKUP(B63,Partidas!$C:$J,8,0),B63+1,B63)</f>
        <v>13</v>
      </c>
      <c r="C64" s="41" t="str">
        <f t="array" ref="C64">+INDEX(Partidas!$A:$J,MATCH('Resultados dashboard'!$B64,Partidas!$C:$C,0),3+COUNTIF($B$2:B64,'Resultados dashboard'!$B64))</f>
        <v>Rodri</v>
      </c>
      <c r="D64" s="54">
        <v>8</v>
      </c>
      <c r="E64" s="53"/>
      <c r="F64" s="53"/>
      <c r="G64" s="53"/>
      <c r="H64" s="38">
        <f t="shared" si="0"/>
        <v>8</v>
      </c>
      <c r="I64" s="38">
        <f t="shared" si="1"/>
        <v>2</v>
      </c>
      <c r="J64" s="55"/>
    </row>
    <row r="65" spans="1:10" ht="12.75" customHeight="1" x14ac:dyDescent="0.2">
      <c r="A65" s="50">
        <f t="array" ref="A65">+INDEX(Partidas!$A:$J,MATCH('Resultados dashboard'!$B65,Partidas!$C:$C,0),2)</f>
        <v>45304</v>
      </c>
      <c r="B65" s="56">
        <f>+IF(COUNTIF($B$2:B64,B64)=VLOOKUP(B64,Partidas!$C:$J,8,0),B64+1,B64)</f>
        <v>13</v>
      </c>
      <c r="C65" s="41" t="str">
        <f t="array" ref="C65">+INDEX(Partidas!$A:$J,MATCH('Resultados dashboard'!$B65,Partidas!$C:$C,0),3+COUNTIF($B$2:B65,'Resultados dashboard'!$B65))</f>
        <v>Sofi</v>
      </c>
      <c r="D65" s="54">
        <v>6</v>
      </c>
      <c r="E65" s="53"/>
      <c r="F65" s="53"/>
      <c r="G65" s="53"/>
      <c r="H65" s="38">
        <f t="shared" si="0"/>
        <v>6</v>
      </c>
      <c r="I65" s="38">
        <f t="shared" si="1"/>
        <v>4</v>
      </c>
      <c r="J65" s="55"/>
    </row>
    <row r="66" spans="1:10" ht="12.75" customHeight="1" x14ac:dyDescent="0.2">
      <c r="A66" s="50">
        <f t="array" ref="A66">+INDEX(Partidas!$A:$J,MATCH('Resultados dashboard'!$B66,Partidas!$C:$C,0),2)</f>
        <v>45304</v>
      </c>
      <c r="B66" s="56">
        <f>+IF(COUNTIF($B$2:B65,B65)=VLOOKUP(B65,Partidas!$C:$J,8,0),B65+1,B65)</f>
        <v>14</v>
      </c>
      <c r="C66" s="41" t="str">
        <f t="array" ref="C66">+INDEX(Partidas!$A:$J,MATCH('Resultados dashboard'!$B66,Partidas!$C:$C,0),3+COUNTIF($B$2:B66,'Resultados dashboard'!$B66))</f>
        <v>Gallo</v>
      </c>
      <c r="D66" s="54">
        <v>6</v>
      </c>
      <c r="E66" s="53"/>
      <c r="F66" s="53"/>
      <c r="G66" s="53"/>
      <c r="H66" s="38">
        <f t="shared" si="0"/>
        <v>6</v>
      </c>
      <c r="I66" s="38">
        <f t="shared" si="1"/>
        <v>3</v>
      </c>
      <c r="J66" s="55"/>
    </row>
    <row r="67" spans="1:10" ht="12.75" customHeight="1" x14ac:dyDescent="0.2">
      <c r="A67" s="50">
        <f t="array" ref="A67">+INDEX(Partidas!$A:$J,MATCH('Resultados dashboard'!$B67,Partidas!$C:$C,0),2)</f>
        <v>45304</v>
      </c>
      <c r="B67" s="56">
        <f>+IF(COUNTIF($B$2:B66,B66)=VLOOKUP(B66,Partidas!$C:$J,8,0),B66+1,B66)</f>
        <v>14</v>
      </c>
      <c r="C67" s="41" t="str">
        <f t="array" ref="C67">+INDEX(Partidas!$A:$J,MATCH('Resultados dashboard'!$B67,Partidas!$C:$C,0),3+COUNTIF($B$2:B67,'Resultados dashboard'!$B67))</f>
        <v>Ivo</v>
      </c>
      <c r="D67" s="54">
        <v>4</v>
      </c>
      <c r="E67" s="54">
        <v>2</v>
      </c>
      <c r="F67" s="54">
        <v>1</v>
      </c>
      <c r="G67" s="54">
        <v>1</v>
      </c>
      <c r="H67" s="38">
        <f t="shared" si="0"/>
        <v>10</v>
      </c>
      <c r="I67" s="38">
        <f t="shared" si="1"/>
        <v>1</v>
      </c>
      <c r="J67" s="55"/>
    </row>
    <row r="68" spans="1:10" ht="12.75" customHeight="1" x14ac:dyDescent="0.2">
      <c r="A68" s="50">
        <f t="array" ref="A68">+INDEX(Partidas!$A:$J,MATCH('Resultados dashboard'!$B68,Partidas!$C:$C,0),2)</f>
        <v>45304</v>
      </c>
      <c r="B68" s="56">
        <f>+IF(COUNTIF($B$2:B67,B67)=VLOOKUP(B67,Partidas!$C:$J,8,0),B67+1,B67)</f>
        <v>14</v>
      </c>
      <c r="C68" s="41" t="str">
        <f t="array" ref="C68">+INDEX(Partidas!$A:$J,MATCH('Resultados dashboard'!$B68,Partidas!$C:$C,0),3+COUNTIF($B$2:B68,'Resultados dashboard'!$B68))</f>
        <v>Gaspa</v>
      </c>
      <c r="D68" s="54">
        <v>5</v>
      </c>
      <c r="E68" s="53"/>
      <c r="F68" s="53"/>
      <c r="G68" s="53"/>
      <c r="H68" s="38">
        <f t="shared" si="0"/>
        <v>5</v>
      </c>
      <c r="I68" s="38">
        <f t="shared" si="1"/>
        <v>4</v>
      </c>
      <c r="J68" s="55"/>
    </row>
    <row r="69" spans="1:10" ht="12.75" customHeight="1" x14ac:dyDescent="0.2">
      <c r="A69" s="50">
        <f t="array" ref="A69">+INDEX(Partidas!$A:$J,MATCH('Resultados dashboard'!$B69,Partidas!$C:$C,0),2)</f>
        <v>45304</v>
      </c>
      <c r="B69" s="56">
        <f>+IF(COUNTIF($B$2:B68,B68)=VLOOKUP(B68,Partidas!$C:$J,8,0),B68+1,B68)</f>
        <v>14</v>
      </c>
      <c r="C69" s="41" t="str">
        <f t="array" ref="C69">+INDEX(Partidas!$A:$J,MATCH('Resultados dashboard'!$B69,Partidas!$C:$C,0),3+COUNTIF($B$2:B69,'Resultados dashboard'!$B69))</f>
        <v>Sofi</v>
      </c>
      <c r="D69" s="54">
        <v>6</v>
      </c>
      <c r="E69" s="54">
        <v>1</v>
      </c>
      <c r="F69" s="53"/>
      <c r="G69" s="53"/>
      <c r="H69" s="38">
        <f t="shared" si="0"/>
        <v>7</v>
      </c>
      <c r="I69" s="38">
        <f t="shared" si="1"/>
        <v>2</v>
      </c>
      <c r="J69" s="55"/>
    </row>
    <row r="70" spans="1:10" ht="12.75" customHeight="1" x14ac:dyDescent="0.2">
      <c r="A70" s="50">
        <f t="array" ref="A70">+INDEX(Partidas!$A:$J,MATCH('Resultados dashboard'!$B70,Partidas!$C:$C,0),2)</f>
        <v>45310</v>
      </c>
      <c r="B70" s="56">
        <f>+IF(COUNTIF($B$2:B69,B69)=VLOOKUP(B69,Partidas!$C:$J,8,0),B69+1,B69)</f>
        <v>15</v>
      </c>
      <c r="C70" s="41" t="str">
        <f t="array" ref="C70">+INDEX(Partidas!$A:$J,MATCH('Resultados dashboard'!$B70,Partidas!$C:$C,0),3+COUNTIF($B$2:B70,'Resultados dashboard'!$B70))</f>
        <v>Gallo</v>
      </c>
      <c r="D70" s="54">
        <v>6</v>
      </c>
      <c r="E70" s="54">
        <v>1</v>
      </c>
      <c r="F70" s="53"/>
      <c r="G70" s="53"/>
      <c r="H70" s="38">
        <f t="shared" si="0"/>
        <v>7</v>
      </c>
      <c r="I70" s="38">
        <f t="shared" si="1"/>
        <v>2</v>
      </c>
      <c r="J70" s="55"/>
    </row>
    <row r="71" spans="1:10" ht="12.75" customHeight="1" x14ac:dyDescent="0.2">
      <c r="A71" s="50">
        <f t="array" ref="A71">+INDEX(Partidas!$A:$J,MATCH('Resultados dashboard'!$B71,Partidas!$C:$C,0),2)</f>
        <v>45310</v>
      </c>
      <c r="B71" s="56">
        <f>+IF(COUNTIF($B$2:B70,B70)=VLOOKUP(B70,Partidas!$C:$J,8,0),B70+1,B70)</f>
        <v>15</v>
      </c>
      <c r="C71" s="41" t="str">
        <f t="array" ref="C71">+INDEX(Partidas!$A:$J,MATCH('Resultados dashboard'!$B71,Partidas!$C:$C,0),3+COUNTIF($B$2:B71,'Resultados dashboard'!$B71))</f>
        <v>Ivo</v>
      </c>
      <c r="D71" s="54">
        <v>5</v>
      </c>
      <c r="E71" s="54">
        <v>1</v>
      </c>
      <c r="F71" s="53"/>
      <c r="G71" s="53"/>
      <c r="H71" s="38">
        <f t="shared" si="0"/>
        <v>6</v>
      </c>
      <c r="I71" s="38">
        <f t="shared" si="1"/>
        <v>4</v>
      </c>
      <c r="J71" s="55"/>
    </row>
    <row r="72" spans="1:10" ht="12.75" customHeight="1" x14ac:dyDescent="0.2">
      <c r="A72" s="50">
        <f t="array" ref="A72">+INDEX(Partidas!$A:$J,MATCH('Resultados dashboard'!$B72,Partidas!$C:$C,0),2)</f>
        <v>45310</v>
      </c>
      <c r="B72" s="56">
        <f>+IF(COUNTIF($B$2:B71,B71)=VLOOKUP(B71,Partidas!$C:$J,8,0),B71+1,B71)</f>
        <v>15</v>
      </c>
      <c r="C72" s="41" t="str">
        <f t="array" ref="C72">+INDEX(Partidas!$A:$J,MATCH('Resultados dashboard'!$B72,Partidas!$C:$C,0),3+COUNTIF($B$2:B72,'Resultados dashboard'!$B72))</f>
        <v>Hugo</v>
      </c>
      <c r="D72" s="54">
        <v>4</v>
      </c>
      <c r="E72" s="54">
        <v>1</v>
      </c>
      <c r="F72" s="54">
        <v>1</v>
      </c>
      <c r="G72" s="53"/>
      <c r="H72" s="38">
        <f t="shared" si="0"/>
        <v>7</v>
      </c>
      <c r="I72" s="38">
        <f t="shared" si="1"/>
        <v>2</v>
      </c>
      <c r="J72" s="55"/>
    </row>
    <row r="73" spans="1:10" ht="12.75" customHeight="1" x14ac:dyDescent="0.2">
      <c r="A73" s="50">
        <f t="array" ref="A73">+INDEX(Partidas!$A:$J,MATCH('Resultados dashboard'!$B73,Partidas!$C:$C,0),2)</f>
        <v>45310</v>
      </c>
      <c r="B73" s="56">
        <f>+IF(COUNTIF($B$2:B72,B72)=VLOOKUP(B72,Partidas!$C:$J,8,0),B72+1,B72)</f>
        <v>15</v>
      </c>
      <c r="C73" s="41" t="str">
        <f t="array" ref="C73">+INDEX(Partidas!$A:$J,MATCH('Resultados dashboard'!$B73,Partidas!$C:$C,0),3+COUNTIF($B$2:B73,'Resultados dashboard'!$B73))</f>
        <v>Sofi</v>
      </c>
      <c r="D73" s="54">
        <v>7</v>
      </c>
      <c r="E73" s="54">
        <v>1</v>
      </c>
      <c r="F73" s="53"/>
      <c r="G73" s="54">
        <v>1</v>
      </c>
      <c r="H73" s="38">
        <f t="shared" si="0"/>
        <v>10</v>
      </c>
      <c r="I73" s="38">
        <f t="shared" si="1"/>
        <v>1</v>
      </c>
      <c r="J73" s="55"/>
    </row>
    <row r="74" spans="1:10" ht="12.75" customHeight="1" x14ac:dyDescent="0.2">
      <c r="A74" s="50">
        <f t="array" ref="A74">+INDEX(Partidas!$A:$J,MATCH('Resultados dashboard'!$B74,Partidas!$C:$C,0),2)</f>
        <v>45310</v>
      </c>
      <c r="B74" s="56">
        <f>+IF(COUNTIF($B$2:B73,B73)=VLOOKUP(B73,Partidas!$C:$J,8,0),B73+1,B73)</f>
        <v>16</v>
      </c>
      <c r="C74" s="41" t="str">
        <f t="array" ref="C74">+INDEX(Partidas!$A:$J,MATCH('Resultados dashboard'!$B74,Partidas!$C:$C,0),3+COUNTIF($B$2:B74,'Resultados dashboard'!$B74))</f>
        <v>Gallo</v>
      </c>
      <c r="D74" s="54">
        <v>6</v>
      </c>
      <c r="E74" s="54">
        <v>1</v>
      </c>
      <c r="F74" s="53"/>
      <c r="G74" s="53"/>
      <c r="H74" s="38">
        <f t="shared" si="0"/>
        <v>7</v>
      </c>
      <c r="I74" s="38">
        <f t="shared" si="1"/>
        <v>2</v>
      </c>
      <c r="J74" s="55"/>
    </row>
    <row r="75" spans="1:10" ht="12.75" customHeight="1" x14ac:dyDescent="0.2">
      <c r="A75" s="50">
        <f t="array" ref="A75">+INDEX(Partidas!$A:$J,MATCH('Resultados dashboard'!$B75,Partidas!$C:$C,0),2)</f>
        <v>45310</v>
      </c>
      <c r="B75" s="56">
        <f>+IF(COUNTIF($B$2:B74,B74)=VLOOKUP(B74,Partidas!$C:$J,8,0),B74+1,B74)</f>
        <v>16</v>
      </c>
      <c r="C75" s="41" t="str">
        <f t="array" ref="C75">+INDEX(Partidas!$A:$J,MATCH('Resultados dashboard'!$B75,Partidas!$C:$C,0),3+COUNTIF($B$2:B75,'Resultados dashboard'!$B75))</f>
        <v>Ivo</v>
      </c>
      <c r="D75" s="54">
        <v>6</v>
      </c>
      <c r="E75" s="54">
        <v>1</v>
      </c>
      <c r="F75" s="53"/>
      <c r="G75" s="53"/>
      <c r="H75" s="38">
        <f t="shared" si="0"/>
        <v>7</v>
      </c>
      <c r="I75" s="38">
        <f t="shared" si="1"/>
        <v>2</v>
      </c>
      <c r="J75" s="55"/>
    </row>
    <row r="76" spans="1:10" ht="12.75" customHeight="1" x14ac:dyDescent="0.2">
      <c r="A76" s="50">
        <f t="array" ref="A76">+INDEX(Partidas!$A:$J,MATCH('Resultados dashboard'!$B76,Partidas!$C:$C,0),2)</f>
        <v>45310</v>
      </c>
      <c r="B76" s="56">
        <f>+IF(COUNTIF($B$2:B75,B75)=VLOOKUP(B75,Partidas!$C:$J,8,0),B75+1,B75)</f>
        <v>16</v>
      </c>
      <c r="C76" s="41" t="str">
        <f t="array" ref="C76">+INDEX(Partidas!$A:$J,MATCH('Resultados dashboard'!$B76,Partidas!$C:$C,0),3+COUNTIF($B$2:B76,'Resultados dashboard'!$B76))</f>
        <v>Hugo</v>
      </c>
      <c r="D76" s="54">
        <v>7</v>
      </c>
      <c r="E76" s="54">
        <v>1</v>
      </c>
      <c r="F76" s="54">
        <v>1</v>
      </c>
      <c r="G76" s="53"/>
      <c r="H76" s="38">
        <f t="shared" si="0"/>
        <v>10</v>
      </c>
      <c r="I76" s="38">
        <f t="shared" si="1"/>
        <v>1</v>
      </c>
      <c r="J76" s="55"/>
    </row>
    <row r="77" spans="1:10" ht="12.75" customHeight="1" x14ac:dyDescent="0.2">
      <c r="A77" s="50">
        <f t="array" ref="A77">+INDEX(Partidas!$A:$J,MATCH('Resultados dashboard'!$B77,Partidas!$C:$C,0),2)</f>
        <v>45310</v>
      </c>
      <c r="B77" s="56">
        <f>+IF(COUNTIF($B$2:B76,B76)=VLOOKUP(B76,Partidas!$C:$J,8,0),B76+1,B76)</f>
        <v>16</v>
      </c>
      <c r="C77" s="41" t="str">
        <f t="array" ref="C77">+INDEX(Partidas!$A:$J,MATCH('Resultados dashboard'!$B77,Partidas!$C:$C,0),3+COUNTIF($B$2:B77,'Resultados dashboard'!$B77))</f>
        <v>Sofi</v>
      </c>
      <c r="D77" s="54">
        <v>5</v>
      </c>
      <c r="E77" s="53"/>
      <c r="F77" s="53"/>
      <c r="G77" s="54">
        <v>1</v>
      </c>
      <c r="H77" s="38">
        <f t="shared" si="0"/>
        <v>7</v>
      </c>
      <c r="I77" s="38">
        <f t="shared" si="1"/>
        <v>2</v>
      </c>
      <c r="J77" s="55"/>
    </row>
    <row r="78" spans="1:10" ht="12.75" customHeight="1" x14ac:dyDescent="0.2">
      <c r="A78" s="50">
        <f t="array" ref="A78">+INDEX(Partidas!$A:$J,MATCH('Resultados dashboard'!$B78,Partidas!$C:$C,0),2)</f>
        <v>45315</v>
      </c>
      <c r="B78" s="56">
        <f>+IF(COUNTIF($B$2:B77,B77)=VLOOKUP(B77,Partidas!$C:$J,8,0),B77+1,B77)</f>
        <v>17</v>
      </c>
      <c r="C78" s="41" t="str">
        <f t="array" ref="C78">+INDEX(Partidas!$A:$J,MATCH('Resultados dashboard'!$B78,Partidas!$C:$C,0),3+COUNTIF($B$2:B78,'Resultados dashboard'!$B78))</f>
        <v>Ivo</v>
      </c>
      <c r="D78" s="54">
        <v>5</v>
      </c>
      <c r="E78" s="54">
        <v>1</v>
      </c>
      <c r="F78" s="53"/>
      <c r="G78" s="54">
        <v>1</v>
      </c>
      <c r="H78" s="38">
        <f t="shared" si="0"/>
        <v>8</v>
      </c>
      <c r="I78" s="38">
        <f t="shared" si="1"/>
        <v>4</v>
      </c>
      <c r="J78" s="55"/>
    </row>
    <row r="79" spans="1:10" ht="12.75" customHeight="1" x14ac:dyDescent="0.2">
      <c r="A79" s="50">
        <f t="array" ref="A79">+INDEX(Partidas!$A:$J,MATCH('Resultados dashboard'!$B79,Partidas!$C:$C,0),2)</f>
        <v>45315</v>
      </c>
      <c r="B79" s="56">
        <f>+IF(COUNTIF($B$2:B78,B78)=VLOOKUP(B78,Partidas!$C:$J,8,0),B78+1,B78)</f>
        <v>17</v>
      </c>
      <c r="C79" s="41" t="str">
        <f t="array" ref="C79">+INDEX(Partidas!$A:$J,MATCH('Resultados dashboard'!$B79,Partidas!$C:$C,0),3+COUNTIF($B$2:B79,'Resultados dashboard'!$B79))</f>
        <v>Hugo</v>
      </c>
      <c r="D79" s="54">
        <v>9</v>
      </c>
      <c r="E79" s="53"/>
      <c r="F79" s="53"/>
      <c r="G79" s="53"/>
      <c r="H79" s="38">
        <f t="shared" si="0"/>
        <v>9</v>
      </c>
      <c r="I79" s="38">
        <f t="shared" si="1"/>
        <v>2</v>
      </c>
      <c r="J79" s="55"/>
    </row>
    <row r="80" spans="1:10" ht="12.75" customHeight="1" x14ac:dyDescent="0.2">
      <c r="A80" s="50">
        <f t="array" ref="A80">+INDEX(Partidas!$A:$J,MATCH('Resultados dashboard'!$B80,Partidas!$C:$C,0),2)</f>
        <v>45315</v>
      </c>
      <c r="B80" s="56">
        <f>+IF(COUNTIF($B$2:B79,B79)=VLOOKUP(B79,Partidas!$C:$J,8,0),B79+1,B79)</f>
        <v>17</v>
      </c>
      <c r="C80" s="41" t="str">
        <f t="array" ref="C80">+INDEX(Partidas!$A:$J,MATCH('Resultados dashboard'!$B80,Partidas!$C:$C,0),3+COUNTIF($B$2:B80,'Resultados dashboard'!$B80))</f>
        <v>Gaspa</v>
      </c>
      <c r="D80" s="54">
        <v>7</v>
      </c>
      <c r="E80" s="54">
        <v>1</v>
      </c>
      <c r="F80" s="54">
        <v>1</v>
      </c>
      <c r="G80" s="53"/>
      <c r="H80" s="38">
        <f t="shared" si="0"/>
        <v>10</v>
      </c>
      <c r="I80" s="38">
        <f t="shared" si="1"/>
        <v>1</v>
      </c>
      <c r="J80" s="55"/>
    </row>
    <row r="81" spans="1:10" ht="12.75" customHeight="1" x14ac:dyDescent="0.2">
      <c r="A81" s="50">
        <f t="array" ref="A81">+INDEX(Partidas!$A:$J,MATCH('Resultados dashboard'!$B81,Partidas!$C:$C,0),2)</f>
        <v>45315</v>
      </c>
      <c r="B81" s="56">
        <f>+IF(COUNTIF($B$2:B80,B80)=VLOOKUP(B80,Partidas!$C:$J,8,0),B80+1,B80)</f>
        <v>17</v>
      </c>
      <c r="C81" s="41" t="str">
        <f t="array" ref="C81">+INDEX(Partidas!$A:$J,MATCH('Resultados dashboard'!$B81,Partidas!$C:$C,0),3+COUNTIF($B$2:B81,'Resultados dashboard'!$B81))</f>
        <v>Max</v>
      </c>
      <c r="D81" s="54">
        <v>6</v>
      </c>
      <c r="E81" s="54">
        <v>3</v>
      </c>
      <c r="F81" s="53"/>
      <c r="G81" s="53"/>
      <c r="H81" s="38">
        <f t="shared" si="0"/>
        <v>9</v>
      </c>
      <c r="I81" s="38">
        <f t="shared" si="1"/>
        <v>2</v>
      </c>
      <c r="J81" s="55"/>
    </row>
    <row r="82" spans="1:10" ht="12.75" customHeight="1" x14ac:dyDescent="0.2">
      <c r="A82" s="50">
        <f t="array" ref="A82">+INDEX(Partidas!$A:$J,MATCH('Resultados dashboard'!$B82,Partidas!$C:$C,0),2)</f>
        <v>45315</v>
      </c>
      <c r="B82" s="56">
        <f>+IF(COUNTIF($B$2:B81,B81)=VLOOKUP(B81,Partidas!$C:$J,8,0),B81+1,B81)</f>
        <v>18</v>
      </c>
      <c r="C82" s="41" t="str">
        <f t="array" ref="C82">+INDEX(Partidas!$A:$J,MATCH('Resultados dashboard'!$B82,Partidas!$C:$C,0),3+COUNTIF($B$2:B82,'Resultados dashboard'!$B82))</f>
        <v>Ivo</v>
      </c>
      <c r="D82" s="54">
        <v>4</v>
      </c>
      <c r="E82" s="53"/>
      <c r="F82" s="53"/>
      <c r="G82" s="53"/>
      <c r="H82" s="38">
        <f t="shared" si="0"/>
        <v>4</v>
      </c>
      <c r="I82" s="38">
        <f t="shared" si="1"/>
        <v>3</v>
      </c>
      <c r="J82" s="55"/>
    </row>
    <row r="83" spans="1:10" ht="12.75" customHeight="1" x14ac:dyDescent="0.2">
      <c r="A83" s="50">
        <f t="array" ref="A83">+INDEX(Partidas!$A:$J,MATCH('Resultados dashboard'!$B83,Partidas!$C:$C,0),2)</f>
        <v>45315</v>
      </c>
      <c r="B83" s="56">
        <f>+IF(COUNTIF($B$2:B82,B82)=VLOOKUP(B82,Partidas!$C:$J,8,0),B82+1,B82)</f>
        <v>18</v>
      </c>
      <c r="C83" s="41" t="str">
        <f t="array" ref="C83">+INDEX(Partidas!$A:$J,MATCH('Resultados dashboard'!$B83,Partidas!$C:$C,0),3+COUNTIF($B$2:B83,'Resultados dashboard'!$B83))</f>
        <v>Hugo</v>
      </c>
      <c r="D83" s="54">
        <v>4</v>
      </c>
      <c r="E83" s="54">
        <v>1</v>
      </c>
      <c r="F83" s="53"/>
      <c r="G83" s="53"/>
      <c r="H83" s="38">
        <f t="shared" si="0"/>
        <v>5</v>
      </c>
      <c r="I83" s="38">
        <f t="shared" si="1"/>
        <v>2</v>
      </c>
      <c r="J83" s="55"/>
    </row>
    <row r="84" spans="1:10" ht="12.75" customHeight="1" x14ac:dyDescent="0.2">
      <c r="A84" s="50">
        <f t="array" ref="A84">+INDEX(Partidas!$A:$J,MATCH('Resultados dashboard'!$B84,Partidas!$C:$C,0),2)</f>
        <v>45315</v>
      </c>
      <c r="B84" s="56">
        <f>+IF(COUNTIF($B$2:B83,B83)=VLOOKUP(B83,Partidas!$C:$J,8,0),B83+1,B83)</f>
        <v>18</v>
      </c>
      <c r="C84" s="41" t="str">
        <f t="array" ref="C84">+INDEX(Partidas!$A:$J,MATCH('Resultados dashboard'!$B84,Partidas!$C:$C,0),3+COUNTIF($B$2:B84,'Resultados dashboard'!$B84))</f>
        <v>Gaspa</v>
      </c>
      <c r="D84" s="54">
        <v>4</v>
      </c>
      <c r="E84" s="53"/>
      <c r="F84" s="53"/>
      <c r="G84" s="53"/>
      <c r="H84" s="38">
        <f t="shared" si="0"/>
        <v>4</v>
      </c>
      <c r="I84" s="38">
        <f t="shared" si="1"/>
        <v>3</v>
      </c>
      <c r="J84" s="55"/>
    </row>
    <row r="85" spans="1:10" ht="12.75" customHeight="1" x14ac:dyDescent="0.2">
      <c r="A85" s="50">
        <f t="array" ref="A85">+INDEX(Partidas!$A:$J,MATCH('Resultados dashboard'!$B85,Partidas!$C:$C,0),2)</f>
        <v>45315</v>
      </c>
      <c r="B85" s="56">
        <f>+IF(COUNTIF($B$2:B84,B84)=VLOOKUP(B84,Partidas!$C:$J,8,0),B84+1,B84)</f>
        <v>18</v>
      </c>
      <c r="C85" s="41" t="str">
        <f t="array" ref="C85">+INDEX(Partidas!$A:$J,MATCH('Resultados dashboard'!$B85,Partidas!$C:$C,0),3+COUNTIF($B$2:B85,'Resultados dashboard'!$B85))</f>
        <v>Max</v>
      </c>
      <c r="D85" s="54">
        <v>8</v>
      </c>
      <c r="E85" s="53"/>
      <c r="F85" s="53"/>
      <c r="G85" s="54">
        <v>1</v>
      </c>
      <c r="H85" s="38">
        <f t="shared" si="0"/>
        <v>10</v>
      </c>
      <c r="I85" s="38">
        <f t="shared" si="1"/>
        <v>1</v>
      </c>
      <c r="J85" s="55"/>
    </row>
    <row r="86" spans="1:10" ht="12.75" customHeight="1" x14ac:dyDescent="0.2">
      <c r="A86" s="50">
        <f t="array" ref="A86">+INDEX(Partidas!$A:$J,MATCH('Resultados dashboard'!$B86,Partidas!$C:$C,0),2)</f>
        <v>45315</v>
      </c>
      <c r="B86" s="56">
        <f>+IF(COUNTIF($B$2:B85,B85)=VLOOKUP(B85,Partidas!$C:$J,8,0),B85+1,B85)</f>
        <v>19</v>
      </c>
      <c r="C86" s="41" t="str">
        <f t="array" ref="C86">+INDEX(Partidas!$A:$J,MATCH('Resultados dashboard'!$B86,Partidas!$C:$C,0),3+COUNTIF($B$2:B86,'Resultados dashboard'!$B86))</f>
        <v>Ivo</v>
      </c>
      <c r="D86" s="54">
        <v>6</v>
      </c>
      <c r="E86" s="54">
        <v>2</v>
      </c>
      <c r="F86" s="54">
        <v>1</v>
      </c>
      <c r="G86" s="53"/>
      <c r="H86" s="38">
        <f t="shared" si="0"/>
        <v>10</v>
      </c>
      <c r="I86" s="38">
        <f t="shared" si="1"/>
        <v>1</v>
      </c>
      <c r="J86" s="55"/>
    </row>
    <row r="87" spans="1:10" ht="12.75" customHeight="1" x14ac:dyDescent="0.2">
      <c r="A87" s="50">
        <f t="array" ref="A87">+INDEX(Partidas!$A:$J,MATCH('Resultados dashboard'!$B87,Partidas!$C:$C,0),2)</f>
        <v>45315</v>
      </c>
      <c r="B87" s="56">
        <f>+IF(COUNTIF($B$2:B86,B86)=VLOOKUP(B86,Partidas!$C:$J,8,0),B86+1,B86)</f>
        <v>19</v>
      </c>
      <c r="C87" s="41" t="str">
        <f t="array" ref="C87">+INDEX(Partidas!$A:$J,MATCH('Resultados dashboard'!$B87,Partidas!$C:$C,0),3+COUNTIF($B$2:B87,'Resultados dashboard'!$B87))</f>
        <v>Hugo</v>
      </c>
      <c r="D87" s="54">
        <v>4</v>
      </c>
      <c r="E87" s="54">
        <v>1</v>
      </c>
      <c r="F87" s="53"/>
      <c r="G87" s="53"/>
      <c r="H87" s="38">
        <f t="shared" si="0"/>
        <v>5</v>
      </c>
      <c r="I87" s="38">
        <f t="shared" si="1"/>
        <v>2</v>
      </c>
      <c r="J87" s="55"/>
    </row>
    <row r="88" spans="1:10" ht="12.75" customHeight="1" x14ac:dyDescent="0.2">
      <c r="A88" s="50">
        <f t="array" ref="A88">+INDEX(Partidas!$A:$J,MATCH('Resultados dashboard'!$B88,Partidas!$C:$C,0),2)</f>
        <v>45315</v>
      </c>
      <c r="B88" s="56">
        <f>+IF(COUNTIF($B$2:B87,B87)=VLOOKUP(B87,Partidas!$C:$J,8,0),B87+1,B87)</f>
        <v>19</v>
      </c>
      <c r="C88" s="41" t="str">
        <f t="array" ref="C88">+INDEX(Partidas!$A:$J,MATCH('Resultados dashboard'!$B88,Partidas!$C:$C,0),3+COUNTIF($B$2:B88,'Resultados dashboard'!$B88))</f>
        <v>Gaspa</v>
      </c>
      <c r="D88" s="54">
        <v>3</v>
      </c>
      <c r="E88" s="53"/>
      <c r="F88" s="53"/>
      <c r="G88" s="54">
        <v>1</v>
      </c>
      <c r="H88" s="38">
        <f t="shared" si="0"/>
        <v>5</v>
      </c>
      <c r="I88" s="38">
        <f t="shared" si="1"/>
        <v>2</v>
      </c>
      <c r="J88" s="55"/>
    </row>
    <row r="89" spans="1:10" ht="12.75" customHeight="1" x14ac:dyDescent="0.2">
      <c r="A89" s="50">
        <f t="array" ref="A89">+INDEX(Partidas!$A:$J,MATCH('Resultados dashboard'!$B89,Partidas!$C:$C,0),2)</f>
        <v>45315</v>
      </c>
      <c r="B89" s="56">
        <f>+IF(COUNTIF($B$2:B88,B88)=VLOOKUP(B88,Partidas!$C:$J,8,0),B88+1,B88)</f>
        <v>19</v>
      </c>
      <c r="C89" s="41" t="str">
        <f t="array" ref="C89">+INDEX(Partidas!$A:$J,MATCH('Resultados dashboard'!$B89,Partidas!$C:$C,0),3+COUNTIF($B$2:B89,'Resultados dashboard'!$B89))</f>
        <v>Max</v>
      </c>
      <c r="D89" s="54">
        <v>4</v>
      </c>
      <c r="E89" s="53"/>
      <c r="F89" s="53"/>
      <c r="G89" s="53"/>
      <c r="H89" s="38">
        <f t="shared" si="0"/>
        <v>4</v>
      </c>
      <c r="I89" s="38">
        <f t="shared" si="1"/>
        <v>4</v>
      </c>
      <c r="J89" s="55"/>
    </row>
    <row r="90" spans="1:10" ht="12.75" customHeight="1" x14ac:dyDescent="0.2">
      <c r="A90" s="50">
        <f t="array" ref="A90">+INDEX(Partidas!$A:$J,MATCH('Resultados dashboard'!$B90,Partidas!$C:$C,0),2)</f>
        <v>45325</v>
      </c>
      <c r="B90" s="56">
        <f>+IF(COUNTIF($B$2:B89,B89)=VLOOKUP(B89,Partidas!$C:$J,8,0),B89+1,B89)</f>
        <v>20</v>
      </c>
      <c r="C90" s="41" t="str">
        <f t="array" ref="C90">+INDEX(Partidas!$A:$J,MATCH('Resultados dashboard'!$B90,Partidas!$C:$C,0),3+COUNTIF($B$2:B90,'Resultados dashboard'!$B90))</f>
        <v>Gallo</v>
      </c>
      <c r="D90" s="54">
        <v>8</v>
      </c>
      <c r="E90" s="54">
        <v>1</v>
      </c>
      <c r="F90" s="53"/>
      <c r="G90" s="53"/>
      <c r="H90" s="38">
        <f t="shared" si="0"/>
        <v>9</v>
      </c>
      <c r="I90" s="38">
        <f t="shared" si="1"/>
        <v>2</v>
      </c>
      <c r="J90" s="55"/>
    </row>
    <row r="91" spans="1:10" ht="12.75" customHeight="1" x14ac:dyDescent="0.2">
      <c r="A91" s="50">
        <f t="array" ref="A91">+INDEX(Partidas!$A:$J,MATCH('Resultados dashboard'!$B91,Partidas!$C:$C,0),2)</f>
        <v>45325</v>
      </c>
      <c r="B91" s="56">
        <f>+IF(COUNTIF($B$2:B90,B90)=VLOOKUP(B90,Partidas!$C:$J,8,0),B90+1,B90)</f>
        <v>20</v>
      </c>
      <c r="C91" s="41" t="str">
        <f t="array" ref="C91">+INDEX(Partidas!$A:$J,MATCH('Resultados dashboard'!$B91,Partidas!$C:$C,0),3+COUNTIF($B$2:B91,'Resultados dashboard'!$B91))</f>
        <v>Max</v>
      </c>
      <c r="D91" s="54">
        <v>4</v>
      </c>
      <c r="E91" s="53"/>
      <c r="F91" s="53"/>
      <c r="G91" s="53"/>
      <c r="H91" s="38">
        <f t="shared" si="0"/>
        <v>4</v>
      </c>
      <c r="I91" s="38">
        <f t="shared" si="1"/>
        <v>6</v>
      </c>
      <c r="J91" s="55"/>
    </row>
    <row r="92" spans="1:10" ht="12.75" customHeight="1" x14ac:dyDescent="0.2">
      <c r="A92" s="50">
        <f t="array" ref="A92">+INDEX(Partidas!$A:$J,MATCH('Resultados dashboard'!$B92,Partidas!$C:$C,0),2)</f>
        <v>45325</v>
      </c>
      <c r="B92" s="56">
        <f>+IF(COUNTIF($B$2:B91,B91)=VLOOKUP(B91,Partidas!$C:$J,8,0),B91+1,B91)</f>
        <v>20</v>
      </c>
      <c r="C92" s="41" t="str">
        <f t="array" ref="C92">+INDEX(Partidas!$A:$J,MATCH('Resultados dashboard'!$B92,Partidas!$C:$C,0),3+COUNTIF($B$2:B92,'Resultados dashboard'!$B92))</f>
        <v>Gaspa</v>
      </c>
      <c r="D92" s="54">
        <v>6</v>
      </c>
      <c r="E92" s="53"/>
      <c r="F92" s="53"/>
      <c r="G92" s="53"/>
      <c r="H92" s="38">
        <f t="shared" si="0"/>
        <v>6</v>
      </c>
      <c r="I92" s="38">
        <f t="shared" si="1"/>
        <v>3</v>
      </c>
      <c r="J92" s="55"/>
    </row>
    <row r="93" spans="1:10" ht="12.75" customHeight="1" x14ac:dyDescent="0.2">
      <c r="A93" s="50">
        <f t="array" ref="A93">+INDEX(Partidas!$A:$J,MATCH('Resultados dashboard'!$B93,Partidas!$C:$C,0),2)</f>
        <v>45325</v>
      </c>
      <c r="B93" s="56">
        <f>+IF(COUNTIF($B$2:B92,B92)=VLOOKUP(B92,Partidas!$C:$J,8,0),B92+1,B92)</f>
        <v>20</v>
      </c>
      <c r="C93" s="41" t="str">
        <f t="array" ref="C93">+INDEX(Partidas!$A:$J,MATCH('Resultados dashboard'!$B93,Partidas!$C:$C,0),3+COUNTIF($B$2:B93,'Resultados dashboard'!$B93))</f>
        <v>Hugo</v>
      </c>
      <c r="D93" s="54">
        <v>5</v>
      </c>
      <c r="E93" s="53"/>
      <c r="F93" s="53"/>
      <c r="G93" s="53"/>
      <c r="H93" s="38">
        <f t="shared" si="0"/>
        <v>5</v>
      </c>
      <c r="I93" s="38">
        <f t="shared" si="1"/>
        <v>5</v>
      </c>
      <c r="J93" s="55"/>
    </row>
    <row r="94" spans="1:10" ht="12.75" customHeight="1" x14ac:dyDescent="0.2">
      <c r="A94" s="50">
        <f t="array" ref="A94">+INDEX(Partidas!$A:$J,MATCH('Resultados dashboard'!$B94,Partidas!$C:$C,0),2)</f>
        <v>45325</v>
      </c>
      <c r="B94" s="56">
        <f>+IF(COUNTIF($B$2:B93,B93)=VLOOKUP(B93,Partidas!$C:$J,8,0),B93+1,B93)</f>
        <v>20</v>
      </c>
      <c r="C94" s="41" t="str">
        <f t="array" ref="C94">+INDEX(Partidas!$A:$J,MATCH('Resultados dashboard'!$B94,Partidas!$C:$C,0),3+COUNTIF($B$2:B94,'Resultados dashboard'!$B94))</f>
        <v>Ivo</v>
      </c>
      <c r="D94" s="54">
        <v>6</v>
      </c>
      <c r="E94" s="53"/>
      <c r="F94" s="53"/>
      <c r="G94" s="53"/>
      <c r="H94" s="38">
        <f t="shared" si="0"/>
        <v>6</v>
      </c>
      <c r="I94" s="38">
        <f t="shared" si="1"/>
        <v>3</v>
      </c>
      <c r="J94" s="55"/>
    </row>
    <row r="95" spans="1:10" ht="12.75" customHeight="1" x14ac:dyDescent="0.2">
      <c r="A95" s="50">
        <f t="array" ref="A95">+INDEX(Partidas!$A:$J,MATCH('Resultados dashboard'!$B95,Partidas!$C:$C,0),2)</f>
        <v>45325</v>
      </c>
      <c r="B95" s="56">
        <f>+IF(COUNTIF($B$2:B94,B94)=VLOOKUP(B94,Partidas!$C:$J,8,0),B94+1,B94)</f>
        <v>20</v>
      </c>
      <c r="C95" s="41" t="str">
        <f t="array" ref="C95">+INDEX(Partidas!$A:$J,MATCH('Resultados dashboard'!$B95,Partidas!$C:$C,0),3+COUNTIF($B$2:B95,'Resultados dashboard'!$B95))</f>
        <v>Rodri</v>
      </c>
      <c r="D95" s="54">
        <v>8</v>
      </c>
      <c r="E95" s="53"/>
      <c r="F95" s="53"/>
      <c r="G95" s="54">
        <v>1</v>
      </c>
      <c r="H95" s="38">
        <f t="shared" si="0"/>
        <v>10</v>
      </c>
      <c r="I95" s="38">
        <f t="shared" si="1"/>
        <v>1</v>
      </c>
      <c r="J95" s="55"/>
    </row>
    <row r="96" spans="1:10" ht="12.75" customHeight="1" x14ac:dyDescent="0.2">
      <c r="A96" s="50">
        <f t="array" ref="A96">+INDEX(Partidas!$A:$J,MATCH('Resultados dashboard'!$B96,Partidas!$C:$C,0),2)</f>
        <v>45325</v>
      </c>
      <c r="B96" s="56">
        <f>+IF(COUNTIF($B$2:B95,B95)=VLOOKUP(B95,Partidas!$C:$J,8,0),B95+1,B95)</f>
        <v>21</v>
      </c>
      <c r="C96" s="41" t="str">
        <f t="array" ref="C96">+INDEX(Partidas!$A:$J,MATCH('Resultados dashboard'!$B96,Partidas!$C:$C,0),3+COUNTIF($B$2:B96,'Resultados dashboard'!$B96))</f>
        <v>Hugo</v>
      </c>
      <c r="D96" s="54">
        <v>6</v>
      </c>
      <c r="E96" s="53"/>
      <c r="F96" s="53"/>
      <c r="G96" s="53"/>
      <c r="H96" s="38">
        <f t="shared" si="0"/>
        <v>6</v>
      </c>
      <c r="I96" s="38">
        <f t="shared" si="1"/>
        <v>2</v>
      </c>
      <c r="J96" s="55"/>
    </row>
    <row r="97" spans="1:10" ht="12.75" customHeight="1" x14ac:dyDescent="0.2">
      <c r="A97" s="50">
        <f t="array" ref="A97">+INDEX(Partidas!$A:$J,MATCH('Resultados dashboard'!$B97,Partidas!$C:$C,0),2)</f>
        <v>45325</v>
      </c>
      <c r="B97" s="56">
        <f>+IF(COUNTIF($B$2:B96,B96)=VLOOKUP(B96,Partidas!$C:$J,8,0),B96+1,B96)</f>
        <v>21</v>
      </c>
      <c r="C97" s="41" t="str">
        <f t="array" ref="C97">+INDEX(Partidas!$A:$J,MATCH('Resultados dashboard'!$B97,Partidas!$C:$C,0),3+COUNTIF($B$2:B97,'Resultados dashboard'!$B97))</f>
        <v>Ivo</v>
      </c>
      <c r="D97" s="54">
        <v>5</v>
      </c>
      <c r="E97" s="54">
        <v>1</v>
      </c>
      <c r="F97" s="53"/>
      <c r="G97" s="53"/>
      <c r="H97" s="38">
        <f t="shared" si="0"/>
        <v>6</v>
      </c>
      <c r="I97" s="38">
        <f t="shared" si="1"/>
        <v>2</v>
      </c>
      <c r="J97" s="55"/>
    </row>
    <row r="98" spans="1:10" ht="12.75" customHeight="1" x14ac:dyDescent="0.2">
      <c r="A98" s="50">
        <f t="array" ref="A98">+INDEX(Partidas!$A:$J,MATCH('Resultados dashboard'!$B98,Partidas!$C:$C,0),2)</f>
        <v>45325</v>
      </c>
      <c r="B98" s="56">
        <f>+IF(COUNTIF($B$2:B97,B97)=VLOOKUP(B97,Partidas!$C:$J,8,0),B97+1,B97)</f>
        <v>21</v>
      </c>
      <c r="C98" s="41" t="str">
        <f t="array" ref="C98">+INDEX(Partidas!$A:$J,MATCH('Resultados dashboard'!$B98,Partidas!$C:$C,0),3+COUNTIF($B$2:B98,'Resultados dashboard'!$B98))</f>
        <v>Max</v>
      </c>
      <c r="D98" s="54">
        <v>5</v>
      </c>
      <c r="E98" s="53"/>
      <c r="F98" s="53"/>
      <c r="G98" s="53"/>
      <c r="H98" s="38">
        <f t="shared" si="0"/>
        <v>5</v>
      </c>
      <c r="I98" s="38">
        <f t="shared" si="1"/>
        <v>4</v>
      </c>
      <c r="J98" s="55"/>
    </row>
    <row r="99" spans="1:10" ht="12.75" customHeight="1" x14ac:dyDescent="0.2">
      <c r="A99" s="50">
        <f t="array" ref="A99">+INDEX(Partidas!$A:$J,MATCH('Resultados dashboard'!$B99,Partidas!$C:$C,0),2)</f>
        <v>45325</v>
      </c>
      <c r="B99" s="56">
        <f>+IF(COUNTIF($B$2:B98,B98)=VLOOKUP(B98,Partidas!$C:$J,8,0),B98+1,B98)</f>
        <v>21</v>
      </c>
      <c r="C99" s="41" t="str">
        <f t="array" ref="C99">+INDEX(Partidas!$A:$J,MATCH('Resultados dashboard'!$B99,Partidas!$C:$C,0),3+COUNTIF($B$2:B99,'Resultados dashboard'!$B99))</f>
        <v>Rodri</v>
      </c>
      <c r="D99" s="54">
        <v>6</v>
      </c>
      <c r="E99" s="53"/>
      <c r="F99" s="54">
        <v>1</v>
      </c>
      <c r="G99" s="54">
        <v>1</v>
      </c>
      <c r="H99" s="38">
        <f t="shared" si="0"/>
        <v>10</v>
      </c>
      <c r="I99" s="38">
        <f t="shared" si="1"/>
        <v>1</v>
      </c>
      <c r="J99" s="55"/>
    </row>
    <row r="100" spans="1:10" ht="12.75" customHeight="1" x14ac:dyDescent="0.2">
      <c r="A100" s="50">
        <f t="array" ref="A100">+INDEX(Partidas!$A:$J,MATCH('Resultados dashboard'!$B100,Partidas!$C:$C,0),2)</f>
        <v>45325</v>
      </c>
      <c r="B100" s="56">
        <f>+IF(COUNTIF($B$2:B99,B99)=VLOOKUP(B99,Partidas!$C:$J,8,0),B99+1,B99)</f>
        <v>21</v>
      </c>
      <c r="C100" s="41" t="str">
        <f t="array" ref="C100">+INDEX(Partidas!$A:$J,MATCH('Resultados dashboard'!$B100,Partidas!$C:$C,0),3+COUNTIF($B$2:B100,'Resultados dashboard'!$B100))</f>
        <v>Cami (prima Hugo)</v>
      </c>
      <c r="D100" s="54">
        <v>3</v>
      </c>
      <c r="E100" s="53"/>
      <c r="F100" s="53"/>
      <c r="G100" s="53"/>
      <c r="H100" s="38">
        <f t="shared" si="0"/>
        <v>3</v>
      </c>
      <c r="I100" s="38">
        <f t="shared" si="1"/>
        <v>5</v>
      </c>
      <c r="J100" s="55"/>
    </row>
    <row r="101" spans="1:10" ht="12.75" customHeight="1" x14ac:dyDescent="0.2">
      <c r="A101" s="50">
        <f t="array" ref="A101">+INDEX(Partidas!$A:$J,MATCH('Resultados dashboard'!$B101,Partidas!$C:$C,0),2)</f>
        <v>45325</v>
      </c>
      <c r="B101" s="56">
        <f>+IF(COUNTIF($B$2:B100,B100)=VLOOKUP(B100,Partidas!$C:$J,8,0),B100+1,B100)</f>
        <v>22</v>
      </c>
      <c r="C101" s="41" t="str">
        <f t="array" ref="C101">+INDEX(Partidas!$A:$J,MATCH('Resultados dashboard'!$B101,Partidas!$C:$C,0),3+COUNTIF($B$2:B101,'Resultados dashboard'!$B101))</f>
        <v>Gallo</v>
      </c>
      <c r="D101" s="54">
        <v>8</v>
      </c>
      <c r="E101" s="53"/>
      <c r="F101" s="53"/>
      <c r="G101" s="54">
        <v>1</v>
      </c>
      <c r="H101" s="38">
        <f t="shared" si="0"/>
        <v>10</v>
      </c>
      <c r="I101" s="38">
        <f t="shared" si="1"/>
        <v>1</v>
      </c>
      <c r="J101" s="55"/>
    </row>
    <row r="102" spans="1:10" ht="12.75" customHeight="1" x14ac:dyDescent="0.2">
      <c r="A102" s="50">
        <f t="array" ref="A102">+INDEX(Partidas!$A:$J,MATCH('Resultados dashboard'!$B102,Partidas!$C:$C,0),2)</f>
        <v>45325</v>
      </c>
      <c r="B102" s="56">
        <f>+IF(COUNTIF($B$2:B101,B101)=VLOOKUP(B101,Partidas!$C:$J,8,0),B101+1,B101)</f>
        <v>22</v>
      </c>
      <c r="C102" s="41" t="str">
        <f t="array" ref="C102">+INDEX(Partidas!$A:$J,MATCH('Resultados dashboard'!$B102,Partidas!$C:$C,0),3+COUNTIF($B$2:B102,'Resultados dashboard'!$B102))</f>
        <v>Ivo</v>
      </c>
      <c r="D102" s="54">
        <v>7</v>
      </c>
      <c r="E102" s="53"/>
      <c r="F102" s="53"/>
      <c r="G102" s="53"/>
      <c r="H102" s="38">
        <f t="shared" si="0"/>
        <v>7</v>
      </c>
      <c r="I102" s="38">
        <f t="shared" si="1"/>
        <v>4</v>
      </c>
      <c r="J102" s="55"/>
    </row>
    <row r="103" spans="1:10" ht="12.75" customHeight="1" x14ac:dyDescent="0.2">
      <c r="A103" s="50">
        <f t="array" ref="A103">+INDEX(Partidas!$A:$J,MATCH('Resultados dashboard'!$B103,Partidas!$C:$C,0),2)</f>
        <v>45325</v>
      </c>
      <c r="B103" s="56">
        <f>+IF(COUNTIF($B$2:B102,B102)=VLOOKUP(B102,Partidas!$C:$J,8,0),B102+1,B102)</f>
        <v>22</v>
      </c>
      <c r="C103" s="41" t="str">
        <f t="array" ref="C103">+INDEX(Partidas!$A:$J,MATCH('Resultados dashboard'!$B103,Partidas!$C:$C,0),3+COUNTIF($B$2:B103,'Resultados dashboard'!$B103))</f>
        <v>Max</v>
      </c>
      <c r="D103" s="54">
        <v>8</v>
      </c>
      <c r="E103" s="53"/>
      <c r="F103" s="53"/>
      <c r="G103" s="53"/>
      <c r="H103" s="38">
        <f t="shared" si="0"/>
        <v>8</v>
      </c>
      <c r="I103" s="38">
        <f t="shared" si="1"/>
        <v>3</v>
      </c>
      <c r="J103" s="55"/>
    </row>
    <row r="104" spans="1:10" ht="12.75" customHeight="1" x14ac:dyDescent="0.2">
      <c r="A104" s="50">
        <f t="array" ref="A104">+INDEX(Partidas!$A:$J,MATCH('Resultados dashboard'!$B104,Partidas!$C:$C,0),2)</f>
        <v>45325</v>
      </c>
      <c r="B104" s="56">
        <f>+IF(COUNTIF($B$2:B103,B103)=VLOOKUP(B103,Partidas!$C:$J,8,0),B103+1,B103)</f>
        <v>22</v>
      </c>
      <c r="C104" s="41" t="str">
        <f t="array" ref="C104">+INDEX(Partidas!$A:$J,MATCH('Resultados dashboard'!$B104,Partidas!$C:$C,0),3+COUNTIF($B$2:B104,'Resultados dashboard'!$B104))</f>
        <v>Gaspa</v>
      </c>
      <c r="D104" s="54">
        <v>6</v>
      </c>
      <c r="E104" s="54">
        <v>1</v>
      </c>
      <c r="F104" s="54">
        <v>1</v>
      </c>
      <c r="G104" s="53"/>
      <c r="H104" s="38">
        <f t="shared" si="0"/>
        <v>9</v>
      </c>
      <c r="I104" s="38">
        <f t="shared" si="1"/>
        <v>2</v>
      </c>
      <c r="J104" s="55"/>
    </row>
    <row r="105" spans="1:10" ht="12.75" customHeight="1" x14ac:dyDescent="0.2">
      <c r="A105" s="50">
        <f t="array" ref="A105">+INDEX(Partidas!$A:$J,MATCH('Resultados dashboard'!$B105,Partidas!$C:$C,0),2)</f>
        <v>45332</v>
      </c>
      <c r="B105" s="56">
        <f>+IF(COUNTIF($B$2:B104,B104)=VLOOKUP(B104,Partidas!$C:$J,8,0),B104+1,B104)</f>
        <v>23</v>
      </c>
      <c r="C105" s="41" t="str">
        <f t="array" ref="C105">+INDEX(Partidas!$A:$J,MATCH('Resultados dashboard'!$B105,Partidas!$C:$C,0),3+COUNTIF($B$2:B105,'Resultados dashboard'!$B105))</f>
        <v>Gallo</v>
      </c>
      <c r="D105" s="54">
        <v>7</v>
      </c>
      <c r="E105" s="54">
        <v>1</v>
      </c>
      <c r="F105" s="54">
        <v>1</v>
      </c>
      <c r="G105" s="53"/>
      <c r="H105" s="38">
        <f t="shared" si="0"/>
        <v>10</v>
      </c>
      <c r="I105" s="38">
        <f t="shared" si="1"/>
        <v>1</v>
      </c>
      <c r="J105" s="55"/>
    </row>
    <row r="106" spans="1:10" ht="12.75" customHeight="1" x14ac:dyDescent="0.2">
      <c r="A106" s="50">
        <f t="array" ref="A106">+INDEX(Partidas!$A:$J,MATCH('Resultados dashboard'!$B106,Partidas!$C:$C,0),2)</f>
        <v>45332</v>
      </c>
      <c r="B106" s="56">
        <f>+IF(COUNTIF($B$2:B105,B105)=VLOOKUP(B105,Partidas!$C:$J,8,0),B105+1,B105)</f>
        <v>23</v>
      </c>
      <c r="C106" s="41" t="str">
        <f t="array" ref="C106">+INDEX(Partidas!$A:$J,MATCH('Resultados dashboard'!$B106,Partidas!$C:$C,0),3+COUNTIF($B$2:B106,'Resultados dashboard'!$B106))</f>
        <v>Gaspa</v>
      </c>
      <c r="D106" s="54">
        <v>4</v>
      </c>
      <c r="E106" s="54">
        <v>1</v>
      </c>
      <c r="F106" s="53"/>
      <c r="G106" s="54">
        <v>1</v>
      </c>
      <c r="H106" s="38">
        <f t="shared" si="0"/>
        <v>7</v>
      </c>
      <c r="I106" s="38">
        <f t="shared" si="1"/>
        <v>3</v>
      </c>
      <c r="J106" s="55"/>
    </row>
    <row r="107" spans="1:10" ht="12.75" customHeight="1" x14ac:dyDescent="0.2">
      <c r="A107" s="50">
        <f t="array" ref="A107">+INDEX(Partidas!$A:$J,MATCH('Resultados dashboard'!$B107,Partidas!$C:$C,0),2)</f>
        <v>45332</v>
      </c>
      <c r="B107" s="56">
        <f>+IF(COUNTIF($B$2:B106,B106)=VLOOKUP(B106,Partidas!$C:$J,8,0),B106+1,B106)</f>
        <v>23</v>
      </c>
      <c r="C107" s="41" t="str">
        <f t="array" ref="C107">+INDEX(Partidas!$A:$J,MATCH('Resultados dashboard'!$B107,Partidas!$C:$C,0),3+COUNTIF($B$2:B107,'Resultados dashboard'!$B107))</f>
        <v>Max</v>
      </c>
      <c r="D107" s="54">
        <v>6</v>
      </c>
      <c r="E107" s="54">
        <v>1</v>
      </c>
      <c r="F107" s="53"/>
      <c r="G107" s="53"/>
      <c r="H107" s="38">
        <f t="shared" si="0"/>
        <v>7</v>
      </c>
      <c r="I107" s="38">
        <f t="shared" si="1"/>
        <v>3</v>
      </c>
      <c r="J107" s="55"/>
    </row>
    <row r="108" spans="1:10" ht="12.75" customHeight="1" x14ac:dyDescent="0.2">
      <c r="A108" s="50">
        <f t="array" ref="A108">+INDEX(Partidas!$A:$J,MATCH('Resultados dashboard'!$B108,Partidas!$C:$C,0),2)</f>
        <v>45332</v>
      </c>
      <c r="B108" s="56">
        <f>+IF(COUNTIF($B$2:B107,B107)=VLOOKUP(B107,Partidas!$C:$J,8,0),B107+1,B107)</f>
        <v>23</v>
      </c>
      <c r="C108" s="41" t="str">
        <f t="array" ref="C108">+INDEX(Partidas!$A:$J,MATCH('Resultados dashboard'!$B108,Partidas!$C:$C,0),3+COUNTIF($B$2:B108,'Resultados dashboard'!$B108))</f>
        <v>Hugo</v>
      </c>
      <c r="D108" s="54">
        <v>8</v>
      </c>
      <c r="E108" s="53"/>
      <c r="F108" s="53"/>
      <c r="G108" s="53"/>
      <c r="H108" s="38">
        <f t="shared" si="0"/>
        <v>8</v>
      </c>
      <c r="I108" s="38">
        <f t="shared" si="1"/>
        <v>2</v>
      </c>
      <c r="J108" s="55"/>
    </row>
    <row r="109" spans="1:10" ht="12.75" customHeight="1" x14ac:dyDescent="0.2">
      <c r="A109" s="50">
        <f t="array" ref="A109">+INDEX(Partidas!$A:$J,MATCH('Resultados dashboard'!$B109,Partidas!$C:$C,0),2)</f>
        <v>45332</v>
      </c>
      <c r="B109" s="56">
        <f>+IF(COUNTIF($B$2:B108,B108)=VLOOKUP(B108,Partidas!$C:$J,8,0),B108+1,B108)</f>
        <v>24</v>
      </c>
      <c r="C109" s="41" t="str">
        <f t="array" ref="C109">+INDEX(Partidas!$A:$J,MATCH('Resultados dashboard'!$B109,Partidas!$C:$C,0),3+COUNTIF($B$2:B109,'Resultados dashboard'!$B109))</f>
        <v>Gallo</v>
      </c>
      <c r="D109" s="54">
        <v>5</v>
      </c>
      <c r="E109" s="54">
        <v>1</v>
      </c>
      <c r="F109" s="53"/>
      <c r="G109" s="53"/>
      <c r="H109" s="38">
        <f t="shared" si="0"/>
        <v>6</v>
      </c>
      <c r="I109" s="38">
        <f t="shared" si="1"/>
        <v>4</v>
      </c>
      <c r="J109" s="55"/>
    </row>
    <row r="110" spans="1:10" ht="12.75" customHeight="1" x14ac:dyDescent="0.2">
      <c r="A110" s="50">
        <f t="array" ref="A110">+INDEX(Partidas!$A:$J,MATCH('Resultados dashboard'!$B110,Partidas!$C:$C,0),2)</f>
        <v>45332</v>
      </c>
      <c r="B110" s="56">
        <f>+IF(COUNTIF($B$2:B109,B109)=VLOOKUP(B109,Partidas!$C:$J,8,0),B109+1,B109)</f>
        <v>24</v>
      </c>
      <c r="C110" s="41" t="str">
        <f t="array" ref="C110">+INDEX(Partidas!$A:$J,MATCH('Resultados dashboard'!$B110,Partidas!$C:$C,0),3+COUNTIF($B$2:B110,'Resultados dashboard'!$B110))</f>
        <v>Gaspa</v>
      </c>
      <c r="D110" s="54">
        <v>4</v>
      </c>
      <c r="E110" s="54">
        <v>1</v>
      </c>
      <c r="F110" s="54">
        <v>1</v>
      </c>
      <c r="G110" s="53"/>
      <c r="H110" s="38">
        <f t="shared" si="0"/>
        <v>7</v>
      </c>
      <c r="I110" s="38">
        <f t="shared" si="1"/>
        <v>3</v>
      </c>
      <c r="J110" s="55"/>
    </row>
    <row r="111" spans="1:10" ht="12.75" customHeight="1" x14ac:dyDescent="0.2">
      <c r="A111" s="50">
        <f t="array" ref="A111">+INDEX(Partidas!$A:$J,MATCH('Resultados dashboard'!$B111,Partidas!$C:$C,0),2)</f>
        <v>45332</v>
      </c>
      <c r="B111" s="56">
        <f>+IF(COUNTIF($B$2:B110,B110)=VLOOKUP(B110,Partidas!$C:$J,8,0),B110+1,B110)</f>
        <v>24</v>
      </c>
      <c r="C111" s="41" t="str">
        <f t="array" ref="C111">+INDEX(Partidas!$A:$J,MATCH('Resultados dashboard'!$B111,Partidas!$C:$C,0),3+COUNTIF($B$2:B111,'Resultados dashboard'!$B111))</f>
        <v>Max</v>
      </c>
      <c r="D111" s="54">
        <v>8</v>
      </c>
      <c r="E111" s="54">
        <v>1</v>
      </c>
      <c r="F111" s="53"/>
      <c r="G111" s="53"/>
      <c r="H111" s="38">
        <f t="shared" si="0"/>
        <v>9</v>
      </c>
      <c r="I111" s="38">
        <f t="shared" si="1"/>
        <v>2</v>
      </c>
      <c r="J111" s="55"/>
    </row>
    <row r="112" spans="1:10" ht="12.75" customHeight="1" x14ac:dyDescent="0.2">
      <c r="A112" s="50">
        <f t="array" ref="A112">+INDEX(Partidas!$A:$J,MATCH('Resultados dashboard'!$B112,Partidas!$C:$C,0),2)</f>
        <v>45332</v>
      </c>
      <c r="B112" s="56">
        <f>+IF(COUNTIF($B$2:B111,B111)=VLOOKUP(B111,Partidas!$C:$J,8,0),B111+1,B111)</f>
        <v>24</v>
      </c>
      <c r="C112" s="41" t="str">
        <f t="array" ref="C112">+INDEX(Partidas!$A:$J,MATCH('Resultados dashboard'!$B112,Partidas!$C:$C,0),3+COUNTIF($B$2:B112,'Resultados dashboard'!$B112))</f>
        <v>Hugo</v>
      </c>
      <c r="D112" s="54">
        <v>8</v>
      </c>
      <c r="E112" s="54"/>
      <c r="F112" s="53"/>
      <c r="G112" s="54">
        <v>1</v>
      </c>
      <c r="H112" s="38">
        <f t="shared" si="0"/>
        <v>10</v>
      </c>
      <c r="I112" s="38">
        <f t="shared" si="1"/>
        <v>1</v>
      </c>
      <c r="J112" s="55"/>
    </row>
    <row r="113" spans="1:10" ht="12.75" customHeight="1" x14ac:dyDescent="0.2">
      <c r="A113" s="50">
        <f t="array" ref="A113">+INDEX(Partidas!$A:$J,MATCH('Resultados dashboard'!$B113,Partidas!$C:$C,0),2)</f>
        <v>45332</v>
      </c>
      <c r="B113" s="56">
        <f>+IF(COUNTIF($B$2:B112,B112)=VLOOKUP(B112,Partidas!$C:$J,8,0),B112+1,B112)</f>
        <v>25</v>
      </c>
      <c r="C113" s="41" t="str">
        <f t="array" ref="C113">+INDEX(Partidas!$A:$J,MATCH('Resultados dashboard'!$B113,Partidas!$C:$C,0),3+COUNTIF($B$2:B113,'Resultados dashboard'!$B113))</f>
        <v>Gallo</v>
      </c>
      <c r="D113" s="54">
        <v>7</v>
      </c>
      <c r="E113" s="54">
        <v>1</v>
      </c>
      <c r="F113" s="53"/>
      <c r="G113" s="54">
        <v>1</v>
      </c>
      <c r="H113" s="38">
        <f t="shared" si="0"/>
        <v>10</v>
      </c>
      <c r="I113" s="38">
        <f t="shared" si="1"/>
        <v>1</v>
      </c>
      <c r="J113" s="55"/>
    </row>
    <row r="114" spans="1:10" ht="12.75" customHeight="1" x14ac:dyDescent="0.2">
      <c r="A114" s="50">
        <f t="array" ref="A114">+INDEX(Partidas!$A:$J,MATCH('Resultados dashboard'!$B114,Partidas!$C:$C,0),2)</f>
        <v>45332</v>
      </c>
      <c r="B114" s="56">
        <f>+IF(COUNTIF($B$2:B113,B113)=VLOOKUP(B113,Partidas!$C:$J,8,0),B113+1,B113)</f>
        <v>25</v>
      </c>
      <c r="C114" s="41" t="str">
        <f t="array" ref="C114">+INDEX(Partidas!$A:$J,MATCH('Resultados dashboard'!$B114,Partidas!$C:$C,0),3+COUNTIF($B$2:B114,'Resultados dashboard'!$B114))</f>
        <v>Gaspa</v>
      </c>
      <c r="D114" s="54">
        <v>6</v>
      </c>
      <c r="E114" s="54">
        <v>1</v>
      </c>
      <c r="F114" s="54">
        <v>1</v>
      </c>
      <c r="G114" s="53"/>
      <c r="H114" s="38">
        <f t="shared" si="0"/>
        <v>9</v>
      </c>
      <c r="I114" s="38">
        <f t="shared" si="1"/>
        <v>2</v>
      </c>
      <c r="J114" s="55"/>
    </row>
    <row r="115" spans="1:10" ht="12.75" customHeight="1" x14ac:dyDescent="0.2">
      <c r="A115" s="50">
        <f t="array" ref="A115">+INDEX(Partidas!$A:$J,MATCH('Resultados dashboard'!$B115,Partidas!$C:$C,0),2)</f>
        <v>45332</v>
      </c>
      <c r="B115" s="56">
        <f>+IF(COUNTIF($B$2:B114,B114)=VLOOKUP(B114,Partidas!$C:$J,8,0),B114+1,B114)</f>
        <v>25</v>
      </c>
      <c r="C115" s="41" t="str">
        <f t="array" ref="C115">+INDEX(Partidas!$A:$J,MATCH('Resultados dashboard'!$B115,Partidas!$C:$C,0),3+COUNTIF($B$2:B115,'Resultados dashboard'!$B115))</f>
        <v>Max</v>
      </c>
      <c r="D115" s="54">
        <v>6</v>
      </c>
      <c r="E115" s="53"/>
      <c r="F115" s="53"/>
      <c r="G115" s="53"/>
      <c r="H115" s="38">
        <f t="shared" si="0"/>
        <v>6</v>
      </c>
      <c r="I115" s="38">
        <f t="shared" si="1"/>
        <v>4</v>
      </c>
      <c r="J115" s="55"/>
    </row>
    <row r="116" spans="1:10" ht="12.75" customHeight="1" x14ac:dyDescent="0.2">
      <c r="A116" s="50">
        <f t="array" ref="A116">+INDEX(Partidas!$A:$J,MATCH('Resultados dashboard'!$B116,Partidas!$C:$C,0),2)</f>
        <v>45332</v>
      </c>
      <c r="B116" s="56">
        <f>+IF(COUNTIF($B$2:B115,B115)=VLOOKUP(B115,Partidas!$C:$J,8,0),B115+1,B115)</f>
        <v>25</v>
      </c>
      <c r="C116" s="41" t="str">
        <f t="array" ref="C116">+INDEX(Partidas!$A:$J,MATCH('Resultados dashboard'!$B116,Partidas!$C:$C,0),3+COUNTIF($B$2:B116,'Resultados dashboard'!$B116))</f>
        <v>Hugo</v>
      </c>
      <c r="D116" s="54">
        <v>6</v>
      </c>
      <c r="E116" s="54">
        <v>1</v>
      </c>
      <c r="F116" s="53"/>
      <c r="G116" s="53"/>
      <c r="H116" s="38">
        <f t="shared" si="0"/>
        <v>7</v>
      </c>
      <c r="I116" s="38">
        <f t="shared" si="1"/>
        <v>3</v>
      </c>
      <c r="J116" s="55"/>
    </row>
    <row r="117" spans="1:10" ht="12.75" customHeight="1" x14ac:dyDescent="0.2">
      <c r="A117" s="50">
        <f t="array" ref="A117">+INDEX(Partidas!$A:$J,MATCH('Resultados dashboard'!$B117,Partidas!$C:$C,0),2)</f>
        <v>45332</v>
      </c>
      <c r="B117" s="56">
        <f>+IF(COUNTIF($B$2:B116,B116)=VLOOKUP(B116,Partidas!$C:$J,8,0),B116+1,B116)</f>
        <v>26</v>
      </c>
      <c r="C117" s="41" t="str">
        <f t="array" ref="C117">+INDEX(Partidas!$A:$J,MATCH('Resultados dashboard'!$B117,Partidas!$C:$C,0),3+COUNTIF($B$2:B117,'Resultados dashboard'!$B117))</f>
        <v>Gallo</v>
      </c>
      <c r="D117" s="54">
        <v>6</v>
      </c>
      <c r="E117" s="54">
        <v>2</v>
      </c>
      <c r="F117" s="53"/>
      <c r="G117" s="54">
        <v>1</v>
      </c>
      <c r="H117" s="38">
        <f t="shared" si="0"/>
        <v>10</v>
      </c>
      <c r="I117" s="38">
        <f t="shared" si="1"/>
        <v>1</v>
      </c>
      <c r="J117" s="55"/>
    </row>
    <row r="118" spans="1:10" ht="12.75" customHeight="1" x14ac:dyDescent="0.2">
      <c r="A118" s="50">
        <f t="array" ref="A118">+INDEX(Partidas!$A:$J,MATCH('Resultados dashboard'!$B118,Partidas!$C:$C,0),2)</f>
        <v>45332</v>
      </c>
      <c r="B118" s="56">
        <f>+IF(COUNTIF($B$2:B117,B117)=VLOOKUP(B117,Partidas!$C:$J,8,0),B117+1,B117)</f>
        <v>26</v>
      </c>
      <c r="C118" s="41" t="str">
        <f t="array" ref="C118">+INDEX(Partidas!$A:$J,MATCH('Resultados dashboard'!$B118,Partidas!$C:$C,0),3+COUNTIF($B$2:B118,'Resultados dashboard'!$B118))</f>
        <v>Gaspa</v>
      </c>
      <c r="D118" s="54">
        <v>5</v>
      </c>
      <c r="E118" s="53"/>
      <c r="F118" s="53"/>
      <c r="G118" s="53"/>
      <c r="H118" s="38">
        <f t="shared" si="0"/>
        <v>5</v>
      </c>
      <c r="I118" s="38">
        <f t="shared" si="1"/>
        <v>3</v>
      </c>
      <c r="J118" s="55"/>
    </row>
    <row r="119" spans="1:10" ht="12.75" customHeight="1" x14ac:dyDescent="0.2">
      <c r="A119" s="50">
        <f t="array" ref="A119">+INDEX(Partidas!$A:$J,MATCH('Resultados dashboard'!$B119,Partidas!$C:$C,0),2)</f>
        <v>45332</v>
      </c>
      <c r="B119" s="56">
        <f>+IF(COUNTIF($B$2:B118,B118)=VLOOKUP(B118,Partidas!$C:$J,8,0),B118+1,B118)</f>
        <v>26</v>
      </c>
      <c r="C119" s="41" t="str">
        <f t="array" ref="C119">+INDEX(Partidas!$A:$J,MATCH('Resultados dashboard'!$B119,Partidas!$C:$C,0),3+COUNTIF($B$2:B119,'Resultados dashboard'!$B119))</f>
        <v>Max</v>
      </c>
      <c r="D119" s="54">
        <v>5</v>
      </c>
      <c r="E119" s="53"/>
      <c r="F119" s="53"/>
      <c r="G119" s="53"/>
      <c r="H119" s="38">
        <f t="shared" si="0"/>
        <v>5</v>
      </c>
      <c r="I119" s="38">
        <f t="shared" si="1"/>
        <v>3</v>
      </c>
      <c r="J119" s="55"/>
    </row>
    <row r="120" spans="1:10" ht="12.75" customHeight="1" x14ac:dyDescent="0.2">
      <c r="A120" s="50">
        <f t="array" ref="A120">+INDEX(Partidas!$A:$J,MATCH('Resultados dashboard'!$B120,Partidas!$C:$C,0),2)</f>
        <v>45332</v>
      </c>
      <c r="B120" s="56">
        <f>+IF(COUNTIF($B$2:B119,B119)=VLOOKUP(B119,Partidas!$C:$J,8,0),B119+1,B119)</f>
        <v>26</v>
      </c>
      <c r="C120" s="41" t="str">
        <f t="array" ref="C120">+INDEX(Partidas!$A:$J,MATCH('Resultados dashboard'!$B120,Partidas!$C:$C,0),3+COUNTIF($B$2:B120,'Resultados dashboard'!$B120))</f>
        <v>Hugo</v>
      </c>
      <c r="D120" s="54">
        <v>3</v>
      </c>
      <c r="E120" s="54">
        <v>1</v>
      </c>
      <c r="F120" s="54">
        <v>1</v>
      </c>
      <c r="G120" s="53"/>
      <c r="H120" s="38">
        <f t="shared" si="0"/>
        <v>6</v>
      </c>
      <c r="I120" s="38">
        <f t="shared" si="1"/>
        <v>2</v>
      </c>
      <c r="J120" s="55"/>
    </row>
    <row r="121" spans="1:10" ht="12.75" customHeight="1" x14ac:dyDescent="0.2">
      <c r="A121" s="50">
        <f t="array" ref="A121">+INDEX(Partidas!$A:$J,MATCH('Resultados dashboard'!$B121,Partidas!$C:$C,0),2)</f>
        <v>45332</v>
      </c>
      <c r="B121" s="56">
        <f>+IF(COUNTIF($B$2:B120,B120)=VLOOKUP(B120,Partidas!$C:$J,8,0),B120+1,B120)</f>
        <v>27</v>
      </c>
      <c r="C121" s="41" t="str">
        <f t="array" ref="C121">+INDEX(Partidas!$A:$J,MATCH('Resultados dashboard'!$B121,Partidas!$C:$C,0),3+COUNTIF($B$2:B121,'Resultados dashboard'!$B121))</f>
        <v>Gallo</v>
      </c>
      <c r="D121" s="54">
        <v>4</v>
      </c>
      <c r="E121" s="53"/>
      <c r="F121" s="53"/>
      <c r="G121" s="53"/>
      <c r="H121" s="38">
        <f t="shared" si="0"/>
        <v>4</v>
      </c>
      <c r="I121" s="38">
        <f t="shared" si="1"/>
        <v>3</v>
      </c>
      <c r="J121" s="55"/>
    </row>
    <row r="122" spans="1:10" ht="12.75" customHeight="1" x14ac:dyDescent="0.2">
      <c r="A122" s="50">
        <f t="array" ref="A122">+INDEX(Partidas!$A:$J,MATCH('Resultados dashboard'!$B122,Partidas!$C:$C,0),2)</f>
        <v>45332</v>
      </c>
      <c r="B122" s="56">
        <f>+IF(COUNTIF($B$2:B121,B121)=VLOOKUP(B121,Partidas!$C:$J,8,0),B121+1,B121)</f>
        <v>27</v>
      </c>
      <c r="C122" s="41" t="str">
        <f t="array" ref="C122">+INDEX(Partidas!$A:$J,MATCH('Resultados dashboard'!$B122,Partidas!$C:$C,0),3+COUNTIF($B$2:B122,'Resultados dashboard'!$B122))</f>
        <v>Gaspa</v>
      </c>
      <c r="D122" s="54">
        <v>2</v>
      </c>
      <c r="E122" s="53"/>
      <c r="F122" s="53"/>
      <c r="G122" s="53"/>
      <c r="H122" s="38">
        <f t="shared" si="0"/>
        <v>2</v>
      </c>
      <c r="I122" s="38">
        <f t="shared" si="1"/>
        <v>4</v>
      </c>
      <c r="J122" s="55"/>
    </row>
    <row r="123" spans="1:10" ht="12.75" customHeight="1" x14ac:dyDescent="0.2">
      <c r="A123" s="50">
        <f t="array" ref="A123">+INDEX(Partidas!$A:$J,MATCH('Resultados dashboard'!$B123,Partidas!$C:$C,0),2)</f>
        <v>45332</v>
      </c>
      <c r="B123" s="56">
        <f>+IF(COUNTIF($B$2:B122,B122)=VLOOKUP(B122,Partidas!$C:$J,8,0),B122+1,B122)</f>
        <v>27</v>
      </c>
      <c r="C123" s="41" t="str">
        <f t="array" ref="C123">+INDEX(Partidas!$A:$J,MATCH('Resultados dashboard'!$B123,Partidas!$C:$C,0),3+COUNTIF($B$2:B123,'Resultados dashboard'!$B123))</f>
        <v>Max</v>
      </c>
      <c r="D123" s="54">
        <v>5</v>
      </c>
      <c r="E123" s="54">
        <v>1</v>
      </c>
      <c r="F123" s="54">
        <v>1</v>
      </c>
      <c r="G123" s="54">
        <v>1</v>
      </c>
      <c r="H123" s="38">
        <f t="shared" si="0"/>
        <v>10</v>
      </c>
      <c r="I123" s="38">
        <f t="shared" si="1"/>
        <v>1</v>
      </c>
      <c r="J123" s="55"/>
    </row>
    <row r="124" spans="1:10" ht="12.75" customHeight="1" x14ac:dyDescent="0.2">
      <c r="A124" s="50">
        <f t="array" ref="A124">+INDEX(Partidas!$A:$J,MATCH('Resultados dashboard'!$B124,Partidas!$C:$C,0),2)</f>
        <v>45332</v>
      </c>
      <c r="B124" s="56">
        <f>+IF(COUNTIF($B$2:B123,B123)=VLOOKUP(B123,Partidas!$C:$J,8,0),B123+1,B123)</f>
        <v>27</v>
      </c>
      <c r="C124" s="41" t="str">
        <f t="array" ref="C124">+INDEX(Partidas!$A:$J,MATCH('Resultados dashboard'!$B124,Partidas!$C:$C,0),3+COUNTIF($B$2:B124,'Resultados dashboard'!$B124))</f>
        <v>Hugo</v>
      </c>
      <c r="D124" s="54">
        <v>7</v>
      </c>
      <c r="E124" s="53"/>
      <c r="F124" s="53"/>
      <c r="G124" s="53"/>
      <c r="H124" s="38">
        <f t="shared" si="0"/>
        <v>7</v>
      </c>
      <c r="I124" s="38">
        <f t="shared" si="1"/>
        <v>2</v>
      </c>
      <c r="J124" s="55"/>
    </row>
    <row r="125" spans="1:10" ht="12.75" customHeight="1" x14ac:dyDescent="0.2">
      <c r="A125" s="50">
        <f t="array" ref="A125">+INDEX(Partidas!$A:$J,MATCH('Resultados dashboard'!$B125,Partidas!$C:$C,0),2)</f>
        <v>45339</v>
      </c>
      <c r="B125" s="56">
        <f>+IF(COUNTIF($B$2:B124,B124)=VLOOKUP(B124,Partidas!$C:$J,8,0),B124+1,B124)</f>
        <v>28</v>
      </c>
      <c r="C125" s="41" t="str">
        <f t="array" ref="C125">+INDEX(Partidas!$A:$J,MATCH('Resultados dashboard'!$B125,Partidas!$C:$C,0),3+COUNTIF($B$2:B125,'Resultados dashboard'!$B125))</f>
        <v>Gallo</v>
      </c>
      <c r="D125" s="54">
        <v>5</v>
      </c>
      <c r="E125" s="54">
        <v>1</v>
      </c>
      <c r="F125" s="53"/>
      <c r="G125" s="53"/>
      <c r="H125" s="38">
        <f t="shared" si="0"/>
        <v>6</v>
      </c>
      <c r="I125" s="38">
        <f t="shared" si="1"/>
        <v>4</v>
      </c>
      <c r="J125" s="55"/>
    </row>
    <row r="126" spans="1:10" ht="12.75" customHeight="1" x14ac:dyDescent="0.2">
      <c r="A126" s="50">
        <f t="array" ref="A126">+INDEX(Partidas!$A:$J,MATCH('Resultados dashboard'!$B126,Partidas!$C:$C,0),2)</f>
        <v>45339</v>
      </c>
      <c r="B126" s="56">
        <f>+IF(COUNTIF($B$2:B125,B125)=VLOOKUP(B125,Partidas!$C:$J,8,0),B125+1,B125)</f>
        <v>28</v>
      </c>
      <c r="C126" s="41" t="str">
        <f t="array" ref="C126">+INDEX(Partidas!$A:$J,MATCH('Resultados dashboard'!$B126,Partidas!$C:$C,0),3+COUNTIF($B$2:B126,'Resultados dashboard'!$B126))</f>
        <v>Gaspa</v>
      </c>
      <c r="D126" s="54">
        <v>6</v>
      </c>
      <c r="E126" s="54">
        <v>2</v>
      </c>
      <c r="F126" s="54">
        <v>1</v>
      </c>
      <c r="G126" s="53"/>
      <c r="H126" s="38">
        <f t="shared" si="0"/>
        <v>10</v>
      </c>
      <c r="I126" s="38">
        <f t="shared" si="1"/>
        <v>1</v>
      </c>
      <c r="J126" s="55"/>
    </row>
    <row r="127" spans="1:10" ht="12.75" customHeight="1" x14ac:dyDescent="0.2">
      <c r="A127" s="50">
        <f t="array" ref="A127">+INDEX(Partidas!$A:$J,MATCH('Resultados dashboard'!$B127,Partidas!$C:$C,0),2)</f>
        <v>45339</v>
      </c>
      <c r="B127" s="56">
        <f>+IF(COUNTIF($B$2:B126,B126)=VLOOKUP(B126,Partidas!$C:$J,8,0),B126+1,B126)</f>
        <v>28</v>
      </c>
      <c r="C127" s="41" t="str">
        <f t="array" ref="C127">+INDEX(Partidas!$A:$J,MATCH('Resultados dashboard'!$B127,Partidas!$C:$C,0),3+COUNTIF($B$2:B127,'Resultados dashboard'!$B127))</f>
        <v>Max</v>
      </c>
      <c r="D127" s="54">
        <v>6</v>
      </c>
      <c r="E127" s="54">
        <v>1</v>
      </c>
      <c r="F127" s="54"/>
      <c r="G127" s="54">
        <v>1</v>
      </c>
      <c r="H127" s="38">
        <f t="shared" si="0"/>
        <v>9</v>
      </c>
      <c r="I127" s="38">
        <f t="shared" si="1"/>
        <v>2</v>
      </c>
      <c r="J127" s="55"/>
    </row>
    <row r="128" spans="1:10" ht="12.75" customHeight="1" x14ac:dyDescent="0.2">
      <c r="A128" s="50">
        <f t="array" ref="A128">+INDEX(Partidas!$A:$J,MATCH('Resultados dashboard'!$B128,Partidas!$C:$C,0),2)</f>
        <v>45339</v>
      </c>
      <c r="B128" s="56">
        <f>+IF(COUNTIF($B$2:B127,B127)=VLOOKUP(B127,Partidas!$C:$J,8,0),B127+1,B127)</f>
        <v>28</v>
      </c>
      <c r="C128" s="41" t="str">
        <f t="array" ref="C128">+INDEX(Partidas!$A:$J,MATCH('Resultados dashboard'!$B128,Partidas!$C:$C,0),3+COUNTIF($B$2:B128,'Resultados dashboard'!$B128))</f>
        <v>Sofi</v>
      </c>
      <c r="D128" s="54">
        <v>7</v>
      </c>
      <c r="E128" s="53"/>
      <c r="F128" s="53"/>
      <c r="G128" s="53"/>
      <c r="H128" s="38">
        <f t="shared" si="0"/>
        <v>7</v>
      </c>
      <c r="I128" s="38">
        <f t="shared" si="1"/>
        <v>3</v>
      </c>
      <c r="J128" s="55"/>
    </row>
    <row r="129" spans="1:10" ht="12.75" customHeight="1" x14ac:dyDescent="0.2">
      <c r="A129" s="50">
        <f t="array" ref="A129">+INDEX(Partidas!$A:$J,MATCH('Resultados dashboard'!$B129,Partidas!$C:$C,0),2)</f>
        <v>45339</v>
      </c>
      <c r="B129" s="56">
        <f>+IF(COUNTIF($B$2:B128,B128)=VLOOKUP(B128,Partidas!$C:$J,8,0),B128+1,B128)</f>
        <v>29</v>
      </c>
      <c r="C129" s="41" t="str">
        <f t="array" ref="C129">+INDEX(Partidas!$A:$J,MATCH('Resultados dashboard'!$B129,Partidas!$C:$C,0),3+COUNTIF($B$2:B129,'Resultados dashboard'!$B129))</f>
        <v>Ivo</v>
      </c>
      <c r="D129" s="54">
        <v>7</v>
      </c>
      <c r="E129" s="54">
        <v>1</v>
      </c>
      <c r="F129" s="53"/>
      <c r="G129" s="53"/>
      <c r="H129" s="38">
        <f t="shared" si="0"/>
        <v>8</v>
      </c>
      <c r="I129" s="38">
        <f t="shared" si="1"/>
        <v>2</v>
      </c>
      <c r="J129" s="55"/>
    </row>
    <row r="130" spans="1:10" ht="12.75" customHeight="1" x14ac:dyDescent="0.2">
      <c r="A130" s="50">
        <f t="array" ref="A130">+INDEX(Partidas!$A:$J,MATCH('Resultados dashboard'!$B130,Partidas!$C:$C,0),2)</f>
        <v>45339</v>
      </c>
      <c r="B130" s="56">
        <f>+IF(COUNTIF($B$2:B129,B129)=VLOOKUP(B129,Partidas!$C:$J,8,0),B129+1,B129)</f>
        <v>29</v>
      </c>
      <c r="C130" s="41" t="str">
        <f t="array" ref="C130">+INDEX(Partidas!$A:$J,MATCH('Resultados dashboard'!$B130,Partidas!$C:$C,0),3+COUNTIF($B$2:B130,'Resultados dashboard'!$B130))</f>
        <v>Hugo</v>
      </c>
      <c r="D130" s="54">
        <v>7</v>
      </c>
      <c r="E130" s="53"/>
      <c r="F130" s="53"/>
      <c r="G130" s="53"/>
      <c r="H130" s="38">
        <f t="shared" si="0"/>
        <v>7</v>
      </c>
      <c r="I130" s="38">
        <f t="shared" si="1"/>
        <v>4</v>
      </c>
      <c r="J130" s="55"/>
    </row>
    <row r="131" spans="1:10" ht="12.75" customHeight="1" x14ac:dyDescent="0.2">
      <c r="A131" s="50">
        <f t="array" ref="A131">+INDEX(Partidas!$A:$J,MATCH('Resultados dashboard'!$B131,Partidas!$C:$C,0),2)</f>
        <v>45339</v>
      </c>
      <c r="B131" s="56">
        <f>+IF(COUNTIF($B$2:B130,B130)=VLOOKUP(B130,Partidas!$C:$J,8,0),B130+1,B130)</f>
        <v>29</v>
      </c>
      <c r="C131" s="41" t="str">
        <f t="array" ref="C131">+INDEX(Partidas!$A:$J,MATCH('Resultados dashboard'!$B131,Partidas!$C:$C,0),3+COUNTIF($B$2:B131,'Resultados dashboard'!$B131))</f>
        <v>Moch</v>
      </c>
      <c r="D131" s="54">
        <v>6</v>
      </c>
      <c r="E131" s="54">
        <v>1</v>
      </c>
      <c r="F131" s="54"/>
      <c r="G131" s="54"/>
      <c r="H131" s="38">
        <f t="shared" si="0"/>
        <v>7</v>
      </c>
      <c r="I131" s="38">
        <f t="shared" si="1"/>
        <v>4</v>
      </c>
      <c r="J131" s="55"/>
    </row>
    <row r="132" spans="1:10" ht="12.75" customHeight="1" x14ac:dyDescent="0.2">
      <c r="A132" s="50">
        <f t="array" ref="A132">+INDEX(Partidas!$A:$J,MATCH('Resultados dashboard'!$B132,Partidas!$C:$C,0),2)</f>
        <v>45339</v>
      </c>
      <c r="B132" s="56">
        <f>+IF(COUNTIF($B$2:B131,B131)=VLOOKUP(B131,Partidas!$C:$J,8,0),B131+1,B131)</f>
        <v>29</v>
      </c>
      <c r="C132" s="41" t="str">
        <f t="array" ref="C132">+INDEX(Partidas!$A:$J,MATCH('Resultados dashboard'!$B132,Partidas!$C:$C,0),3+COUNTIF($B$2:B132,'Resultados dashboard'!$B132))</f>
        <v>Rodri</v>
      </c>
      <c r="D132" s="54">
        <v>8</v>
      </c>
      <c r="E132" s="53"/>
      <c r="F132" s="54">
        <v>1</v>
      </c>
      <c r="G132" s="53"/>
      <c r="H132" s="38">
        <f t="shared" si="0"/>
        <v>10</v>
      </c>
      <c r="I132" s="38">
        <f t="shared" si="1"/>
        <v>1</v>
      </c>
      <c r="J132" s="55"/>
    </row>
    <row r="133" spans="1:10" ht="12.75" customHeight="1" x14ac:dyDescent="0.2">
      <c r="A133" s="50">
        <f t="array" ref="A133">+INDEX(Partidas!$A:$J,MATCH('Resultados dashboard'!$B133,Partidas!$C:$C,0),2)</f>
        <v>45339</v>
      </c>
      <c r="B133" s="56">
        <f>+IF(COUNTIF($B$2:B132,B132)=VLOOKUP(B132,Partidas!$C:$J,8,0),B132+1,B132)</f>
        <v>29</v>
      </c>
      <c r="C133" s="41" t="str">
        <f t="array" ref="C133">+INDEX(Partidas!$A:$J,MATCH('Resultados dashboard'!$B133,Partidas!$C:$C,0),3+COUNTIF($B$2:B133,'Resultados dashboard'!$B133))</f>
        <v>Beto</v>
      </c>
      <c r="D133" s="54">
        <v>6</v>
      </c>
      <c r="E133" s="53"/>
      <c r="F133" s="53"/>
      <c r="G133" s="54">
        <v>1</v>
      </c>
      <c r="H133" s="38">
        <f t="shared" si="0"/>
        <v>8</v>
      </c>
      <c r="I133" s="38">
        <f t="shared" si="1"/>
        <v>2</v>
      </c>
      <c r="J133" s="55"/>
    </row>
    <row r="134" spans="1:10" ht="12.75" customHeight="1" x14ac:dyDescent="0.2">
      <c r="A134" s="50">
        <f t="array" ref="A134">+INDEX(Partidas!$A:$J,MATCH('Resultados dashboard'!$B134,Partidas!$C:$C,0),2)</f>
        <v>45339</v>
      </c>
      <c r="B134" s="56">
        <f>+IF(COUNTIF($B$2:B133,B133)=VLOOKUP(B133,Partidas!$C:$J,8,0),B133+1,B133)</f>
        <v>30</v>
      </c>
      <c r="C134" s="41" t="str">
        <f t="array" ref="C134">+INDEX(Partidas!$A:$J,MATCH('Resultados dashboard'!$B134,Partidas!$C:$C,0),3+COUNTIF($B$2:B134,'Resultados dashboard'!$B134))</f>
        <v>Gallo</v>
      </c>
      <c r="D134" s="54">
        <v>7</v>
      </c>
      <c r="E134" s="54">
        <v>1</v>
      </c>
      <c r="F134" s="53"/>
      <c r="G134" s="54">
        <v>1</v>
      </c>
      <c r="H134" s="38">
        <f t="shared" si="0"/>
        <v>10</v>
      </c>
      <c r="I134" s="38">
        <f t="shared" si="1"/>
        <v>1</v>
      </c>
      <c r="J134" s="55"/>
    </row>
    <row r="135" spans="1:10" ht="12.75" customHeight="1" x14ac:dyDescent="0.2">
      <c r="A135" s="50">
        <f t="array" ref="A135">+INDEX(Partidas!$A:$J,MATCH('Resultados dashboard'!$B135,Partidas!$C:$C,0),2)</f>
        <v>45339</v>
      </c>
      <c r="B135" s="56">
        <f>+IF(COUNTIF($B$2:B134,B134)=VLOOKUP(B134,Partidas!$C:$J,8,0),B134+1,B134)</f>
        <v>30</v>
      </c>
      <c r="C135" s="41" t="str">
        <f t="array" ref="C135">+INDEX(Partidas!$A:$J,MATCH('Resultados dashboard'!$B135,Partidas!$C:$C,0),3+COUNTIF($B$2:B135,'Resultados dashboard'!$B135))</f>
        <v>Gaspa</v>
      </c>
      <c r="D135" s="54">
        <v>5</v>
      </c>
      <c r="E135" s="54"/>
      <c r="F135" s="54"/>
      <c r="G135" s="54"/>
      <c r="H135" s="38">
        <f t="shared" si="0"/>
        <v>5</v>
      </c>
      <c r="I135" s="38">
        <f t="shared" si="1"/>
        <v>3</v>
      </c>
      <c r="J135" s="55"/>
    </row>
    <row r="136" spans="1:10" ht="12.75" customHeight="1" x14ac:dyDescent="0.2">
      <c r="A136" s="50">
        <f t="array" ref="A136">+INDEX(Partidas!$A:$J,MATCH('Resultados dashboard'!$B136,Partidas!$C:$C,0),2)</f>
        <v>45339</v>
      </c>
      <c r="B136" s="56">
        <f>+IF(COUNTIF($B$2:B135,B135)=VLOOKUP(B135,Partidas!$C:$J,8,0),B135+1,B135)</f>
        <v>30</v>
      </c>
      <c r="C136" s="41" t="str">
        <f t="array" ref="C136">+INDEX(Partidas!$A:$J,MATCH('Resultados dashboard'!$B136,Partidas!$C:$C,0),3+COUNTIF($B$2:B136,'Resultados dashboard'!$B136))</f>
        <v>Max</v>
      </c>
      <c r="D136" s="54">
        <v>5</v>
      </c>
      <c r="E136" s="53"/>
      <c r="F136" s="53"/>
      <c r="G136" s="53"/>
      <c r="H136" s="38">
        <f t="shared" si="0"/>
        <v>5</v>
      </c>
      <c r="I136" s="38">
        <f t="shared" si="1"/>
        <v>3</v>
      </c>
      <c r="J136" s="55"/>
    </row>
    <row r="137" spans="1:10" ht="12.75" customHeight="1" x14ac:dyDescent="0.2">
      <c r="A137" s="50">
        <f t="array" ref="A137">+INDEX(Partidas!$A:$J,MATCH('Resultados dashboard'!$B137,Partidas!$C:$C,0),2)</f>
        <v>45339</v>
      </c>
      <c r="B137" s="56">
        <f>+IF(COUNTIF($B$2:B136,B136)=VLOOKUP(B136,Partidas!$C:$J,8,0),B136+1,B136)</f>
        <v>30</v>
      </c>
      <c r="C137" s="41" t="str">
        <f t="array" ref="C137">+INDEX(Partidas!$A:$J,MATCH('Resultados dashboard'!$B137,Partidas!$C:$C,0),3+COUNTIF($B$2:B137,'Resultados dashboard'!$B137))</f>
        <v>Sofi</v>
      </c>
      <c r="D137" s="54">
        <v>5</v>
      </c>
      <c r="E137" s="53"/>
      <c r="F137" s="54">
        <v>1</v>
      </c>
      <c r="G137" s="53"/>
      <c r="H137" s="38">
        <f t="shared" si="0"/>
        <v>7</v>
      </c>
      <c r="I137" s="38">
        <f t="shared" si="1"/>
        <v>2</v>
      </c>
      <c r="J137" s="55"/>
    </row>
    <row r="138" spans="1:10" ht="12.75" customHeight="1" x14ac:dyDescent="0.2">
      <c r="A138" s="50">
        <f t="array" ref="A138">+INDEX(Partidas!$A:$J,MATCH('Resultados dashboard'!$B138,Partidas!$C:$C,0),2)</f>
        <v>45339</v>
      </c>
      <c r="B138" s="56">
        <f>+IF(COUNTIF($B$2:B137,B137)=VLOOKUP(B137,Partidas!$C:$J,8,0),B137+1,B137)</f>
        <v>31</v>
      </c>
      <c r="C138" s="41" t="str">
        <f t="array" ref="C138">+INDEX(Partidas!$A:$J,MATCH('Resultados dashboard'!$B138,Partidas!$C:$C,0),3+COUNTIF($B$2:B138,'Resultados dashboard'!$B138))</f>
        <v>Gallo</v>
      </c>
      <c r="D138" s="54">
        <v>6</v>
      </c>
      <c r="E138" s="53"/>
      <c r="F138" s="53"/>
      <c r="G138" s="53"/>
      <c r="H138" s="38">
        <f t="shared" si="0"/>
        <v>6</v>
      </c>
      <c r="I138" s="38">
        <f t="shared" si="1"/>
        <v>2</v>
      </c>
      <c r="J138" s="55"/>
    </row>
    <row r="139" spans="1:10" ht="12.75" customHeight="1" x14ac:dyDescent="0.2">
      <c r="A139" s="50">
        <f t="array" ref="A139">+INDEX(Partidas!$A:$J,MATCH('Resultados dashboard'!$B139,Partidas!$C:$C,0),2)</f>
        <v>45339</v>
      </c>
      <c r="B139" s="56">
        <f>+IF(COUNTIF($B$2:B138,B138)=VLOOKUP(B138,Partidas!$C:$J,8,0),B138+1,B138)</f>
        <v>31</v>
      </c>
      <c r="C139" s="41" t="str">
        <f t="array" ref="C139">+INDEX(Partidas!$A:$J,MATCH('Resultados dashboard'!$B139,Partidas!$C:$C,0),3+COUNTIF($B$2:B139,'Resultados dashboard'!$B139))</f>
        <v>Ivo</v>
      </c>
      <c r="D139" s="54">
        <v>6</v>
      </c>
      <c r="E139" s="54"/>
      <c r="F139" s="54"/>
      <c r="G139" s="54"/>
      <c r="H139" s="38">
        <f t="shared" si="0"/>
        <v>6</v>
      </c>
      <c r="I139" s="38">
        <f t="shared" si="1"/>
        <v>2</v>
      </c>
      <c r="J139" s="55"/>
    </row>
    <row r="140" spans="1:10" ht="12.75" customHeight="1" x14ac:dyDescent="0.2">
      <c r="A140" s="50">
        <f t="array" ref="A140">+INDEX(Partidas!$A:$J,MATCH('Resultados dashboard'!$B140,Partidas!$C:$C,0),2)</f>
        <v>45339</v>
      </c>
      <c r="B140" s="56">
        <f>+IF(COUNTIF($B$2:B139,B139)=VLOOKUP(B139,Partidas!$C:$J,8,0),B139+1,B139)</f>
        <v>31</v>
      </c>
      <c r="C140" s="41" t="str">
        <f t="array" ref="C140">+INDEX(Partidas!$A:$J,MATCH('Resultados dashboard'!$B140,Partidas!$C:$C,0),3+COUNTIF($B$2:B140,'Resultados dashboard'!$B140))</f>
        <v>Hugo</v>
      </c>
      <c r="D140" s="54">
        <v>7</v>
      </c>
      <c r="E140" s="54">
        <v>1</v>
      </c>
      <c r="F140" s="54">
        <v>1</v>
      </c>
      <c r="G140" s="53"/>
      <c r="H140" s="38">
        <f t="shared" si="0"/>
        <v>10</v>
      </c>
      <c r="I140" s="38">
        <f t="shared" si="1"/>
        <v>1</v>
      </c>
      <c r="J140" s="55"/>
    </row>
    <row r="141" spans="1:10" ht="12.75" customHeight="1" x14ac:dyDescent="0.2">
      <c r="A141" s="50">
        <f t="array" ref="A141">+INDEX(Partidas!$A:$J,MATCH('Resultados dashboard'!$B141,Partidas!$C:$C,0),2)</f>
        <v>45339</v>
      </c>
      <c r="B141" s="56">
        <f>+IF(COUNTIF($B$2:B140,B140)=VLOOKUP(B140,Partidas!$C:$J,8,0),B140+1,B140)</f>
        <v>31</v>
      </c>
      <c r="C141" s="41" t="str">
        <f t="array" ref="C141">+INDEX(Partidas!$A:$J,MATCH('Resultados dashboard'!$B141,Partidas!$C:$C,0),3+COUNTIF($B$2:B141,'Resultados dashboard'!$B141))</f>
        <v>Sofi</v>
      </c>
      <c r="D141" s="54">
        <v>4</v>
      </c>
      <c r="E141" s="53"/>
      <c r="F141" s="53"/>
      <c r="G141" s="53"/>
      <c r="H141" s="38">
        <f t="shared" si="0"/>
        <v>4</v>
      </c>
      <c r="I141" s="38">
        <f t="shared" si="1"/>
        <v>6</v>
      </c>
      <c r="J141" s="55"/>
    </row>
    <row r="142" spans="1:10" ht="12.75" customHeight="1" x14ac:dyDescent="0.2">
      <c r="A142" s="50">
        <f t="array" ref="A142">+INDEX(Partidas!$A:$J,MATCH('Resultados dashboard'!$B142,Partidas!$C:$C,0),2)</f>
        <v>45339</v>
      </c>
      <c r="B142" s="56">
        <f>+IF(COUNTIF($B$2:B141,B141)=VLOOKUP(B141,Partidas!$C:$J,8,0),B141+1,B141)</f>
        <v>31</v>
      </c>
      <c r="C142" s="41" t="str">
        <f t="array" ref="C142">+INDEX(Partidas!$A:$J,MATCH('Resultados dashboard'!$B142,Partidas!$C:$C,0),3+COUNTIF($B$2:B142,'Resultados dashboard'!$B142))</f>
        <v>Max</v>
      </c>
      <c r="D142" s="54">
        <v>6</v>
      </c>
      <c r="E142" s="53"/>
      <c r="F142" s="53"/>
      <c r="G142" s="53"/>
      <c r="H142" s="38">
        <f t="shared" si="0"/>
        <v>6</v>
      </c>
      <c r="I142" s="38">
        <f t="shared" si="1"/>
        <v>2</v>
      </c>
      <c r="J142" s="55"/>
    </row>
    <row r="143" spans="1:10" ht="12.75" customHeight="1" x14ac:dyDescent="0.2">
      <c r="A143" s="50">
        <f t="array" ref="A143">+INDEX(Partidas!$A:$J,MATCH('Resultados dashboard'!$B143,Partidas!$C:$C,0),2)</f>
        <v>45339</v>
      </c>
      <c r="B143" s="56">
        <f>+IF(COUNTIF($B$2:B142,B142)=VLOOKUP(B142,Partidas!$C:$J,8,0),B142+1,B142)</f>
        <v>31</v>
      </c>
      <c r="C143" s="41" t="str">
        <f t="array" ref="C143">+INDEX(Partidas!$A:$J,MATCH('Resultados dashboard'!$B143,Partidas!$C:$C,0),3+COUNTIF($B$2:B143,'Resultados dashboard'!$B143))</f>
        <v>Rodri</v>
      </c>
      <c r="D143" s="54">
        <v>5</v>
      </c>
      <c r="E143" s="53"/>
      <c r="F143" s="53"/>
      <c r="G143" s="53"/>
      <c r="H143" s="38">
        <f t="shared" si="0"/>
        <v>5</v>
      </c>
      <c r="I143" s="38">
        <f t="shared" si="1"/>
        <v>5</v>
      </c>
      <c r="J143" s="55"/>
    </row>
    <row r="144" spans="1:10" ht="12.75" customHeight="1" x14ac:dyDescent="0.2">
      <c r="A144" s="50">
        <f t="array" ref="A144">+INDEX(Partidas!$A:$J,MATCH('Resultados dashboard'!$B144,Partidas!$C:$C,0),2)</f>
        <v>45339</v>
      </c>
      <c r="B144" s="56">
        <f>+IF(COUNTIF($B$2:B143,B143)=VLOOKUP(B143,Partidas!$C:$J,8,0),B143+1,B143)</f>
        <v>32</v>
      </c>
      <c r="C144" s="41" t="str">
        <f t="array" ref="C144">+INDEX(Partidas!$A:$J,MATCH('Resultados dashboard'!$B144,Partidas!$C:$C,0),3+COUNTIF($B$2:B144,'Resultados dashboard'!$B144))</f>
        <v>Gallo</v>
      </c>
      <c r="D144" s="54">
        <v>5</v>
      </c>
      <c r="E144" s="54">
        <v>2</v>
      </c>
      <c r="F144" s="53"/>
      <c r="G144" s="53"/>
      <c r="H144" s="38">
        <f t="shared" si="0"/>
        <v>7</v>
      </c>
      <c r="I144" s="38">
        <f t="shared" si="1"/>
        <v>3</v>
      </c>
      <c r="J144" s="55"/>
    </row>
    <row r="145" spans="1:10" ht="12.75" customHeight="1" x14ac:dyDescent="0.2">
      <c r="A145" s="50">
        <f t="array" ref="A145">+INDEX(Partidas!$A:$J,MATCH('Resultados dashboard'!$B145,Partidas!$C:$C,0),2)</f>
        <v>45339</v>
      </c>
      <c r="B145" s="56">
        <f>+IF(COUNTIF($B$2:B144,B144)=VLOOKUP(B144,Partidas!$C:$J,8,0),B144+1,B144)</f>
        <v>32</v>
      </c>
      <c r="C145" s="41" t="str">
        <f t="array" ref="C145">+INDEX(Partidas!$A:$J,MATCH('Resultados dashboard'!$B145,Partidas!$C:$C,0),3+COUNTIF($B$2:B145,'Resultados dashboard'!$B145))</f>
        <v>Max</v>
      </c>
      <c r="D145" s="54">
        <v>5</v>
      </c>
      <c r="E145" s="54">
        <v>1</v>
      </c>
      <c r="F145" s="53"/>
      <c r="G145" s="54">
        <v>1</v>
      </c>
      <c r="H145" s="38">
        <f t="shared" si="0"/>
        <v>8</v>
      </c>
      <c r="I145" s="38">
        <f t="shared" si="1"/>
        <v>2</v>
      </c>
      <c r="J145" s="55"/>
    </row>
    <row r="146" spans="1:10" ht="12.75" customHeight="1" x14ac:dyDescent="0.2">
      <c r="A146" s="50">
        <f t="array" ref="A146">+INDEX(Partidas!$A:$J,MATCH('Resultados dashboard'!$B146,Partidas!$C:$C,0),2)</f>
        <v>45339</v>
      </c>
      <c r="B146" s="56">
        <f>+IF(COUNTIF($B$2:B145,B145)=VLOOKUP(B145,Partidas!$C:$J,8,0),B145+1,B145)</f>
        <v>32</v>
      </c>
      <c r="C146" s="41" t="str">
        <f t="array" ref="C146">+INDEX(Partidas!$A:$J,MATCH('Resultados dashboard'!$B146,Partidas!$C:$C,0),3+COUNTIF($B$2:B146,'Resultados dashboard'!$B146))</f>
        <v>Hugo</v>
      </c>
      <c r="D146" s="54">
        <v>4</v>
      </c>
      <c r="E146" s="53"/>
      <c r="F146" s="53"/>
      <c r="G146" s="53"/>
      <c r="H146" s="38">
        <f t="shared" si="0"/>
        <v>4</v>
      </c>
      <c r="I146" s="38">
        <f t="shared" si="1"/>
        <v>4</v>
      </c>
      <c r="J146" s="55"/>
    </row>
    <row r="147" spans="1:10" ht="12.75" customHeight="1" x14ac:dyDescent="0.2">
      <c r="A147" s="50">
        <f t="array" ref="A147">+INDEX(Partidas!$A:$J,MATCH('Resultados dashboard'!$B147,Partidas!$C:$C,0),2)</f>
        <v>45339</v>
      </c>
      <c r="B147" s="56">
        <f>+IF(COUNTIF($B$2:B146,B146)=VLOOKUP(B146,Partidas!$C:$J,8,0),B146+1,B146)</f>
        <v>32</v>
      </c>
      <c r="C147" s="41" t="str">
        <f t="array" ref="C147">+INDEX(Partidas!$A:$J,MATCH('Resultados dashboard'!$B147,Partidas!$C:$C,0),3+COUNTIF($B$2:B147,'Resultados dashboard'!$B147))</f>
        <v>Sofi</v>
      </c>
      <c r="D147" s="54">
        <v>8</v>
      </c>
      <c r="E147" s="53"/>
      <c r="F147" s="54">
        <v>1</v>
      </c>
      <c r="G147" s="53"/>
      <c r="H147" s="38">
        <f t="shared" si="0"/>
        <v>10</v>
      </c>
      <c r="I147" s="38">
        <f t="shared" si="1"/>
        <v>1</v>
      </c>
      <c r="J147" s="55"/>
    </row>
    <row r="148" spans="1:10" ht="12.75" customHeight="1" x14ac:dyDescent="0.2">
      <c r="A148" s="50">
        <f t="array" ref="A148">+INDEX(Partidas!$A:$J,MATCH('Resultados dashboard'!$B148,Partidas!$C:$C,0),2)</f>
        <v>45343</v>
      </c>
      <c r="B148" s="56">
        <f>+IF(COUNTIF($B$2:B147,B147)=VLOOKUP(B147,Partidas!$C:$J,8,0),B147+1,B147)</f>
        <v>33</v>
      </c>
      <c r="C148" s="41" t="str">
        <f t="array" ref="C148">+INDEX(Partidas!$A:$J,MATCH('Resultados dashboard'!$B148,Partidas!$C:$C,0),3+COUNTIF($B$2:B148,'Resultados dashboard'!$B148))</f>
        <v>Gallo</v>
      </c>
      <c r="D148" s="54">
        <v>4</v>
      </c>
      <c r="E148" s="54">
        <v>1</v>
      </c>
      <c r="F148" s="53"/>
      <c r="G148" s="53"/>
      <c r="H148" s="38">
        <f t="shared" si="0"/>
        <v>5</v>
      </c>
      <c r="I148" s="38">
        <f t="shared" si="1"/>
        <v>4</v>
      </c>
      <c r="J148" s="55"/>
    </row>
    <row r="149" spans="1:10" ht="12.75" customHeight="1" x14ac:dyDescent="0.2">
      <c r="A149" s="50">
        <f t="array" ref="A149">+INDEX(Partidas!$A:$J,MATCH('Resultados dashboard'!$B149,Partidas!$C:$C,0),2)</f>
        <v>45343</v>
      </c>
      <c r="B149" s="56">
        <f>+IF(COUNTIF($B$2:B148,B148)=VLOOKUP(B148,Partidas!$C:$J,8,0),B148+1,B148)</f>
        <v>33</v>
      </c>
      <c r="C149" s="41" t="str">
        <f t="array" ref="C149">+INDEX(Partidas!$A:$J,MATCH('Resultados dashboard'!$B149,Partidas!$C:$C,0),3+COUNTIF($B$2:B149,'Resultados dashboard'!$B149))</f>
        <v>Max</v>
      </c>
      <c r="D149" s="54">
        <v>7</v>
      </c>
      <c r="E149" s="54">
        <v>1</v>
      </c>
      <c r="F149" s="53"/>
      <c r="G149" s="54">
        <v>1</v>
      </c>
      <c r="H149" s="38">
        <f t="shared" si="0"/>
        <v>10</v>
      </c>
      <c r="I149" s="38">
        <f t="shared" si="1"/>
        <v>1</v>
      </c>
      <c r="J149" s="55"/>
    </row>
    <row r="150" spans="1:10" ht="12.75" customHeight="1" x14ac:dyDescent="0.2">
      <c r="A150" s="50">
        <f t="array" ref="A150">+INDEX(Partidas!$A:$J,MATCH('Resultados dashboard'!$B150,Partidas!$C:$C,0),2)</f>
        <v>45343</v>
      </c>
      <c r="B150" s="56">
        <f>+IF(COUNTIF($B$2:B149,B149)=VLOOKUP(B149,Partidas!$C:$J,8,0),B149+1,B149)</f>
        <v>33</v>
      </c>
      <c r="C150" s="41" t="str">
        <f t="array" ref="C150">+INDEX(Partidas!$A:$J,MATCH('Resultados dashboard'!$B150,Partidas!$C:$C,0),3+COUNTIF($B$2:B150,'Resultados dashboard'!$B150))</f>
        <v>Hugo</v>
      </c>
      <c r="D150" s="54">
        <v>7</v>
      </c>
      <c r="E150" s="54">
        <v>1</v>
      </c>
      <c r="F150" s="53"/>
      <c r="G150" s="53"/>
      <c r="H150" s="38">
        <f t="shared" si="0"/>
        <v>8</v>
      </c>
      <c r="I150" s="38">
        <f t="shared" si="1"/>
        <v>2</v>
      </c>
      <c r="J150" s="55"/>
    </row>
    <row r="151" spans="1:10" ht="12.75" customHeight="1" x14ac:dyDescent="0.2">
      <c r="A151" s="50">
        <f t="array" ref="A151">+INDEX(Partidas!$A:$J,MATCH('Resultados dashboard'!$B151,Partidas!$C:$C,0),2)</f>
        <v>45343</v>
      </c>
      <c r="B151" s="56">
        <f>+IF(COUNTIF($B$2:B150,B150)=VLOOKUP(B150,Partidas!$C:$J,8,0),B150+1,B150)</f>
        <v>33</v>
      </c>
      <c r="C151" s="41" t="str">
        <f t="array" ref="C151">+INDEX(Partidas!$A:$J,MATCH('Resultados dashboard'!$B151,Partidas!$C:$C,0),3+COUNTIF($B$2:B151,'Resultados dashboard'!$B151))</f>
        <v>Ivo</v>
      </c>
      <c r="D151" s="54">
        <v>6</v>
      </c>
      <c r="E151" s="53"/>
      <c r="F151" s="54">
        <v>1</v>
      </c>
      <c r="G151" s="53"/>
      <c r="H151" s="38">
        <f t="shared" si="0"/>
        <v>8</v>
      </c>
      <c r="I151" s="38">
        <f t="shared" si="1"/>
        <v>2</v>
      </c>
      <c r="J151" s="55"/>
    </row>
    <row r="152" spans="1:10" ht="12.75" customHeight="1" x14ac:dyDescent="0.2">
      <c r="A152" s="50">
        <f t="array" ref="A152">+INDEX(Partidas!$A:$J,MATCH('Resultados dashboard'!$B152,Partidas!$C:$C,0),2)</f>
        <v>45343</v>
      </c>
      <c r="B152" s="56">
        <f>+IF(COUNTIF($B$2:B151,B151)=VLOOKUP(B151,Partidas!$C:$J,8,0),B151+1,B151)</f>
        <v>33</v>
      </c>
      <c r="C152" s="41" t="str">
        <f t="array" ref="C152">+INDEX(Partidas!$A:$J,MATCH('Resultados dashboard'!$B152,Partidas!$C:$C,0),3+COUNTIF($B$2:B152,'Resultados dashboard'!$B152))</f>
        <v>Rodri</v>
      </c>
      <c r="D152" s="54">
        <v>5</v>
      </c>
      <c r="E152" s="53"/>
      <c r="F152" s="53"/>
      <c r="G152" s="54"/>
      <c r="H152" s="38">
        <f t="shared" si="0"/>
        <v>5</v>
      </c>
      <c r="I152" s="38">
        <f t="shared" si="1"/>
        <v>4</v>
      </c>
      <c r="J152" s="55"/>
    </row>
    <row r="153" spans="1:10" ht="12.75" customHeight="1" x14ac:dyDescent="0.2">
      <c r="A153" s="50">
        <f t="array" ref="A153">+INDEX(Partidas!$A:$J,MATCH('Resultados dashboard'!$B153,Partidas!$C:$C,0),2)</f>
        <v>45343</v>
      </c>
      <c r="B153" s="56">
        <f>+IF(COUNTIF($B$2:B152,B152)=VLOOKUP(B152,Partidas!$C:$J,8,0),B152+1,B152)</f>
        <v>34</v>
      </c>
      <c r="C153" s="41" t="str">
        <f t="array" ref="C153">+INDEX(Partidas!$A:$J,MATCH('Resultados dashboard'!$B153,Partidas!$C:$C,0),3+COUNTIF($B$2:B153,'Resultados dashboard'!$B153))</f>
        <v>Gallo</v>
      </c>
      <c r="D153" s="54">
        <v>6</v>
      </c>
      <c r="E153" s="54"/>
      <c r="F153" s="54"/>
      <c r="G153" s="53"/>
      <c r="H153" s="38">
        <f t="shared" si="0"/>
        <v>6</v>
      </c>
      <c r="I153" s="38">
        <f t="shared" si="1"/>
        <v>4</v>
      </c>
      <c r="J153" s="55"/>
    </row>
    <row r="154" spans="1:10" ht="12.75" customHeight="1" x14ac:dyDescent="0.2">
      <c r="A154" s="50">
        <f t="array" ref="A154">+INDEX(Partidas!$A:$J,MATCH('Resultados dashboard'!$B154,Partidas!$C:$C,0),2)</f>
        <v>45343</v>
      </c>
      <c r="B154" s="56">
        <f>+IF(COUNTIF($B$2:B153,B153)=VLOOKUP(B153,Partidas!$C:$J,8,0),B153+1,B153)</f>
        <v>34</v>
      </c>
      <c r="C154" s="41" t="str">
        <f t="array" ref="C154">+INDEX(Partidas!$A:$J,MATCH('Resultados dashboard'!$B154,Partidas!$C:$C,0),3+COUNTIF($B$2:B154,'Resultados dashboard'!$B154))</f>
        <v>Max</v>
      </c>
      <c r="D154" s="54">
        <v>6</v>
      </c>
      <c r="E154" s="53"/>
      <c r="F154" s="53"/>
      <c r="G154" s="53"/>
      <c r="H154" s="38">
        <f t="shared" si="0"/>
        <v>6</v>
      </c>
      <c r="I154" s="38">
        <f t="shared" si="1"/>
        <v>4</v>
      </c>
      <c r="J154" s="55"/>
    </row>
    <row r="155" spans="1:10" ht="12.75" customHeight="1" x14ac:dyDescent="0.2">
      <c r="A155" s="50">
        <f t="array" ref="A155">+INDEX(Partidas!$A:$J,MATCH('Resultados dashboard'!$B155,Partidas!$C:$C,0),2)</f>
        <v>45343</v>
      </c>
      <c r="B155" s="56">
        <f>+IF(COUNTIF($B$2:B154,B154)=VLOOKUP(B154,Partidas!$C:$J,8,0),B154+1,B154)</f>
        <v>34</v>
      </c>
      <c r="C155" s="41" t="str">
        <f t="array" ref="C155">+INDEX(Partidas!$A:$J,MATCH('Resultados dashboard'!$B155,Partidas!$C:$C,0),3+COUNTIF($B$2:B155,'Resultados dashboard'!$B155))</f>
        <v>Hugo</v>
      </c>
      <c r="D155" s="54">
        <v>7</v>
      </c>
      <c r="E155" s="54">
        <v>1</v>
      </c>
      <c r="F155" s="53"/>
      <c r="G155" s="53"/>
      <c r="H155" s="38">
        <f t="shared" si="0"/>
        <v>8</v>
      </c>
      <c r="I155" s="38">
        <f t="shared" si="1"/>
        <v>2</v>
      </c>
      <c r="J155" s="55"/>
    </row>
    <row r="156" spans="1:10" ht="12.75" customHeight="1" x14ac:dyDescent="0.2">
      <c r="A156" s="50">
        <f t="array" ref="A156">+INDEX(Partidas!$A:$J,MATCH('Resultados dashboard'!$B156,Partidas!$C:$C,0),2)</f>
        <v>45343</v>
      </c>
      <c r="B156" s="56">
        <f>+IF(COUNTIF($B$2:B155,B155)=VLOOKUP(B155,Partidas!$C:$J,8,0),B155+1,B155)</f>
        <v>34</v>
      </c>
      <c r="C156" s="41" t="str">
        <f t="array" ref="C156">+INDEX(Partidas!$A:$J,MATCH('Resultados dashboard'!$B156,Partidas!$C:$C,0),3+COUNTIF($B$2:B156,'Resultados dashboard'!$B156))</f>
        <v>Ivo</v>
      </c>
      <c r="D156" s="54">
        <v>8</v>
      </c>
      <c r="E156" s="54">
        <v>1</v>
      </c>
      <c r="F156" s="54">
        <v>1</v>
      </c>
      <c r="G156" s="53"/>
      <c r="H156" s="38">
        <f t="shared" si="0"/>
        <v>11</v>
      </c>
      <c r="I156" s="38">
        <f t="shared" si="1"/>
        <v>1</v>
      </c>
      <c r="J156" s="55"/>
    </row>
    <row r="157" spans="1:10" ht="12.75" customHeight="1" x14ac:dyDescent="0.2">
      <c r="A157" s="50">
        <f t="array" ref="A157">+INDEX(Partidas!$A:$J,MATCH('Resultados dashboard'!$B157,Partidas!$C:$C,0),2)</f>
        <v>45343</v>
      </c>
      <c r="B157" s="56">
        <f>+IF(COUNTIF($B$2:B156,B156)=VLOOKUP(B156,Partidas!$C:$J,8,0),B156+1,B156)</f>
        <v>34</v>
      </c>
      <c r="C157" s="41" t="str">
        <f t="array" ref="C157">+INDEX(Partidas!$A:$J,MATCH('Resultados dashboard'!$B157,Partidas!$C:$C,0),3+COUNTIF($B$2:B157,'Resultados dashboard'!$B157))</f>
        <v>Rodri</v>
      </c>
      <c r="D157" s="54">
        <v>7</v>
      </c>
      <c r="E157" s="53"/>
      <c r="F157" s="53"/>
      <c r="G157" s="53"/>
      <c r="H157" s="38">
        <f t="shared" si="0"/>
        <v>7</v>
      </c>
      <c r="I157" s="38">
        <f t="shared" si="1"/>
        <v>3</v>
      </c>
      <c r="J157" s="55"/>
    </row>
    <row r="158" spans="1:10" ht="12.75" customHeight="1" x14ac:dyDescent="0.2">
      <c r="A158" s="50">
        <f t="array" ref="A158">+INDEX(Partidas!$A:$J,MATCH('Resultados dashboard'!$B158,Partidas!$C:$C,0),2)</f>
        <v>45347</v>
      </c>
      <c r="B158" s="56">
        <f>+IF(COUNTIF($B$2:B157,B157)=VLOOKUP(B157,Partidas!$C:$J,8,0),B157+1,B157)</f>
        <v>35</v>
      </c>
      <c r="C158" s="41" t="str">
        <f t="array" ref="C158">+INDEX(Partidas!$A:$J,MATCH('Resultados dashboard'!$B158,Partidas!$C:$C,0),3+COUNTIF($B$2:B158,'Resultados dashboard'!$B158))</f>
        <v>Gallo</v>
      </c>
      <c r="D158" s="54">
        <v>8</v>
      </c>
      <c r="E158" s="53"/>
      <c r="F158" s="53"/>
      <c r="G158" s="54">
        <v>1</v>
      </c>
      <c r="H158" s="38">
        <f t="shared" si="0"/>
        <v>10</v>
      </c>
      <c r="I158" s="38">
        <f t="shared" si="1"/>
        <v>1</v>
      </c>
      <c r="J158" s="55"/>
    </row>
    <row r="159" spans="1:10" ht="12.75" customHeight="1" x14ac:dyDescent="0.2">
      <c r="A159" s="50">
        <f t="array" ref="A159">+INDEX(Partidas!$A:$J,MATCH('Resultados dashboard'!$B159,Partidas!$C:$C,0),2)</f>
        <v>45347</v>
      </c>
      <c r="B159" s="56">
        <f>+IF(COUNTIF($B$2:B158,B158)=VLOOKUP(B158,Partidas!$C:$J,8,0),B158+1,B158)</f>
        <v>35</v>
      </c>
      <c r="C159" s="41" t="str">
        <f t="array" ref="C159">+INDEX(Partidas!$A:$J,MATCH('Resultados dashboard'!$B159,Partidas!$C:$C,0),3+COUNTIF($B$2:B159,'Resultados dashboard'!$B159))</f>
        <v>Max</v>
      </c>
      <c r="D159" s="54">
        <v>4</v>
      </c>
      <c r="E159" s="53"/>
      <c r="F159" s="53"/>
      <c r="G159" s="53"/>
      <c r="H159" s="38">
        <f t="shared" si="0"/>
        <v>4</v>
      </c>
      <c r="I159" s="38">
        <f t="shared" si="1"/>
        <v>3</v>
      </c>
      <c r="J159" s="55"/>
    </row>
    <row r="160" spans="1:10" ht="12.75" customHeight="1" x14ac:dyDescent="0.2">
      <c r="A160" s="50">
        <f t="array" ref="A160">+INDEX(Partidas!$A:$J,MATCH('Resultados dashboard'!$B160,Partidas!$C:$C,0),2)</f>
        <v>45347</v>
      </c>
      <c r="B160" s="56">
        <f>+IF(COUNTIF($B$2:B159,B159)=VLOOKUP(B159,Partidas!$C:$J,8,0),B159+1,B159)</f>
        <v>35</v>
      </c>
      <c r="C160" s="41" t="str">
        <f t="array" ref="C160">+INDEX(Partidas!$A:$J,MATCH('Resultados dashboard'!$B160,Partidas!$C:$C,0),3+COUNTIF($B$2:B160,'Resultados dashboard'!$B160))</f>
        <v>Hugo</v>
      </c>
      <c r="D160" s="54">
        <v>4</v>
      </c>
      <c r="E160" s="53"/>
      <c r="F160" s="53"/>
      <c r="G160" s="53"/>
      <c r="H160" s="38">
        <f t="shared" si="0"/>
        <v>4</v>
      </c>
      <c r="I160" s="38">
        <f t="shared" si="1"/>
        <v>3</v>
      </c>
      <c r="J160" s="55"/>
    </row>
    <row r="161" spans="1:10" ht="12.75" customHeight="1" x14ac:dyDescent="0.2">
      <c r="A161" s="50">
        <f t="array" ref="A161">+INDEX(Partidas!$A:$J,MATCH('Resultados dashboard'!$B161,Partidas!$C:$C,0),2)</f>
        <v>45347</v>
      </c>
      <c r="B161" s="56">
        <f>+IF(COUNTIF($B$2:B160,B160)=VLOOKUP(B160,Partidas!$C:$J,8,0),B160+1,B160)</f>
        <v>35</v>
      </c>
      <c r="C161" s="41" t="str">
        <f t="array" ref="C161">+INDEX(Partidas!$A:$J,MATCH('Resultados dashboard'!$B161,Partidas!$C:$C,0),3+COUNTIF($B$2:B161,'Resultados dashboard'!$B161))</f>
        <v>Ivo</v>
      </c>
      <c r="D161" s="54">
        <v>4</v>
      </c>
      <c r="E161" s="53"/>
      <c r="F161" s="53"/>
      <c r="G161" s="53"/>
      <c r="H161" s="38">
        <f t="shared" si="0"/>
        <v>4</v>
      </c>
      <c r="I161" s="38">
        <f t="shared" si="1"/>
        <v>3</v>
      </c>
      <c r="J161" s="55"/>
    </row>
    <row r="162" spans="1:10" ht="12.75" customHeight="1" x14ac:dyDescent="0.2">
      <c r="A162" s="50">
        <f t="array" ref="A162">+INDEX(Partidas!$A:$J,MATCH('Resultados dashboard'!$B162,Partidas!$C:$C,0),2)</f>
        <v>45347</v>
      </c>
      <c r="B162" s="56">
        <f>+IF(COUNTIF($B$2:B161,B161)=VLOOKUP(B161,Partidas!$C:$J,8,0),B161+1,B161)</f>
        <v>35</v>
      </c>
      <c r="C162" s="41" t="str">
        <f t="array" ref="C162">+INDEX(Partidas!$A:$J,MATCH('Resultados dashboard'!$B162,Partidas!$C:$C,0),3+COUNTIF($B$2:B162,'Resultados dashboard'!$B162))</f>
        <v>Sofi</v>
      </c>
      <c r="D162" s="54">
        <v>4</v>
      </c>
      <c r="E162" s="54">
        <v>1</v>
      </c>
      <c r="F162" s="54">
        <v>1</v>
      </c>
      <c r="G162" s="53"/>
      <c r="H162" s="38">
        <f t="shared" si="0"/>
        <v>7</v>
      </c>
      <c r="I162" s="38">
        <f t="shared" si="1"/>
        <v>2</v>
      </c>
      <c r="J162" s="55"/>
    </row>
    <row r="163" spans="1:10" ht="12.75" customHeight="1" x14ac:dyDescent="0.2">
      <c r="A163" s="50">
        <f t="array" ref="A163">+INDEX(Partidas!$A:$J,MATCH('Resultados dashboard'!$B163,Partidas!$C:$C,0),2)</f>
        <v>45347</v>
      </c>
      <c r="B163" s="56">
        <f>+IF(COUNTIF($B$2:B162,B162)=VLOOKUP(B162,Partidas!$C:$J,8,0),B162+1,B162)</f>
        <v>36</v>
      </c>
      <c r="C163" s="41" t="str">
        <f t="array" ref="C163">+INDEX(Partidas!$A:$J,MATCH('Resultados dashboard'!$B163,Partidas!$C:$C,0),3+COUNTIF($B$2:B163,'Resultados dashboard'!$B163))</f>
        <v>Gallo</v>
      </c>
      <c r="D163" s="54">
        <v>4</v>
      </c>
      <c r="E163" s="53"/>
      <c r="F163" s="54">
        <v>1</v>
      </c>
      <c r="G163" s="53"/>
      <c r="H163" s="38">
        <f t="shared" si="0"/>
        <v>6</v>
      </c>
      <c r="I163" s="38">
        <f t="shared" si="1"/>
        <v>3</v>
      </c>
      <c r="J163" s="55"/>
    </row>
    <row r="164" spans="1:10" ht="12.75" customHeight="1" x14ac:dyDescent="0.2">
      <c r="A164" s="50">
        <f t="array" ref="A164">+INDEX(Partidas!$A:$J,MATCH('Resultados dashboard'!$B164,Partidas!$C:$C,0),2)</f>
        <v>45347</v>
      </c>
      <c r="B164" s="56">
        <f>+IF(COUNTIF($B$2:B163,B163)=VLOOKUP(B163,Partidas!$C:$J,8,0),B163+1,B163)</f>
        <v>36</v>
      </c>
      <c r="C164" s="41" t="str">
        <f t="array" ref="C164">+INDEX(Partidas!$A:$J,MATCH('Resultados dashboard'!$B164,Partidas!$C:$C,0),3+COUNTIF($B$2:B164,'Resultados dashboard'!$B164))</f>
        <v>Max</v>
      </c>
      <c r="D164" s="54">
        <v>5</v>
      </c>
      <c r="E164" s="53"/>
      <c r="F164" s="53"/>
      <c r="G164" s="53"/>
      <c r="H164" s="38">
        <f t="shared" si="0"/>
        <v>5</v>
      </c>
      <c r="I164" s="38">
        <f t="shared" si="1"/>
        <v>4</v>
      </c>
      <c r="J164" s="55"/>
    </row>
    <row r="165" spans="1:10" ht="12.75" customHeight="1" x14ac:dyDescent="0.2">
      <c r="A165" s="50">
        <f t="array" ref="A165">+INDEX(Partidas!$A:$J,MATCH('Resultados dashboard'!$B165,Partidas!$C:$C,0),2)</f>
        <v>45347</v>
      </c>
      <c r="B165" s="56">
        <f>+IF(COUNTIF($B$2:B164,B164)=VLOOKUP(B164,Partidas!$C:$J,8,0),B164+1,B164)</f>
        <v>36</v>
      </c>
      <c r="C165" s="41" t="str">
        <f t="array" ref="C165">+INDEX(Partidas!$A:$J,MATCH('Resultados dashboard'!$B165,Partidas!$C:$C,0),3+COUNTIF($B$2:B165,'Resultados dashboard'!$B165))</f>
        <v>Hugo</v>
      </c>
      <c r="D165" s="54">
        <v>7</v>
      </c>
      <c r="E165" s="54">
        <v>3</v>
      </c>
      <c r="F165" s="53"/>
      <c r="G165" s="53"/>
      <c r="H165" s="38">
        <f t="shared" si="0"/>
        <v>10</v>
      </c>
      <c r="I165" s="38">
        <f t="shared" si="1"/>
        <v>1</v>
      </c>
      <c r="J165" s="55"/>
    </row>
    <row r="166" spans="1:10" ht="12.75" customHeight="1" x14ac:dyDescent="0.2">
      <c r="A166" s="50">
        <f t="array" ref="A166">+INDEX(Partidas!$A:$J,MATCH('Resultados dashboard'!$B166,Partidas!$C:$C,0),2)</f>
        <v>45347</v>
      </c>
      <c r="B166" s="56">
        <f>+IF(COUNTIF($B$2:B165,B165)=VLOOKUP(B165,Partidas!$C:$J,8,0),B165+1,B165)</f>
        <v>36</v>
      </c>
      <c r="C166" s="41" t="str">
        <f t="array" ref="C166">+INDEX(Partidas!$A:$J,MATCH('Resultados dashboard'!$B166,Partidas!$C:$C,0),3+COUNTIF($B$2:B166,'Resultados dashboard'!$B166))</f>
        <v>Ivo</v>
      </c>
      <c r="D166" s="54">
        <v>7</v>
      </c>
      <c r="E166" s="53"/>
      <c r="F166" s="53"/>
      <c r="G166" s="54">
        <v>1</v>
      </c>
      <c r="H166" s="38">
        <f t="shared" si="0"/>
        <v>9</v>
      </c>
      <c r="I166" s="38">
        <f t="shared" si="1"/>
        <v>2</v>
      </c>
      <c r="J166" s="55"/>
    </row>
    <row r="167" spans="1:10" ht="12.75" customHeight="1" x14ac:dyDescent="0.2">
      <c r="A167" s="50">
        <f t="array" ref="A167">+INDEX(Partidas!$A:$J,MATCH('Resultados dashboard'!$B167,Partidas!$C:$C,0),2)</f>
        <v>45347</v>
      </c>
      <c r="B167" s="56">
        <f>+IF(COUNTIF($B$2:B166,B166)=VLOOKUP(B166,Partidas!$C:$J,8,0),B166+1,B166)</f>
        <v>37</v>
      </c>
      <c r="C167" s="41" t="str">
        <f t="array" ref="C167">+INDEX(Partidas!$A:$J,MATCH('Resultados dashboard'!$B167,Partidas!$C:$C,0),3+COUNTIF($B$2:B167,'Resultados dashboard'!$B167))</f>
        <v>Gallo</v>
      </c>
      <c r="D167" s="54">
        <v>10</v>
      </c>
      <c r="E167" s="53"/>
      <c r="F167" s="53"/>
      <c r="G167" s="53"/>
      <c r="H167" s="38">
        <f t="shared" si="0"/>
        <v>10</v>
      </c>
      <c r="I167" s="38">
        <f t="shared" si="1"/>
        <v>1</v>
      </c>
      <c r="J167" s="55"/>
    </row>
    <row r="168" spans="1:10" ht="12.75" customHeight="1" x14ac:dyDescent="0.2">
      <c r="A168" s="50">
        <f t="array" ref="A168">+INDEX(Partidas!$A:$J,MATCH('Resultados dashboard'!$B168,Partidas!$C:$C,0),2)</f>
        <v>45347</v>
      </c>
      <c r="B168" s="56">
        <f>+IF(COUNTIF($B$2:B167,B167)=VLOOKUP(B167,Partidas!$C:$J,8,0),B167+1,B167)</f>
        <v>37</v>
      </c>
      <c r="C168" s="41" t="str">
        <f t="array" ref="C168">+INDEX(Partidas!$A:$J,MATCH('Resultados dashboard'!$B168,Partidas!$C:$C,0),3+COUNTIF($B$2:B168,'Resultados dashboard'!$B168))</f>
        <v>Max</v>
      </c>
      <c r="D168" s="54">
        <v>7</v>
      </c>
      <c r="E168" s="53"/>
      <c r="F168" s="53"/>
      <c r="G168" s="53"/>
      <c r="H168" s="38">
        <f t="shared" si="0"/>
        <v>7</v>
      </c>
      <c r="I168" s="38">
        <f t="shared" si="1"/>
        <v>3</v>
      </c>
      <c r="J168" s="55"/>
    </row>
    <row r="169" spans="1:10" ht="12.75" customHeight="1" x14ac:dyDescent="0.2">
      <c r="A169" s="50">
        <f t="array" ref="A169">+INDEX(Partidas!$A:$J,MATCH('Resultados dashboard'!$B169,Partidas!$C:$C,0),2)</f>
        <v>45347</v>
      </c>
      <c r="B169" s="56">
        <f>+IF(COUNTIF($B$2:B168,B168)=VLOOKUP(B168,Partidas!$C:$J,8,0),B168+1,B168)</f>
        <v>37</v>
      </c>
      <c r="C169" s="41" t="str">
        <f t="array" ref="C169">+INDEX(Partidas!$A:$J,MATCH('Resultados dashboard'!$B169,Partidas!$C:$C,0),3+COUNTIF($B$2:B169,'Resultados dashboard'!$B169))</f>
        <v>Hugo</v>
      </c>
      <c r="D169" s="54">
        <v>5</v>
      </c>
      <c r="E169" s="54">
        <v>1</v>
      </c>
      <c r="F169" s="54">
        <v>1</v>
      </c>
      <c r="G169" s="53"/>
      <c r="H169" s="38">
        <f t="shared" si="0"/>
        <v>8</v>
      </c>
      <c r="I169" s="38">
        <f t="shared" si="1"/>
        <v>2</v>
      </c>
      <c r="J169" s="55"/>
    </row>
    <row r="170" spans="1:10" ht="12.75" customHeight="1" x14ac:dyDescent="0.2">
      <c r="A170" s="50">
        <f t="array" ref="A170">+INDEX(Partidas!$A:$J,MATCH('Resultados dashboard'!$B170,Partidas!$C:$C,0),2)</f>
        <v>45347</v>
      </c>
      <c r="B170" s="56">
        <f>+IF(COUNTIF($B$2:B169,B169)=VLOOKUP(B169,Partidas!$C:$J,8,0),B169+1,B169)</f>
        <v>37</v>
      </c>
      <c r="C170" s="41" t="str">
        <f t="array" ref="C170">+INDEX(Partidas!$A:$J,MATCH('Resultados dashboard'!$B170,Partidas!$C:$C,0),3+COUNTIF($B$2:B170,'Resultados dashboard'!$B170))</f>
        <v>Ivo</v>
      </c>
      <c r="D170" s="54">
        <v>3</v>
      </c>
      <c r="E170" s="53"/>
      <c r="F170" s="53"/>
      <c r="G170" s="53"/>
      <c r="H170" s="38">
        <f t="shared" si="0"/>
        <v>3</v>
      </c>
      <c r="I170" s="38">
        <f t="shared" si="1"/>
        <v>4</v>
      </c>
      <c r="J170" s="55"/>
    </row>
    <row r="171" spans="1:10" ht="12.75" customHeight="1" x14ac:dyDescent="0.2">
      <c r="A171" s="50">
        <f t="array" ref="A171">+INDEX(Partidas!$A:$J,MATCH('Resultados dashboard'!$B171,Partidas!$C:$C,0),2)</f>
        <v>45347</v>
      </c>
      <c r="B171" s="56">
        <f>+IF(COUNTIF($B$2:B170,B170)=VLOOKUP(B170,Partidas!$C:$J,8,0),B170+1,B170)</f>
        <v>38</v>
      </c>
      <c r="C171" s="41" t="str">
        <f t="array" ref="C171">+INDEX(Partidas!$A:$J,MATCH('Resultados dashboard'!$B171,Partidas!$C:$C,0),3+COUNTIF($B$2:B171,'Resultados dashboard'!$B171))</f>
        <v>Gallo</v>
      </c>
      <c r="D171" s="54">
        <v>7</v>
      </c>
      <c r="E171" s="54">
        <v>1</v>
      </c>
      <c r="F171" s="53"/>
      <c r="G171" s="54">
        <v>1</v>
      </c>
      <c r="H171" s="38">
        <f t="shared" si="0"/>
        <v>10</v>
      </c>
      <c r="I171" s="38">
        <f t="shared" si="1"/>
        <v>1</v>
      </c>
      <c r="J171" s="55"/>
    </row>
    <row r="172" spans="1:10" ht="12.75" customHeight="1" x14ac:dyDescent="0.2">
      <c r="A172" s="50">
        <f t="array" ref="A172">+INDEX(Partidas!$A:$J,MATCH('Resultados dashboard'!$B172,Partidas!$C:$C,0),2)</f>
        <v>45347</v>
      </c>
      <c r="B172" s="56">
        <f>+IF(COUNTIF($B$2:B171,B171)=VLOOKUP(B171,Partidas!$C:$J,8,0),B171+1,B171)</f>
        <v>38</v>
      </c>
      <c r="C172" s="41" t="str">
        <f t="array" ref="C172">+INDEX(Partidas!$A:$J,MATCH('Resultados dashboard'!$B172,Partidas!$C:$C,0),3+COUNTIF($B$2:B172,'Resultados dashboard'!$B172))</f>
        <v>Max</v>
      </c>
      <c r="D172" s="54">
        <v>6</v>
      </c>
      <c r="E172" s="53"/>
      <c r="F172" s="54">
        <v>1</v>
      </c>
      <c r="G172" s="53"/>
      <c r="H172" s="38">
        <f t="shared" si="0"/>
        <v>8</v>
      </c>
      <c r="I172" s="38">
        <f t="shared" si="1"/>
        <v>2</v>
      </c>
      <c r="J172" s="55"/>
    </row>
    <row r="173" spans="1:10" ht="12.75" customHeight="1" x14ac:dyDescent="0.2">
      <c r="A173" s="50">
        <f t="array" ref="A173">+INDEX(Partidas!$A:$J,MATCH('Resultados dashboard'!$B173,Partidas!$C:$C,0),2)</f>
        <v>45347</v>
      </c>
      <c r="B173" s="56">
        <f>+IF(COUNTIF($B$2:B172,B172)=VLOOKUP(B172,Partidas!$C:$J,8,0),B172+1,B172)</f>
        <v>38</v>
      </c>
      <c r="C173" s="41" t="str">
        <f t="array" ref="C173">+INDEX(Partidas!$A:$J,MATCH('Resultados dashboard'!$B173,Partidas!$C:$C,0),3+COUNTIF($B$2:B173,'Resultados dashboard'!$B173))</f>
        <v>Hugo</v>
      </c>
      <c r="D173" s="54">
        <v>6</v>
      </c>
      <c r="E173" s="53"/>
      <c r="F173" s="53"/>
      <c r="G173" s="53"/>
      <c r="H173" s="38">
        <f t="shared" si="0"/>
        <v>6</v>
      </c>
      <c r="I173" s="38">
        <f t="shared" si="1"/>
        <v>3</v>
      </c>
      <c r="J173" s="55"/>
    </row>
    <row r="174" spans="1:10" ht="12.75" customHeight="1" x14ac:dyDescent="0.2">
      <c r="A174" s="50">
        <f t="array" ref="A174">+INDEX(Partidas!$A:$J,MATCH('Resultados dashboard'!$B174,Partidas!$C:$C,0),2)</f>
        <v>45347</v>
      </c>
      <c r="B174" s="56">
        <f>+IF(COUNTIF($B$2:B173,B173)=VLOOKUP(B173,Partidas!$C:$J,8,0),B173+1,B173)</f>
        <v>38</v>
      </c>
      <c r="C174" s="41" t="str">
        <f t="array" ref="C174">+INDEX(Partidas!$A:$J,MATCH('Resultados dashboard'!$B174,Partidas!$C:$C,0),3+COUNTIF($B$2:B174,'Resultados dashboard'!$B174))</f>
        <v>Ivo</v>
      </c>
      <c r="D174" s="54">
        <v>3</v>
      </c>
      <c r="E174" s="54">
        <v>1</v>
      </c>
      <c r="F174" s="53"/>
      <c r="G174" s="53"/>
      <c r="H174" s="38">
        <f t="shared" si="0"/>
        <v>4</v>
      </c>
      <c r="I174" s="38">
        <f t="shared" si="1"/>
        <v>4</v>
      </c>
      <c r="J174" s="55"/>
    </row>
    <row r="175" spans="1:10" ht="12.75" customHeight="1" x14ac:dyDescent="0.2">
      <c r="A175" s="50">
        <f t="array" ref="A175">+INDEX(Partidas!$A:$J,MATCH('Resultados dashboard'!$B175,Partidas!$C:$C,0),2)</f>
        <v>45353</v>
      </c>
      <c r="B175" s="56">
        <f>+IF(COUNTIF($B$2:B174,B174)=VLOOKUP(B174,Partidas!$C:$J,8,0),B174+1,B174)</f>
        <v>39</v>
      </c>
      <c r="C175" s="41" t="str">
        <f t="array" ref="C175">+INDEX(Partidas!$A:$J,MATCH('Resultados dashboard'!$B175,Partidas!$C:$C,0),3+COUNTIF($B$2:B175,'Resultados dashboard'!$B175))</f>
        <v>Gallo</v>
      </c>
      <c r="D175" s="54">
        <v>3</v>
      </c>
      <c r="E175" s="53"/>
      <c r="F175" s="53"/>
      <c r="G175" s="53"/>
      <c r="H175" s="38">
        <f t="shared" si="0"/>
        <v>3</v>
      </c>
      <c r="I175" s="38">
        <f t="shared" si="1"/>
        <v>4</v>
      </c>
      <c r="J175" s="55"/>
    </row>
    <row r="176" spans="1:10" ht="12.75" customHeight="1" x14ac:dyDescent="0.2">
      <c r="A176" s="50">
        <f t="array" ref="A176">+INDEX(Partidas!$A:$J,MATCH('Resultados dashboard'!$B176,Partidas!$C:$C,0),2)</f>
        <v>45353</v>
      </c>
      <c r="B176" s="56">
        <f>+IF(COUNTIF($B$2:B175,B175)=VLOOKUP(B175,Partidas!$C:$J,8,0),B175+1,B175)</f>
        <v>39</v>
      </c>
      <c r="C176" s="41" t="str">
        <f t="array" ref="C176">+INDEX(Partidas!$A:$J,MATCH('Resultados dashboard'!$B176,Partidas!$C:$C,0),3+COUNTIF($B$2:B176,'Resultados dashboard'!$B176))</f>
        <v>Max</v>
      </c>
      <c r="D176" s="54">
        <v>6</v>
      </c>
      <c r="E176" s="53"/>
      <c r="F176" s="53"/>
      <c r="G176" s="53"/>
      <c r="H176" s="38">
        <f t="shared" si="0"/>
        <v>6</v>
      </c>
      <c r="I176" s="38">
        <f t="shared" si="1"/>
        <v>3</v>
      </c>
      <c r="J176" s="55"/>
    </row>
    <row r="177" spans="1:10" ht="12.75" customHeight="1" x14ac:dyDescent="0.2">
      <c r="A177" s="50">
        <f t="array" ref="A177">+INDEX(Partidas!$A:$J,MATCH('Resultados dashboard'!$B177,Partidas!$C:$C,0),2)</f>
        <v>45353</v>
      </c>
      <c r="B177" s="56">
        <f>+IF(COUNTIF($B$2:B176,B176)=VLOOKUP(B176,Partidas!$C:$J,8,0),B176+1,B176)</f>
        <v>39</v>
      </c>
      <c r="C177" s="41" t="str">
        <f t="array" ref="C177">+INDEX(Partidas!$A:$J,MATCH('Resultados dashboard'!$B177,Partidas!$C:$C,0),3+COUNTIF($B$2:B177,'Resultados dashboard'!$B177))</f>
        <v>Hugo</v>
      </c>
      <c r="D177" s="54">
        <v>8</v>
      </c>
      <c r="E177" s="53"/>
      <c r="F177" s="53"/>
      <c r="G177" s="54">
        <v>1</v>
      </c>
      <c r="H177" s="38">
        <f t="shared" si="0"/>
        <v>10</v>
      </c>
      <c r="I177" s="38">
        <f t="shared" si="1"/>
        <v>1</v>
      </c>
      <c r="J177" s="55"/>
    </row>
    <row r="178" spans="1:10" ht="12.75" customHeight="1" x14ac:dyDescent="0.2">
      <c r="A178" s="50">
        <f t="array" ref="A178">+INDEX(Partidas!$A:$J,MATCH('Resultados dashboard'!$B178,Partidas!$C:$C,0),2)</f>
        <v>45353</v>
      </c>
      <c r="B178" s="56">
        <f>+IF(COUNTIF($B$2:B177,B177)=VLOOKUP(B177,Partidas!$C:$J,8,0),B177+1,B177)</f>
        <v>39</v>
      </c>
      <c r="C178" s="41" t="str">
        <f t="array" ref="C178">+INDEX(Partidas!$A:$J,MATCH('Resultados dashboard'!$B178,Partidas!$C:$C,0),3+COUNTIF($B$2:B178,'Resultados dashboard'!$B178))</f>
        <v>Sofi</v>
      </c>
      <c r="D178" s="54">
        <v>4</v>
      </c>
      <c r="E178" s="54">
        <v>1</v>
      </c>
      <c r="F178" s="54">
        <v>1</v>
      </c>
      <c r="G178" s="53"/>
      <c r="H178" s="38">
        <f t="shared" si="0"/>
        <v>7</v>
      </c>
      <c r="I178" s="38">
        <f t="shared" si="1"/>
        <v>2</v>
      </c>
      <c r="J178" s="55"/>
    </row>
    <row r="179" spans="1:10" ht="12.75" customHeight="1" x14ac:dyDescent="0.2">
      <c r="A179" s="50">
        <f t="array" ref="A179">+INDEX(Partidas!$A:$J,MATCH('Resultados dashboard'!$B179,Partidas!$C:$C,0),2)</f>
        <v>45353</v>
      </c>
      <c r="B179" s="56">
        <f>+IF(COUNTIF($B$2:B178,B178)=VLOOKUP(B178,Partidas!$C:$J,8,0),B178+1,B178)</f>
        <v>40</v>
      </c>
      <c r="C179" s="41" t="str">
        <f t="array" ref="C179">+INDEX(Partidas!$A:$J,MATCH('Resultados dashboard'!$B179,Partidas!$C:$C,0),3+COUNTIF($B$2:B179,'Resultados dashboard'!$B179))</f>
        <v>Gallo</v>
      </c>
      <c r="D179" s="54">
        <v>6</v>
      </c>
      <c r="E179" s="54">
        <v>1</v>
      </c>
      <c r="F179" s="53"/>
      <c r="G179" s="54">
        <v>1</v>
      </c>
      <c r="H179" s="38">
        <f t="shared" si="0"/>
        <v>9</v>
      </c>
      <c r="I179" s="38">
        <f t="shared" si="1"/>
        <v>2</v>
      </c>
      <c r="J179" s="55"/>
    </row>
    <row r="180" spans="1:10" ht="12.75" customHeight="1" x14ac:dyDescent="0.2">
      <c r="A180" s="50">
        <f t="array" ref="A180">+INDEX(Partidas!$A:$J,MATCH('Resultados dashboard'!$B180,Partidas!$C:$C,0),2)</f>
        <v>45353</v>
      </c>
      <c r="B180" s="56">
        <f>+IF(COUNTIF($B$2:B179,B179)=VLOOKUP(B179,Partidas!$C:$J,8,0),B179+1,B179)</f>
        <v>40</v>
      </c>
      <c r="C180" s="41" t="str">
        <f t="array" ref="C180">+INDEX(Partidas!$A:$J,MATCH('Resultados dashboard'!$B180,Partidas!$C:$C,0),3+COUNTIF($B$2:B180,'Resultados dashboard'!$B180))</f>
        <v>Max</v>
      </c>
      <c r="D180" s="54">
        <v>6</v>
      </c>
      <c r="E180" s="53"/>
      <c r="F180" s="53"/>
      <c r="G180" s="53"/>
      <c r="H180" s="38">
        <f t="shared" si="0"/>
        <v>6</v>
      </c>
      <c r="I180" s="38">
        <f t="shared" si="1"/>
        <v>4</v>
      </c>
      <c r="J180" s="55"/>
    </row>
    <row r="181" spans="1:10" ht="12.75" customHeight="1" x14ac:dyDescent="0.2">
      <c r="A181" s="50">
        <f t="array" ref="A181">+INDEX(Partidas!$A:$J,MATCH('Resultados dashboard'!$B181,Partidas!$C:$C,0),2)</f>
        <v>45353</v>
      </c>
      <c r="B181" s="56">
        <f>+IF(COUNTIF($B$2:B180,B180)=VLOOKUP(B180,Partidas!$C:$J,8,0),B180+1,B180)</f>
        <v>40</v>
      </c>
      <c r="C181" s="41" t="str">
        <f t="array" ref="C181">+INDEX(Partidas!$A:$J,MATCH('Resultados dashboard'!$B181,Partidas!$C:$C,0),3+COUNTIF($B$2:B181,'Resultados dashboard'!$B181))</f>
        <v>Hugo</v>
      </c>
      <c r="D181" s="54">
        <v>9</v>
      </c>
      <c r="E181" s="54">
        <v>1</v>
      </c>
      <c r="F181" s="53"/>
      <c r="G181" s="53"/>
      <c r="H181" s="38">
        <f t="shared" si="0"/>
        <v>10</v>
      </c>
      <c r="I181" s="38">
        <f t="shared" si="1"/>
        <v>1</v>
      </c>
      <c r="J181" s="55"/>
    </row>
    <row r="182" spans="1:10" ht="12.75" customHeight="1" x14ac:dyDescent="0.2">
      <c r="A182" s="50">
        <f t="array" ref="A182">+INDEX(Partidas!$A:$J,MATCH('Resultados dashboard'!$B182,Partidas!$C:$C,0),2)</f>
        <v>45353</v>
      </c>
      <c r="B182" s="56">
        <f>+IF(COUNTIF($B$2:B181,B181)=VLOOKUP(B181,Partidas!$C:$J,8,0),B181+1,B181)</f>
        <v>40</v>
      </c>
      <c r="C182" s="41" t="str">
        <f t="array" ref="C182">+INDEX(Partidas!$A:$J,MATCH('Resultados dashboard'!$B182,Partidas!$C:$C,0),3+COUNTIF($B$2:B182,'Resultados dashboard'!$B182))</f>
        <v>Sofi</v>
      </c>
      <c r="D182" s="54">
        <v>4</v>
      </c>
      <c r="E182" s="54">
        <v>2</v>
      </c>
      <c r="F182" s="54">
        <v>1</v>
      </c>
      <c r="G182" s="53"/>
      <c r="H182" s="38">
        <f t="shared" si="0"/>
        <v>8</v>
      </c>
      <c r="I182" s="38">
        <f t="shared" si="1"/>
        <v>3</v>
      </c>
      <c r="J182" s="55"/>
    </row>
    <row r="183" spans="1:10" ht="12.75" customHeight="1" x14ac:dyDescent="0.2">
      <c r="A183" s="50">
        <f t="array" ref="A183">+INDEX(Partidas!$A:$J,MATCH('Resultados dashboard'!$B183,Partidas!$C:$C,0),2)</f>
        <v>45353</v>
      </c>
      <c r="B183" s="56">
        <f>+IF(COUNTIF($B$2:B182,B182)=VLOOKUP(B182,Partidas!$C:$J,8,0),B182+1,B182)</f>
        <v>41</v>
      </c>
      <c r="C183" s="41" t="str">
        <f t="array" ref="C183">+INDEX(Partidas!$A:$J,MATCH('Resultados dashboard'!$B183,Partidas!$C:$C,0),3+COUNTIF($B$2:B183,'Resultados dashboard'!$B183))</f>
        <v>Gallo</v>
      </c>
      <c r="D183" s="54">
        <v>5</v>
      </c>
      <c r="E183" s="54">
        <v>2</v>
      </c>
      <c r="F183" s="53"/>
      <c r="G183" s="53"/>
      <c r="H183" s="38">
        <f t="shared" si="0"/>
        <v>7</v>
      </c>
      <c r="I183" s="38">
        <f t="shared" si="1"/>
        <v>3</v>
      </c>
      <c r="J183" s="55"/>
    </row>
    <row r="184" spans="1:10" ht="12.75" customHeight="1" x14ac:dyDescent="0.2">
      <c r="A184" s="50">
        <f t="array" ref="A184">+INDEX(Partidas!$A:$J,MATCH('Resultados dashboard'!$B184,Partidas!$C:$C,0),2)</f>
        <v>45353</v>
      </c>
      <c r="B184" s="56">
        <f>+IF(COUNTIF($B$2:B183,B183)=VLOOKUP(B183,Partidas!$C:$J,8,0),B183+1,B183)</f>
        <v>41</v>
      </c>
      <c r="C184" s="41" t="str">
        <f t="array" ref="C184">+INDEX(Partidas!$A:$J,MATCH('Resultados dashboard'!$B184,Partidas!$C:$C,0),3+COUNTIF($B$2:B184,'Resultados dashboard'!$B184))</f>
        <v>Max</v>
      </c>
      <c r="D184" s="54">
        <v>7</v>
      </c>
      <c r="E184" s="53"/>
      <c r="F184" s="54"/>
      <c r="G184" s="54">
        <v>1</v>
      </c>
      <c r="H184" s="38">
        <f t="shared" si="0"/>
        <v>9</v>
      </c>
      <c r="I184" s="38">
        <f t="shared" si="1"/>
        <v>2</v>
      </c>
      <c r="J184" s="55"/>
    </row>
    <row r="185" spans="1:10" ht="12.75" customHeight="1" x14ac:dyDescent="0.2">
      <c r="A185" s="50">
        <f t="array" ref="A185">+INDEX(Partidas!$A:$J,MATCH('Resultados dashboard'!$B185,Partidas!$C:$C,0),2)</f>
        <v>45353</v>
      </c>
      <c r="B185" s="56">
        <f>+IF(COUNTIF($B$2:B184,B184)=VLOOKUP(B184,Partidas!$C:$J,8,0),B184+1,B184)</f>
        <v>41</v>
      </c>
      <c r="C185" s="41" t="str">
        <f t="array" ref="C185">+INDEX(Partidas!$A:$J,MATCH('Resultados dashboard'!$B185,Partidas!$C:$C,0),3+COUNTIF($B$2:B185,'Resultados dashboard'!$B185))</f>
        <v>Hugo</v>
      </c>
      <c r="D185" s="54">
        <v>3</v>
      </c>
      <c r="E185" s="54">
        <v>2</v>
      </c>
      <c r="F185" s="54">
        <v>1</v>
      </c>
      <c r="G185" s="53"/>
      <c r="H185" s="38">
        <f t="shared" si="0"/>
        <v>6</v>
      </c>
      <c r="I185" s="38">
        <f t="shared" si="1"/>
        <v>4</v>
      </c>
      <c r="J185" s="57">
        <v>-1</v>
      </c>
    </row>
    <row r="186" spans="1:10" ht="12.75" customHeight="1" x14ac:dyDescent="0.2">
      <c r="A186" s="50">
        <f t="array" ref="A186">+INDEX(Partidas!$A:$J,MATCH('Resultados dashboard'!$B186,Partidas!$C:$C,0),2)</f>
        <v>45353</v>
      </c>
      <c r="B186" s="56">
        <f>+IF(COUNTIF($B$2:B185,B185)=VLOOKUP(B185,Partidas!$C:$J,8,0),B185+1,B185)</f>
        <v>41</v>
      </c>
      <c r="C186" s="41" t="str">
        <f t="array" ref="C186">+INDEX(Partidas!$A:$J,MATCH('Resultados dashboard'!$B186,Partidas!$C:$C,0),3+COUNTIF($B$2:B186,'Resultados dashboard'!$B186))</f>
        <v>Sofi</v>
      </c>
      <c r="D186" s="54">
        <v>10</v>
      </c>
      <c r="E186" s="54">
        <v>1</v>
      </c>
      <c r="F186" s="53"/>
      <c r="G186" s="53"/>
      <c r="H186" s="38">
        <f t="shared" si="0"/>
        <v>11</v>
      </c>
      <c r="I186" s="38">
        <f t="shared" si="1"/>
        <v>1</v>
      </c>
      <c r="J186" s="55"/>
    </row>
    <row r="187" spans="1:10" ht="12.75" customHeight="1" x14ac:dyDescent="0.2">
      <c r="A187" s="50">
        <f t="array" ref="A187">+INDEX(Partidas!$A:$J,MATCH('Resultados dashboard'!$B187,Partidas!$C:$C,0),2)</f>
        <v>45353</v>
      </c>
      <c r="B187" s="56">
        <f>+IF(COUNTIF($B$2:B186,B186)=VLOOKUP(B186,Partidas!$C:$J,8,0),B186+1,B186)</f>
        <v>42</v>
      </c>
      <c r="C187" s="41" t="str">
        <f t="array" ref="C187">+INDEX(Partidas!$A:$J,MATCH('Resultados dashboard'!$B187,Partidas!$C:$C,0),3+COUNTIF($B$2:B187,'Resultados dashboard'!$B187))</f>
        <v>Gallo</v>
      </c>
      <c r="D187" s="54">
        <v>6</v>
      </c>
      <c r="E187" s="54">
        <v>1</v>
      </c>
      <c r="F187" s="53"/>
      <c r="G187" s="53"/>
      <c r="H187" s="38">
        <f t="shared" si="0"/>
        <v>7</v>
      </c>
      <c r="I187" s="38">
        <f t="shared" si="1"/>
        <v>3</v>
      </c>
      <c r="J187" s="55"/>
    </row>
    <row r="188" spans="1:10" ht="12.75" customHeight="1" x14ac:dyDescent="0.2">
      <c r="A188" s="50">
        <f t="array" ref="A188">+INDEX(Partidas!$A:$J,MATCH('Resultados dashboard'!$B188,Partidas!$C:$C,0),2)</f>
        <v>45353</v>
      </c>
      <c r="B188" s="56">
        <f>+IF(COUNTIF($B$2:B187,B187)=VLOOKUP(B187,Partidas!$C:$J,8,0),B187+1,B187)</f>
        <v>42</v>
      </c>
      <c r="C188" s="41" t="str">
        <f t="array" ref="C188">+INDEX(Partidas!$A:$J,MATCH('Resultados dashboard'!$B188,Partidas!$C:$C,0),3+COUNTIF($B$2:B188,'Resultados dashboard'!$B188))</f>
        <v>Max</v>
      </c>
      <c r="D188" s="54">
        <v>8</v>
      </c>
      <c r="E188" s="53"/>
      <c r="F188" s="53"/>
      <c r="G188" s="54">
        <v>1</v>
      </c>
      <c r="H188" s="38">
        <f t="shared" si="0"/>
        <v>10</v>
      </c>
      <c r="I188" s="38">
        <f t="shared" si="1"/>
        <v>1</v>
      </c>
      <c r="J188" s="55"/>
    </row>
    <row r="189" spans="1:10" ht="12.75" customHeight="1" x14ac:dyDescent="0.2">
      <c r="A189" s="50">
        <f t="array" ref="A189">+INDEX(Partidas!$A:$J,MATCH('Resultados dashboard'!$B189,Partidas!$C:$C,0),2)</f>
        <v>45353</v>
      </c>
      <c r="B189" s="56">
        <f>+IF(COUNTIF($B$2:B188,B188)=VLOOKUP(B188,Partidas!$C:$J,8,0),B188+1,B188)</f>
        <v>42</v>
      </c>
      <c r="C189" s="41" t="str">
        <f t="array" ref="C189">+INDEX(Partidas!$A:$J,MATCH('Resultados dashboard'!$B189,Partidas!$C:$C,0),3+COUNTIF($B$2:B189,'Resultados dashboard'!$B189))</f>
        <v>Hugo</v>
      </c>
      <c r="D189" s="54">
        <v>3</v>
      </c>
      <c r="E189" s="54">
        <v>1</v>
      </c>
      <c r="F189" s="54">
        <v>1</v>
      </c>
      <c r="G189" s="53"/>
      <c r="H189" s="38">
        <f t="shared" si="0"/>
        <v>6</v>
      </c>
      <c r="I189" s="38">
        <f t="shared" si="1"/>
        <v>4</v>
      </c>
      <c r="J189" s="55"/>
    </row>
    <row r="190" spans="1:10" ht="12.75" customHeight="1" x14ac:dyDescent="0.2">
      <c r="A190" s="50">
        <f t="array" ref="A190">+INDEX(Partidas!$A:$J,MATCH('Resultados dashboard'!$B190,Partidas!$C:$C,0),2)</f>
        <v>45353</v>
      </c>
      <c r="B190" s="56">
        <f>+IF(COUNTIF($B$2:B189,B189)=VLOOKUP(B189,Partidas!$C:$J,8,0),B189+1,B189)</f>
        <v>42</v>
      </c>
      <c r="C190" s="41" t="str">
        <f t="array" ref="C190">+INDEX(Partidas!$A:$J,MATCH('Resultados dashboard'!$B190,Partidas!$C:$C,0),3+COUNTIF($B$2:B190,'Resultados dashboard'!$B190))</f>
        <v>Sofi</v>
      </c>
      <c r="D190" s="54">
        <v>8</v>
      </c>
      <c r="E190" s="53"/>
      <c r="F190" s="53"/>
      <c r="G190" s="53"/>
      <c r="H190" s="38">
        <f t="shared" si="0"/>
        <v>8</v>
      </c>
      <c r="I190" s="38">
        <f t="shared" si="1"/>
        <v>2</v>
      </c>
      <c r="J190" s="55"/>
    </row>
    <row r="191" spans="1:10" ht="12.75" customHeight="1" x14ac:dyDescent="0.2">
      <c r="A191" s="50">
        <f t="array" ref="A191">+INDEX(Partidas!$A:$J,MATCH('Resultados dashboard'!$B191,Partidas!$C:$C,0),2)</f>
        <v>45353</v>
      </c>
      <c r="B191" s="56">
        <f>+IF(COUNTIF($B$2:B190,B190)=VLOOKUP(B190,Partidas!$C:$J,8,0),B190+1,B190)</f>
        <v>43</v>
      </c>
      <c r="C191" s="41" t="str">
        <f t="array" ref="C191">+INDEX(Partidas!$A:$J,MATCH('Resultados dashboard'!$B191,Partidas!$C:$C,0),3+COUNTIF($B$2:B191,'Resultados dashboard'!$B191))</f>
        <v>Gallo</v>
      </c>
      <c r="D191" s="54">
        <v>5</v>
      </c>
      <c r="E191" s="54">
        <v>1</v>
      </c>
      <c r="F191" s="54">
        <v>1</v>
      </c>
      <c r="G191" s="53"/>
      <c r="H191" s="38">
        <f t="shared" si="0"/>
        <v>8</v>
      </c>
      <c r="I191" s="38">
        <f t="shared" si="1"/>
        <v>2</v>
      </c>
      <c r="J191" s="55"/>
    </row>
    <row r="192" spans="1:10" ht="12.75" customHeight="1" x14ac:dyDescent="0.2">
      <c r="A192" s="50">
        <f t="array" ref="A192">+INDEX(Partidas!$A:$J,MATCH('Resultados dashboard'!$B192,Partidas!$C:$C,0),2)</f>
        <v>45353</v>
      </c>
      <c r="B192" s="56">
        <f>+IF(COUNTIF($B$2:B191,B191)=VLOOKUP(B191,Partidas!$C:$J,8,0),B191+1,B191)</f>
        <v>43</v>
      </c>
      <c r="C192" s="41" t="str">
        <f t="array" ref="C192">+INDEX(Partidas!$A:$J,MATCH('Resultados dashboard'!$B192,Partidas!$C:$C,0),3+COUNTIF($B$2:B192,'Resultados dashboard'!$B192))</f>
        <v>Max</v>
      </c>
      <c r="D192" s="54">
        <v>5</v>
      </c>
      <c r="E192" s="53"/>
      <c r="F192" s="53"/>
      <c r="G192" s="53"/>
      <c r="H192" s="38">
        <f t="shared" si="0"/>
        <v>5</v>
      </c>
      <c r="I192" s="38">
        <f t="shared" si="1"/>
        <v>5</v>
      </c>
      <c r="J192" s="55"/>
    </row>
    <row r="193" spans="1:10" ht="12.75" customHeight="1" x14ac:dyDescent="0.2">
      <c r="A193" s="50">
        <f t="array" ref="A193">+INDEX(Partidas!$A:$J,MATCH('Resultados dashboard'!$B193,Partidas!$C:$C,0),2)</f>
        <v>45353</v>
      </c>
      <c r="B193" s="56">
        <f>+IF(COUNTIF($B$2:B192,B192)=VLOOKUP(B192,Partidas!$C:$J,8,0),B192+1,B192)</f>
        <v>43</v>
      </c>
      <c r="C193" s="41" t="str">
        <f t="array" ref="C193">+INDEX(Partidas!$A:$J,MATCH('Resultados dashboard'!$B193,Partidas!$C:$C,0),3+COUNTIF($B$2:B193,'Resultados dashboard'!$B193))</f>
        <v>Hugo</v>
      </c>
      <c r="D193" s="54">
        <v>9</v>
      </c>
      <c r="E193" s="54">
        <v>1</v>
      </c>
      <c r="F193" s="53"/>
      <c r="G193" s="53"/>
      <c r="H193" s="38">
        <f t="shared" si="0"/>
        <v>10</v>
      </c>
      <c r="I193" s="38">
        <f t="shared" si="1"/>
        <v>1</v>
      </c>
      <c r="J193" s="55"/>
    </row>
    <row r="194" spans="1:10" ht="12.75" customHeight="1" x14ac:dyDescent="0.2">
      <c r="A194" s="50">
        <f t="array" ref="A194">+INDEX(Partidas!$A:$J,MATCH('Resultados dashboard'!$B194,Partidas!$C:$C,0),2)</f>
        <v>45353</v>
      </c>
      <c r="B194" s="56">
        <f>+IF(COUNTIF($B$2:B193,B193)=VLOOKUP(B193,Partidas!$C:$J,8,0),B193+1,B193)</f>
        <v>43</v>
      </c>
      <c r="C194" s="41" t="str">
        <f t="array" ref="C194">+INDEX(Partidas!$A:$J,MATCH('Resultados dashboard'!$B194,Partidas!$C:$C,0),3+COUNTIF($B$2:B194,'Resultados dashboard'!$B194))</f>
        <v>Sofi</v>
      </c>
      <c r="D194" s="54">
        <v>4</v>
      </c>
      <c r="E194" s="53"/>
      <c r="F194" s="53"/>
      <c r="G194" s="54">
        <v>1</v>
      </c>
      <c r="H194" s="38">
        <f t="shared" si="0"/>
        <v>6</v>
      </c>
      <c r="I194" s="38">
        <f t="shared" si="1"/>
        <v>4</v>
      </c>
      <c r="J194" s="55"/>
    </row>
    <row r="195" spans="1:10" ht="12.75" customHeight="1" x14ac:dyDescent="0.2">
      <c r="A195" s="50">
        <f t="array" ref="A195">+INDEX(Partidas!$A:$J,MATCH('Resultados dashboard'!$B195,Partidas!$C:$C,0),2)</f>
        <v>45353</v>
      </c>
      <c r="B195" s="56">
        <f>+IF(COUNTIF($B$2:B194,B194)=VLOOKUP(B194,Partidas!$C:$J,8,0),B194+1,B194)</f>
        <v>43</v>
      </c>
      <c r="C195" s="41" t="str">
        <f t="array" ref="C195">+INDEX(Partidas!$A:$J,MATCH('Resultados dashboard'!$B195,Partidas!$C:$C,0),3+COUNTIF($B$2:B195,'Resultados dashboard'!$B195))</f>
        <v>Ivo</v>
      </c>
      <c r="D195" s="54">
        <v>5</v>
      </c>
      <c r="E195" s="54">
        <v>2</v>
      </c>
      <c r="F195" s="53"/>
      <c r="G195" s="53"/>
      <c r="H195" s="38">
        <f t="shared" si="0"/>
        <v>7</v>
      </c>
      <c r="I195" s="38">
        <f t="shared" si="1"/>
        <v>3</v>
      </c>
      <c r="J195" s="55"/>
    </row>
    <row r="196" spans="1:10" ht="12.75" customHeight="1" x14ac:dyDescent="0.2">
      <c r="A196" s="50">
        <f t="array" ref="A196">+INDEX(Partidas!$A:$J,MATCH('Resultados dashboard'!$B196,Partidas!$C:$C,0),2)</f>
        <v>45353</v>
      </c>
      <c r="B196" s="56">
        <f>+IF(COUNTIF($B$2:B195,B195)=VLOOKUP(B195,Partidas!$C:$J,8,0),B195+1,B195)</f>
        <v>44</v>
      </c>
      <c r="C196" s="41" t="str">
        <f t="array" ref="C196">+INDEX(Partidas!$A:$J,MATCH('Resultados dashboard'!$B196,Partidas!$C:$C,0),3+COUNTIF($B$2:B196,'Resultados dashboard'!$B196))</f>
        <v>Gallo</v>
      </c>
      <c r="D196" s="54">
        <v>7</v>
      </c>
      <c r="E196" s="53"/>
      <c r="F196" s="53"/>
      <c r="G196" s="53"/>
      <c r="H196" s="38">
        <f t="shared" si="0"/>
        <v>7</v>
      </c>
      <c r="I196" s="38">
        <f t="shared" si="1"/>
        <v>4</v>
      </c>
      <c r="J196" s="55"/>
    </row>
    <row r="197" spans="1:10" ht="12.75" customHeight="1" x14ac:dyDescent="0.2">
      <c r="A197" s="50">
        <f t="array" ref="A197">+INDEX(Partidas!$A:$J,MATCH('Resultados dashboard'!$B197,Partidas!$C:$C,0),2)</f>
        <v>45353</v>
      </c>
      <c r="B197" s="56">
        <f>+IF(COUNTIF($B$2:B196,B196)=VLOOKUP(B196,Partidas!$C:$J,8,0),B196+1,B196)</f>
        <v>44</v>
      </c>
      <c r="C197" s="41" t="str">
        <f t="array" ref="C197">+INDEX(Partidas!$A:$J,MATCH('Resultados dashboard'!$B197,Partidas!$C:$C,0),3+COUNTIF($B$2:B197,'Resultados dashboard'!$B197))</f>
        <v>Max</v>
      </c>
      <c r="D197" s="54">
        <v>7</v>
      </c>
      <c r="E197" s="54">
        <v>1</v>
      </c>
      <c r="F197" s="54">
        <v>1</v>
      </c>
      <c r="G197" s="53"/>
      <c r="H197" s="38">
        <f t="shared" si="0"/>
        <v>10</v>
      </c>
      <c r="I197" s="38">
        <f t="shared" si="1"/>
        <v>1</v>
      </c>
      <c r="J197" s="55"/>
    </row>
    <row r="198" spans="1:10" ht="12.75" customHeight="1" x14ac:dyDescent="0.2">
      <c r="A198" s="50">
        <f t="array" ref="A198">+INDEX(Partidas!$A:$J,MATCH('Resultados dashboard'!$B198,Partidas!$C:$C,0),2)</f>
        <v>45353</v>
      </c>
      <c r="B198" s="56">
        <f>+IF(COUNTIF($B$2:B197,B197)=VLOOKUP(B197,Partidas!$C:$J,8,0),B197+1,B197)</f>
        <v>44</v>
      </c>
      <c r="C198" s="41" t="str">
        <f t="array" ref="C198">+INDEX(Partidas!$A:$J,MATCH('Resultados dashboard'!$B198,Partidas!$C:$C,0),3+COUNTIF($B$2:B198,'Resultados dashboard'!$B198))</f>
        <v>Hugo</v>
      </c>
      <c r="D198" s="54">
        <v>7</v>
      </c>
      <c r="E198" s="54">
        <v>1</v>
      </c>
      <c r="F198" s="53"/>
      <c r="G198" s="53"/>
      <c r="H198" s="38">
        <f t="shared" si="0"/>
        <v>8</v>
      </c>
      <c r="I198" s="38">
        <f t="shared" si="1"/>
        <v>2</v>
      </c>
      <c r="J198" s="55"/>
    </row>
    <row r="199" spans="1:10" ht="12.75" customHeight="1" x14ac:dyDescent="0.2">
      <c r="A199" s="50">
        <f t="array" ref="A199">+INDEX(Partidas!$A:$J,MATCH('Resultados dashboard'!$B199,Partidas!$C:$C,0),2)</f>
        <v>45353</v>
      </c>
      <c r="B199" s="56">
        <f>+IF(COUNTIF($B$2:B198,B198)=VLOOKUP(B198,Partidas!$C:$J,8,0),B198+1,B198)</f>
        <v>44</v>
      </c>
      <c r="C199" s="41" t="str">
        <f t="array" ref="C199">+INDEX(Partidas!$A:$J,MATCH('Resultados dashboard'!$B199,Partidas!$C:$C,0),3+COUNTIF($B$2:B199,'Resultados dashboard'!$B199))</f>
        <v>Sofi</v>
      </c>
      <c r="D199" s="54">
        <v>6</v>
      </c>
      <c r="E199" s="53"/>
      <c r="F199" s="53"/>
      <c r="G199" s="54">
        <v>1</v>
      </c>
      <c r="H199" s="38">
        <f t="shared" si="0"/>
        <v>8</v>
      </c>
      <c r="I199" s="38">
        <f t="shared" si="1"/>
        <v>2</v>
      </c>
      <c r="J199" s="55"/>
    </row>
    <row r="200" spans="1:10" ht="12.75" customHeight="1" x14ac:dyDescent="0.2">
      <c r="A200" s="50">
        <f t="array" ref="A200">+INDEX(Partidas!$A:$J,MATCH('Resultados dashboard'!$B200,Partidas!$C:$C,0),2)</f>
        <v>45353</v>
      </c>
      <c r="B200" s="56">
        <f>+IF(COUNTIF($B$2:B199,B199)=VLOOKUP(B199,Partidas!$C:$J,8,0),B199+1,B199)</f>
        <v>44</v>
      </c>
      <c r="C200" s="41" t="str">
        <f t="array" ref="C200">+INDEX(Partidas!$A:$J,MATCH('Resultados dashboard'!$B200,Partidas!$C:$C,0),3+COUNTIF($B$2:B200,'Resultados dashboard'!$B200))</f>
        <v>Ivo</v>
      </c>
      <c r="D200" s="54">
        <v>5</v>
      </c>
      <c r="E200" s="53"/>
      <c r="F200" s="53"/>
      <c r="G200" s="53"/>
      <c r="H200" s="38">
        <f t="shared" si="0"/>
        <v>5</v>
      </c>
      <c r="I200" s="38">
        <f t="shared" si="1"/>
        <v>5</v>
      </c>
      <c r="J200" s="55"/>
    </row>
    <row r="201" spans="1:10" ht="12.75" customHeight="1" x14ac:dyDescent="0.2">
      <c r="A201" s="50">
        <f t="array" ref="A201">+INDEX(Partidas!$A:$J,MATCH('Resultados dashboard'!$B201,Partidas!$C:$C,0),2)</f>
        <v>45353</v>
      </c>
      <c r="B201" s="56">
        <f>+IF(COUNTIF($B$2:B200,B200)=VLOOKUP(B200,Partidas!$C:$J,8,0),B200+1,B200)</f>
        <v>45</v>
      </c>
      <c r="C201" s="41" t="str">
        <f t="array" ref="C201">+INDEX(Partidas!$A:$J,MATCH('Resultados dashboard'!$B201,Partidas!$C:$C,0),3+COUNTIF($B$2:B201,'Resultados dashboard'!$B201))</f>
        <v>Gallo</v>
      </c>
      <c r="D201" s="54">
        <v>8</v>
      </c>
      <c r="E201" s="54">
        <v>1</v>
      </c>
      <c r="F201" s="53"/>
      <c r="G201" s="53"/>
      <c r="H201" s="38">
        <f t="shared" si="0"/>
        <v>9</v>
      </c>
      <c r="I201" s="38">
        <f t="shared" si="1"/>
        <v>2</v>
      </c>
      <c r="J201" s="55"/>
    </row>
    <row r="202" spans="1:10" ht="12.75" customHeight="1" x14ac:dyDescent="0.2">
      <c r="A202" s="50">
        <f t="array" ref="A202">+INDEX(Partidas!$A:$J,MATCH('Resultados dashboard'!$B202,Partidas!$C:$C,0),2)</f>
        <v>45353</v>
      </c>
      <c r="B202" s="56">
        <f>+IF(COUNTIF($B$2:B201,B201)=VLOOKUP(B201,Partidas!$C:$J,8,0),B201+1,B201)</f>
        <v>45</v>
      </c>
      <c r="C202" s="41" t="str">
        <f t="array" ref="C202">+INDEX(Partidas!$A:$J,MATCH('Resultados dashboard'!$B202,Partidas!$C:$C,0),3+COUNTIF($B$2:B202,'Resultados dashboard'!$B202))</f>
        <v>Max</v>
      </c>
      <c r="D202" s="54">
        <v>9</v>
      </c>
      <c r="E202" s="53"/>
      <c r="F202" s="53"/>
      <c r="G202" s="53"/>
      <c r="H202" s="38">
        <f t="shared" si="0"/>
        <v>9</v>
      </c>
      <c r="I202" s="38">
        <f t="shared" si="1"/>
        <v>2</v>
      </c>
      <c r="J202" s="55"/>
    </row>
    <row r="203" spans="1:10" ht="12.75" customHeight="1" x14ac:dyDescent="0.2">
      <c r="A203" s="50">
        <f t="array" ref="A203">+INDEX(Partidas!$A:$J,MATCH('Resultados dashboard'!$B203,Partidas!$C:$C,0),2)</f>
        <v>45353</v>
      </c>
      <c r="B203" s="56">
        <f>+IF(COUNTIF($B$2:B202,B202)=VLOOKUP(B202,Partidas!$C:$J,8,0),B202+1,B202)</f>
        <v>45</v>
      </c>
      <c r="C203" s="41" t="str">
        <f t="array" ref="C203">+INDEX(Partidas!$A:$J,MATCH('Resultados dashboard'!$B203,Partidas!$C:$C,0),3+COUNTIF($B$2:B203,'Resultados dashboard'!$B203))</f>
        <v>Hugo</v>
      </c>
      <c r="D203" s="54">
        <v>8</v>
      </c>
      <c r="E203" s="53"/>
      <c r="F203" s="53"/>
      <c r="G203" s="54">
        <v>1</v>
      </c>
      <c r="H203" s="38">
        <f t="shared" si="0"/>
        <v>10</v>
      </c>
      <c r="I203" s="38">
        <f t="shared" si="1"/>
        <v>1</v>
      </c>
      <c r="J203" s="55"/>
    </row>
    <row r="204" spans="1:10" ht="12.75" customHeight="1" x14ac:dyDescent="0.2">
      <c r="A204" s="50">
        <f t="array" ref="A204">+INDEX(Partidas!$A:$J,MATCH('Resultados dashboard'!$B204,Partidas!$C:$C,0),2)</f>
        <v>45353</v>
      </c>
      <c r="B204" s="56">
        <f>+IF(COUNTIF($B$2:B203,B203)=VLOOKUP(B203,Partidas!$C:$J,8,0),B203+1,B203)</f>
        <v>45</v>
      </c>
      <c r="C204" s="41" t="str">
        <f t="array" ref="C204">+INDEX(Partidas!$A:$J,MATCH('Resultados dashboard'!$B204,Partidas!$C:$C,0),3+COUNTIF($B$2:B204,'Resultados dashboard'!$B204))</f>
        <v>Sofi</v>
      </c>
      <c r="D204" s="54">
        <v>7</v>
      </c>
      <c r="E204" s="53"/>
      <c r="F204" s="53"/>
      <c r="G204" s="53"/>
      <c r="H204" s="38">
        <f t="shared" si="0"/>
        <v>7</v>
      </c>
      <c r="I204" s="38">
        <f t="shared" si="1"/>
        <v>5</v>
      </c>
      <c r="J204" s="55"/>
    </row>
    <row r="205" spans="1:10" ht="12.75" customHeight="1" x14ac:dyDescent="0.2">
      <c r="A205" s="50">
        <f t="array" ref="A205">+INDEX(Partidas!$A:$J,MATCH('Resultados dashboard'!$B205,Partidas!$C:$C,0),2)</f>
        <v>45353</v>
      </c>
      <c r="B205" s="56">
        <f>+IF(COUNTIF($B$2:B204,B204)=VLOOKUP(B204,Partidas!$C:$J,8,0),B204+1,B204)</f>
        <v>45</v>
      </c>
      <c r="C205" s="41" t="str">
        <f t="array" ref="C205">+INDEX(Partidas!$A:$J,MATCH('Resultados dashboard'!$B205,Partidas!$C:$C,0),3+COUNTIF($B$2:B205,'Resultados dashboard'!$B205))</f>
        <v>Ivo</v>
      </c>
      <c r="D205" s="54">
        <v>6</v>
      </c>
      <c r="E205" s="54">
        <v>1</v>
      </c>
      <c r="F205" s="54">
        <v>1</v>
      </c>
      <c r="G205" s="53"/>
      <c r="H205" s="38">
        <f t="shared" si="0"/>
        <v>9</v>
      </c>
      <c r="I205" s="38">
        <f t="shared" si="1"/>
        <v>2</v>
      </c>
      <c r="J205" s="55"/>
    </row>
    <row r="206" spans="1:10" ht="12.75" customHeight="1" x14ac:dyDescent="0.2">
      <c r="A206" s="50">
        <f t="array" ref="A206">+INDEX(Partidas!$A:$J,MATCH('Resultados dashboard'!$B206,Partidas!$C:$C,0),2)</f>
        <v>45357</v>
      </c>
      <c r="B206" s="56">
        <f>+IF(COUNTIF($B$2:B205,B205)=VLOOKUP(B205,Partidas!$C:$J,8,0),B205+1,B205)</f>
        <v>46</v>
      </c>
      <c r="C206" s="41" t="str">
        <f t="array" ref="C206">+INDEX(Partidas!$A:$J,MATCH('Resultados dashboard'!$B206,Partidas!$C:$C,0),3+COUNTIF($B$2:B206,'Resultados dashboard'!$B206))</f>
        <v>Gallo</v>
      </c>
      <c r="D206" s="54">
        <v>6</v>
      </c>
      <c r="E206" s="54"/>
      <c r="F206" s="54"/>
      <c r="G206" s="54">
        <v>1</v>
      </c>
      <c r="H206" s="38">
        <f t="shared" si="0"/>
        <v>8</v>
      </c>
      <c r="I206" s="38">
        <f t="shared" si="1"/>
        <v>2</v>
      </c>
      <c r="J206" s="55"/>
    </row>
    <row r="207" spans="1:10" ht="12.75" customHeight="1" x14ac:dyDescent="0.2">
      <c r="A207" s="50">
        <f t="array" ref="A207">+INDEX(Partidas!$A:$J,MATCH('Resultados dashboard'!$B207,Partidas!$C:$C,0),2)</f>
        <v>45357</v>
      </c>
      <c r="B207" s="56">
        <f>+IF(COUNTIF($B$2:B206,B206)=VLOOKUP(B206,Partidas!$C:$J,8,0),B206+1,B206)</f>
        <v>46</v>
      </c>
      <c r="C207" s="41" t="str">
        <f t="array" ref="C207">+INDEX(Partidas!$A:$J,MATCH('Resultados dashboard'!$B207,Partidas!$C:$C,0),3+COUNTIF($B$2:B207,'Resultados dashboard'!$B207))</f>
        <v>Max</v>
      </c>
      <c r="D207" s="54">
        <v>7</v>
      </c>
      <c r="E207" s="53"/>
      <c r="F207" s="53"/>
      <c r="G207" s="53"/>
      <c r="H207" s="38">
        <f t="shared" si="0"/>
        <v>7</v>
      </c>
      <c r="I207" s="38">
        <f t="shared" si="1"/>
        <v>3</v>
      </c>
      <c r="J207" s="55"/>
    </row>
    <row r="208" spans="1:10" ht="12.75" customHeight="1" x14ac:dyDescent="0.2">
      <c r="A208" s="50">
        <f t="array" ref="A208">+INDEX(Partidas!$A:$J,MATCH('Resultados dashboard'!$B208,Partidas!$C:$C,0),2)</f>
        <v>45357</v>
      </c>
      <c r="B208" s="56">
        <f>+IF(COUNTIF($B$2:B207,B207)=VLOOKUP(B207,Partidas!$C:$J,8,0),B207+1,B207)</f>
        <v>46</v>
      </c>
      <c r="C208" s="41" t="str">
        <f t="array" ref="C208">+INDEX(Partidas!$A:$J,MATCH('Resultados dashboard'!$B208,Partidas!$C:$C,0),3+COUNTIF($B$2:B208,'Resultados dashboard'!$B208))</f>
        <v>Hugo</v>
      </c>
      <c r="D208" s="54">
        <v>7</v>
      </c>
      <c r="E208" s="54">
        <v>1</v>
      </c>
      <c r="F208" s="54">
        <v>1</v>
      </c>
      <c r="G208" s="53"/>
      <c r="H208" s="38">
        <f t="shared" si="0"/>
        <v>10</v>
      </c>
      <c r="I208" s="38">
        <f t="shared" si="1"/>
        <v>1</v>
      </c>
      <c r="J208" s="55"/>
    </row>
    <row r="209" spans="1:10" ht="12.75" customHeight="1" x14ac:dyDescent="0.2">
      <c r="A209" s="50">
        <f t="array" ref="A209">+INDEX(Partidas!$A:$J,MATCH('Resultados dashboard'!$B209,Partidas!$C:$C,0),2)</f>
        <v>45357</v>
      </c>
      <c r="B209" s="56">
        <f>+IF(COUNTIF($B$2:B208,B208)=VLOOKUP(B208,Partidas!$C:$J,8,0),B208+1,B208)</f>
        <v>46</v>
      </c>
      <c r="C209" s="41" t="str">
        <f t="array" ref="C209">+INDEX(Partidas!$A:$J,MATCH('Resultados dashboard'!$B209,Partidas!$C:$C,0),3+COUNTIF($B$2:B209,'Resultados dashboard'!$B209))</f>
        <v>Ivo</v>
      </c>
      <c r="D209" s="54">
        <v>5</v>
      </c>
      <c r="E209" s="53"/>
      <c r="F209" s="53"/>
      <c r="G209" s="53"/>
      <c r="H209" s="38">
        <f t="shared" si="0"/>
        <v>5</v>
      </c>
      <c r="I209" s="38">
        <f t="shared" si="1"/>
        <v>6</v>
      </c>
      <c r="J209" s="55"/>
    </row>
    <row r="210" spans="1:10" ht="12.75" customHeight="1" x14ac:dyDescent="0.2">
      <c r="A210" s="50">
        <f t="array" ref="A210">+INDEX(Partidas!$A:$J,MATCH('Resultados dashboard'!$B210,Partidas!$C:$C,0),2)</f>
        <v>45357</v>
      </c>
      <c r="B210" s="56">
        <f>+IF(COUNTIF($B$2:B209,B209)=VLOOKUP(B209,Partidas!$C:$J,8,0),B209+1,B209)</f>
        <v>46</v>
      </c>
      <c r="C210" s="41" t="str">
        <f t="array" ref="C210">+INDEX(Partidas!$A:$J,MATCH('Resultados dashboard'!$B210,Partidas!$C:$C,0),3+COUNTIF($B$2:B210,'Resultados dashboard'!$B210))</f>
        <v>Gaspa</v>
      </c>
      <c r="D210" s="54">
        <v>5</v>
      </c>
      <c r="E210" s="54">
        <v>2</v>
      </c>
      <c r="F210" s="53"/>
      <c r="G210" s="53"/>
      <c r="H210" s="38">
        <f t="shared" si="0"/>
        <v>7</v>
      </c>
      <c r="I210" s="38">
        <f t="shared" si="1"/>
        <v>3</v>
      </c>
      <c r="J210" s="55"/>
    </row>
    <row r="211" spans="1:10" ht="12.75" customHeight="1" x14ac:dyDescent="0.2">
      <c r="A211" s="50">
        <f t="array" ref="A211">+INDEX(Partidas!$A:$J,MATCH('Resultados dashboard'!$B211,Partidas!$C:$C,0),2)</f>
        <v>45357</v>
      </c>
      <c r="B211" s="56">
        <f>+IF(COUNTIF($B$2:B210,B210)=VLOOKUP(B210,Partidas!$C:$J,8,0),B210+1,B210)</f>
        <v>46</v>
      </c>
      <c r="C211" s="41" t="str">
        <f t="array" ref="C211">+INDEX(Partidas!$A:$J,MATCH('Resultados dashboard'!$B211,Partidas!$C:$C,0),3+COUNTIF($B$2:B211,'Resultados dashboard'!$B211))</f>
        <v>Beto</v>
      </c>
      <c r="D211" s="54">
        <v>6</v>
      </c>
      <c r="E211" s="54">
        <v>1</v>
      </c>
      <c r="F211" s="53"/>
      <c r="G211" s="53"/>
      <c r="H211" s="38">
        <f t="shared" si="0"/>
        <v>7</v>
      </c>
      <c r="I211" s="38">
        <f t="shared" si="1"/>
        <v>3</v>
      </c>
      <c r="J211" s="55"/>
    </row>
    <row r="212" spans="1:10" ht="12.75" customHeight="1" x14ac:dyDescent="0.2">
      <c r="A212" s="50">
        <f t="array" ref="A212">+INDEX(Partidas!$A:$J,MATCH('Resultados dashboard'!$B212,Partidas!$C:$C,0),2)</f>
        <v>45360</v>
      </c>
      <c r="B212" s="56">
        <f>+IF(COUNTIF($B$2:B211,B211)=VLOOKUP(B211,Partidas!$C:$J,8,0),B211+1,B211)</f>
        <v>47</v>
      </c>
      <c r="C212" s="41" t="str">
        <f t="array" ref="C212">+INDEX(Partidas!$A:$J,MATCH('Resultados dashboard'!$B212,Partidas!$C:$C,0),3+COUNTIF($B$2:B212,'Resultados dashboard'!$B212))</f>
        <v>Gallo</v>
      </c>
      <c r="D212" s="54">
        <v>5</v>
      </c>
      <c r="E212" s="53"/>
      <c r="F212" s="53"/>
      <c r="G212" s="53"/>
      <c r="H212" s="38">
        <f t="shared" si="0"/>
        <v>5</v>
      </c>
      <c r="I212" s="38">
        <f t="shared" si="1"/>
        <v>5</v>
      </c>
      <c r="J212" s="55"/>
    </row>
    <row r="213" spans="1:10" ht="12.75" customHeight="1" x14ac:dyDescent="0.2">
      <c r="A213" s="50">
        <f t="array" ref="A213">+INDEX(Partidas!$A:$J,MATCH('Resultados dashboard'!$B213,Partidas!$C:$C,0),2)</f>
        <v>45360</v>
      </c>
      <c r="B213" s="56">
        <f>+IF(COUNTIF($B$2:B212,B212)=VLOOKUP(B212,Partidas!$C:$J,8,0),B212+1,B212)</f>
        <v>47</v>
      </c>
      <c r="C213" s="41" t="str">
        <f t="array" ref="C213">+INDEX(Partidas!$A:$J,MATCH('Resultados dashboard'!$B213,Partidas!$C:$C,0),3+COUNTIF($B$2:B213,'Resultados dashboard'!$B213))</f>
        <v>Max</v>
      </c>
      <c r="D213" s="54">
        <v>9</v>
      </c>
      <c r="E213" s="54">
        <v>1</v>
      </c>
      <c r="F213" s="53"/>
      <c r="G213" s="53"/>
      <c r="H213" s="38">
        <f t="shared" si="0"/>
        <v>10</v>
      </c>
      <c r="I213" s="38">
        <f t="shared" si="1"/>
        <v>1</v>
      </c>
      <c r="J213" s="55"/>
    </row>
    <row r="214" spans="1:10" ht="12.75" customHeight="1" x14ac:dyDescent="0.2">
      <c r="A214" s="50">
        <f t="array" ref="A214">+INDEX(Partidas!$A:$J,MATCH('Resultados dashboard'!$B214,Partidas!$C:$C,0),2)</f>
        <v>45360</v>
      </c>
      <c r="B214" s="56">
        <f>+IF(COUNTIF($B$2:B213,B213)=VLOOKUP(B213,Partidas!$C:$J,8,0),B213+1,B213)</f>
        <v>47</v>
      </c>
      <c r="C214" s="41" t="str">
        <f t="array" ref="C214">+INDEX(Partidas!$A:$J,MATCH('Resultados dashboard'!$B214,Partidas!$C:$C,0),3+COUNTIF($B$2:B214,'Resultados dashboard'!$B214))</f>
        <v>Hugo</v>
      </c>
      <c r="D214" s="54">
        <v>4</v>
      </c>
      <c r="E214" s="54">
        <v>2</v>
      </c>
      <c r="F214" s="54">
        <v>1</v>
      </c>
      <c r="G214" s="53"/>
      <c r="H214" s="38">
        <f t="shared" si="0"/>
        <v>8</v>
      </c>
      <c r="I214" s="38">
        <f t="shared" si="1"/>
        <v>2</v>
      </c>
      <c r="J214" s="55"/>
    </row>
    <row r="215" spans="1:10" ht="12.75" customHeight="1" x14ac:dyDescent="0.2">
      <c r="A215" s="50">
        <f t="array" ref="A215">+INDEX(Partidas!$A:$J,MATCH('Resultados dashboard'!$B215,Partidas!$C:$C,0),2)</f>
        <v>45360</v>
      </c>
      <c r="B215" s="56">
        <f>+IF(COUNTIF($B$2:B214,B214)=VLOOKUP(B214,Partidas!$C:$J,8,0),B214+1,B214)</f>
        <v>47</v>
      </c>
      <c r="C215" s="41" t="str">
        <f t="array" ref="C215">+INDEX(Partidas!$A:$J,MATCH('Resultados dashboard'!$B215,Partidas!$C:$C,0),3+COUNTIF($B$2:B215,'Resultados dashboard'!$B215))</f>
        <v>Ivo</v>
      </c>
      <c r="D215" s="54">
        <v>2</v>
      </c>
      <c r="E215" s="54">
        <v>1</v>
      </c>
      <c r="F215" s="53"/>
      <c r="G215" s="53"/>
      <c r="H215" s="38">
        <f t="shared" si="0"/>
        <v>3</v>
      </c>
      <c r="I215" s="38">
        <f t="shared" si="1"/>
        <v>6</v>
      </c>
      <c r="J215" s="55"/>
    </row>
    <row r="216" spans="1:10" ht="12.75" customHeight="1" x14ac:dyDescent="0.2">
      <c r="A216" s="50">
        <f t="array" ref="A216">+INDEX(Partidas!$A:$J,MATCH('Resultados dashboard'!$B216,Partidas!$C:$C,0),2)</f>
        <v>45360</v>
      </c>
      <c r="B216" s="56">
        <f>+IF(COUNTIF($B$2:B215,B215)=VLOOKUP(B215,Partidas!$C:$J,8,0),B215+1,B215)</f>
        <v>47</v>
      </c>
      <c r="C216" s="41" t="str">
        <f t="array" ref="C216">+INDEX(Partidas!$A:$J,MATCH('Resultados dashboard'!$B216,Partidas!$C:$C,0),3+COUNTIF($B$2:B216,'Resultados dashboard'!$B216))</f>
        <v>Gaspa</v>
      </c>
      <c r="D216" s="54">
        <v>5</v>
      </c>
      <c r="E216" s="53"/>
      <c r="F216" s="53"/>
      <c r="G216" s="54">
        <v>1</v>
      </c>
      <c r="H216" s="38">
        <f t="shared" si="0"/>
        <v>7</v>
      </c>
      <c r="I216" s="38">
        <f t="shared" si="1"/>
        <v>3</v>
      </c>
      <c r="J216" s="55"/>
    </row>
    <row r="217" spans="1:10" ht="12.75" customHeight="1" x14ac:dyDescent="0.2">
      <c r="A217" s="50">
        <f t="array" ref="A217">+INDEX(Partidas!$A:$J,MATCH('Resultados dashboard'!$B217,Partidas!$C:$C,0),2)</f>
        <v>45360</v>
      </c>
      <c r="B217" s="56">
        <f>+IF(COUNTIF($B$2:B216,B216)=VLOOKUP(B216,Partidas!$C:$J,8,0),B216+1,B216)</f>
        <v>47</v>
      </c>
      <c r="C217" s="41" t="str">
        <f t="array" ref="C217">+INDEX(Partidas!$A:$J,MATCH('Resultados dashboard'!$B217,Partidas!$C:$C,0),3+COUNTIF($B$2:B217,'Resultados dashboard'!$B217))</f>
        <v>Moch</v>
      </c>
      <c r="D217" s="54">
        <v>5</v>
      </c>
      <c r="E217" s="54">
        <v>1</v>
      </c>
      <c r="F217" s="53"/>
      <c r="G217" s="53"/>
      <c r="H217" s="38">
        <f t="shared" si="0"/>
        <v>6</v>
      </c>
      <c r="I217" s="38">
        <f t="shared" si="1"/>
        <v>4</v>
      </c>
      <c r="J217" s="55"/>
    </row>
    <row r="218" spans="1:10" ht="12.75" customHeight="1" x14ac:dyDescent="0.2">
      <c r="A218" s="50">
        <f t="array" ref="A218">+INDEX(Partidas!$A:$J,MATCH('Resultados dashboard'!$B218,Partidas!$C:$C,0),2)</f>
        <v>45360</v>
      </c>
      <c r="B218" s="56">
        <f>+IF(COUNTIF($B$2:B217,B217)=VLOOKUP(B217,Partidas!$C:$J,8,0),B217+1,B217)</f>
        <v>48</v>
      </c>
      <c r="C218" s="41" t="str">
        <f t="array" ref="C218">+INDEX(Partidas!$A:$J,MATCH('Resultados dashboard'!$B218,Partidas!$C:$C,0),3+COUNTIF($B$2:B218,'Resultados dashboard'!$B218))</f>
        <v>Gallo</v>
      </c>
      <c r="D218" s="54">
        <v>6</v>
      </c>
      <c r="E218" s="54">
        <v>1</v>
      </c>
      <c r="F218" s="53"/>
      <c r="G218" s="53"/>
      <c r="H218" s="38">
        <f t="shared" si="0"/>
        <v>7</v>
      </c>
      <c r="I218" s="38">
        <f t="shared" si="1"/>
        <v>4</v>
      </c>
      <c r="J218" s="55"/>
    </row>
    <row r="219" spans="1:10" ht="12.75" customHeight="1" x14ac:dyDescent="0.2">
      <c r="A219" s="50">
        <f t="array" ref="A219">+INDEX(Partidas!$A:$J,MATCH('Resultados dashboard'!$B219,Partidas!$C:$C,0),2)</f>
        <v>45360</v>
      </c>
      <c r="B219" s="56">
        <f>+IF(COUNTIF($B$2:B218,B218)=VLOOKUP(B218,Partidas!$C:$J,8,0),B218+1,B218)</f>
        <v>48</v>
      </c>
      <c r="C219" s="41" t="str">
        <f t="array" ref="C219">+INDEX(Partidas!$A:$J,MATCH('Resultados dashboard'!$B219,Partidas!$C:$C,0),3+COUNTIF($B$2:B219,'Resultados dashboard'!$B219))</f>
        <v>Max</v>
      </c>
      <c r="D219" s="54">
        <v>7</v>
      </c>
      <c r="E219" s="54">
        <v>1</v>
      </c>
      <c r="F219" s="54">
        <v>1</v>
      </c>
      <c r="G219" s="53"/>
      <c r="H219" s="38">
        <f t="shared" si="0"/>
        <v>10</v>
      </c>
      <c r="I219" s="38">
        <f t="shared" si="1"/>
        <v>1</v>
      </c>
      <c r="J219" s="55"/>
    </row>
    <row r="220" spans="1:10" ht="12.75" customHeight="1" x14ac:dyDescent="0.2">
      <c r="A220" s="50">
        <f t="array" ref="A220">+INDEX(Partidas!$A:$J,MATCH('Resultados dashboard'!$B220,Partidas!$C:$C,0),2)</f>
        <v>45360</v>
      </c>
      <c r="B220" s="56">
        <f>+IF(COUNTIF($B$2:B219,B219)=VLOOKUP(B219,Partidas!$C:$J,8,0),B219+1,B219)</f>
        <v>48</v>
      </c>
      <c r="C220" s="41" t="str">
        <f t="array" ref="C220">+INDEX(Partidas!$A:$J,MATCH('Resultados dashboard'!$B220,Partidas!$C:$C,0),3+COUNTIF($B$2:B220,'Resultados dashboard'!$B220))</f>
        <v>Hugo</v>
      </c>
      <c r="D220" s="54">
        <v>6</v>
      </c>
      <c r="E220" s="54"/>
      <c r="F220" s="54"/>
      <c r="G220" s="53"/>
      <c r="H220" s="38">
        <f t="shared" si="0"/>
        <v>6</v>
      </c>
      <c r="I220" s="38">
        <f t="shared" si="1"/>
        <v>5</v>
      </c>
      <c r="J220" s="55"/>
    </row>
    <row r="221" spans="1:10" ht="12.75" customHeight="1" x14ac:dyDescent="0.2">
      <c r="A221" s="50">
        <f t="array" ref="A221">+INDEX(Partidas!$A:$J,MATCH('Resultados dashboard'!$B221,Partidas!$C:$C,0),2)</f>
        <v>45360</v>
      </c>
      <c r="B221" s="56">
        <f>+IF(COUNTIF($B$2:B220,B220)=VLOOKUP(B220,Partidas!$C:$J,8,0),B220+1,B220)</f>
        <v>48</v>
      </c>
      <c r="C221" s="41" t="str">
        <f t="array" ref="C221">+INDEX(Partidas!$A:$J,MATCH('Resultados dashboard'!$B221,Partidas!$C:$C,0),3+COUNTIF($B$2:B221,'Resultados dashboard'!$B221))</f>
        <v>Ivo</v>
      </c>
      <c r="D221" s="54">
        <v>5</v>
      </c>
      <c r="E221" s="53"/>
      <c r="F221" s="53"/>
      <c r="G221" s="53"/>
      <c r="H221" s="38">
        <f t="shared" si="0"/>
        <v>5</v>
      </c>
      <c r="I221" s="38">
        <f t="shared" si="1"/>
        <v>6</v>
      </c>
      <c r="J221" s="55"/>
    </row>
    <row r="222" spans="1:10" ht="12.75" customHeight="1" x14ac:dyDescent="0.2">
      <c r="A222" s="50">
        <f t="array" ref="A222">+INDEX(Partidas!$A:$J,MATCH('Resultados dashboard'!$B222,Partidas!$C:$C,0),2)</f>
        <v>45360</v>
      </c>
      <c r="B222" s="56">
        <f>+IF(COUNTIF($B$2:B221,B221)=VLOOKUP(B221,Partidas!$C:$J,8,0),B221+1,B221)</f>
        <v>48</v>
      </c>
      <c r="C222" s="41" t="str">
        <f t="array" ref="C222">+INDEX(Partidas!$A:$J,MATCH('Resultados dashboard'!$B222,Partidas!$C:$C,0),3+COUNTIF($B$2:B222,'Resultados dashboard'!$B222))</f>
        <v>Gaspa</v>
      </c>
      <c r="D222" s="54">
        <v>6</v>
      </c>
      <c r="E222" s="54">
        <v>1</v>
      </c>
      <c r="F222" s="53"/>
      <c r="G222" s="54">
        <v>1</v>
      </c>
      <c r="H222" s="38">
        <f t="shared" si="0"/>
        <v>9</v>
      </c>
      <c r="I222" s="38">
        <f t="shared" si="1"/>
        <v>2</v>
      </c>
      <c r="J222" s="55"/>
    </row>
    <row r="223" spans="1:10" ht="12.75" customHeight="1" x14ac:dyDescent="0.2">
      <c r="A223" s="50">
        <f t="array" ref="A223">+INDEX(Partidas!$A:$J,MATCH('Resultados dashboard'!$B223,Partidas!$C:$C,0),2)</f>
        <v>45360</v>
      </c>
      <c r="B223" s="56">
        <f>+IF(COUNTIF($B$2:B222,B222)=VLOOKUP(B222,Partidas!$C:$J,8,0),B222+1,B222)</f>
        <v>48</v>
      </c>
      <c r="C223" s="41" t="str">
        <f t="array" ref="C223">+INDEX(Partidas!$A:$J,MATCH('Resultados dashboard'!$B223,Partidas!$C:$C,0),3+COUNTIF($B$2:B223,'Resultados dashboard'!$B223))</f>
        <v>Moch</v>
      </c>
      <c r="D223" s="54">
        <v>8</v>
      </c>
      <c r="E223" s="53"/>
      <c r="F223" s="53"/>
      <c r="G223" s="53"/>
      <c r="H223" s="38">
        <f t="shared" si="0"/>
        <v>8</v>
      </c>
      <c r="I223" s="38">
        <f t="shared" si="1"/>
        <v>3</v>
      </c>
      <c r="J223" s="55"/>
    </row>
    <row r="224" spans="1:10" ht="12.75" customHeight="1" x14ac:dyDescent="0.2">
      <c r="A224" s="50">
        <f t="array" ref="A224">+INDEX(Partidas!$A:$J,MATCH('Resultados dashboard'!$B224,Partidas!$C:$C,0),2)</f>
        <v>45360</v>
      </c>
      <c r="B224" s="56">
        <f>+IF(COUNTIF($B$2:B223,B223)=VLOOKUP(B223,Partidas!$C:$J,8,0),B223+1,B223)</f>
        <v>49</v>
      </c>
      <c r="C224" s="41" t="str">
        <f t="array" ref="C224">+INDEX(Partidas!$A:$J,MATCH('Resultados dashboard'!$B224,Partidas!$C:$C,0),3+COUNTIF($B$2:B224,'Resultados dashboard'!$B224))</f>
        <v>Gallo</v>
      </c>
      <c r="D224" s="54">
        <v>9</v>
      </c>
      <c r="E224" s="54">
        <v>1</v>
      </c>
      <c r="F224" s="53"/>
      <c r="G224" s="53"/>
      <c r="H224" s="38">
        <f t="shared" si="0"/>
        <v>10</v>
      </c>
      <c r="I224" s="38">
        <f t="shared" si="1"/>
        <v>1</v>
      </c>
      <c r="J224" s="55"/>
    </row>
    <row r="225" spans="1:10" ht="12.75" customHeight="1" x14ac:dyDescent="0.2">
      <c r="A225" s="50">
        <f t="array" ref="A225">+INDEX(Partidas!$A:$J,MATCH('Resultados dashboard'!$B225,Partidas!$C:$C,0),2)</f>
        <v>45360</v>
      </c>
      <c r="B225" s="56">
        <f>+IF(COUNTIF($B$2:B224,B224)=VLOOKUP(B224,Partidas!$C:$J,8,0),B224+1,B224)</f>
        <v>49</v>
      </c>
      <c r="C225" s="41" t="str">
        <f t="array" ref="C225">+INDEX(Partidas!$A:$J,MATCH('Resultados dashboard'!$B225,Partidas!$C:$C,0),3+COUNTIF($B$2:B225,'Resultados dashboard'!$B225))</f>
        <v>Max</v>
      </c>
      <c r="D225" s="54">
        <v>5</v>
      </c>
      <c r="E225" s="53"/>
      <c r="F225" s="53"/>
      <c r="G225" s="53"/>
      <c r="H225" s="38">
        <f t="shared" si="0"/>
        <v>5</v>
      </c>
      <c r="I225" s="38">
        <f t="shared" si="1"/>
        <v>6</v>
      </c>
      <c r="J225" s="55"/>
    </row>
    <row r="226" spans="1:10" ht="12.75" customHeight="1" x14ac:dyDescent="0.2">
      <c r="A226" s="50">
        <f t="array" ref="A226">+INDEX(Partidas!$A:$J,MATCH('Resultados dashboard'!$B226,Partidas!$C:$C,0),2)</f>
        <v>45360</v>
      </c>
      <c r="B226" s="56">
        <f>+IF(COUNTIF($B$2:B225,B225)=VLOOKUP(B225,Partidas!$C:$J,8,0),B225+1,B225)</f>
        <v>49</v>
      </c>
      <c r="C226" s="41" t="str">
        <f t="array" ref="C226">+INDEX(Partidas!$A:$J,MATCH('Resultados dashboard'!$B226,Partidas!$C:$C,0),3+COUNTIF($B$2:B226,'Resultados dashboard'!$B226))</f>
        <v>Hugo</v>
      </c>
      <c r="D226" s="54">
        <v>8</v>
      </c>
      <c r="E226" s="54">
        <v>1</v>
      </c>
      <c r="F226" s="53"/>
      <c r="G226" s="53"/>
      <c r="H226" s="38">
        <f t="shared" si="0"/>
        <v>9</v>
      </c>
      <c r="I226" s="38">
        <f t="shared" si="1"/>
        <v>2</v>
      </c>
      <c r="J226" s="55"/>
    </row>
    <row r="227" spans="1:10" ht="12.75" customHeight="1" x14ac:dyDescent="0.2">
      <c r="A227" s="50">
        <f t="array" ref="A227">+INDEX(Partidas!$A:$J,MATCH('Resultados dashboard'!$B227,Partidas!$C:$C,0),2)</f>
        <v>45360</v>
      </c>
      <c r="B227" s="56">
        <f>+IF(COUNTIF($B$2:B226,B226)=VLOOKUP(B226,Partidas!$C:$J,8,0),B226+1,B226)</f>
        <v>49</v>
      </c>
      <c r="C227" s="41" t="str">
        <f t="array" ref="C227">+INDEX(Partidas!$A:$J,MATCH('Resultados dashboard'!$B227,Partidas!$C:$C,0),3+COUNTIF($B$2:B227,'Resultados dashboard'!$B227))</f>
        <v>Ivo</v>
      </c>
      <c r="D227" s="54">
        <v>5</v>
      </c>
      <c r="E227" s="53"/>
      <c r="F227" s="54">
        <v>1</v>
      </c>
      <c r="G227" s="53"/>
      <c r="H227" s="38">
        <f t="shared" si="0"/>
        <v>7</v>
      </c>
      <c r="I227" s="38">
        <f t="shared" si="1"/>
        <v>3</v>
      </c>
      <c r="J227" s="55"/>
    </row>
    <row r="228" spans="1:10" ht="12.75" customHeight="1" x14ac:dyDescent="0.2">
      <c r="A228" s="50">
        <f t="array" ref="A228">+INDEX(Partidas!$A:$J,MATCH('Resultados dashboard'!$B228,Partidas!$C:$C,0),2)</f>
        <v>45360</v>
      </c>
      <c r="B228" s="56">
        <f>+IF(COUNTIF($B$2:B227,B227)=VLOOKUP(B227,Partidas!$C:$J,8,0),B227+1,B227)</f>
        <v>49</v>
      </c>
      <c r="C228" s="41" t="str">
        <f t="array" ref="C228">+INDEX(Partidas!$A:$J,MATCH('Resultados dashboard'!$B228,Partidas!$C:$C,0),3+COUNTIF($B$2:B228,'Resultados dashboard'!$B228))</f>
        <v>Gaspa</v>
      </c>
      <c r="D228" s="54">
        <v>4</v>
      </c>
      <c r="E228" s="53"/>
      <c r="F228" s="53"/>
      <c r="G228" s="54">
        <v>1</v>
      </c>
      <c r="H228" s="38">
        <f t="shared" si="0"/>
        <v>6</v>
      </c>
      <c r="I228" s="38">
        <f t="shared" si="1"/>
        <v>4</v>
      </c>
      <c r="J228" s="55"/>
    </row>
    <row r="229" spans="1:10" ht="12.75" customHeight="1" x14ac:dyDescent="0.2">
      <c r="A229" s="50">
        <f t="array" ref="A229">+INDEX(Partidas!$A:$J,MATCH('Resultados dashboard'!$B229,Partidas!$C:$C,0),2)</f>
        <v>45360</v>
      </c>
      <c r="B229" s="56">
        <f>+IF(COUNTIF($B$2:B228,B228)=VLOOKUP(B228,Partidas!$C:$J,8,0),B228+1,B228)</f>
        <v>49</v>
      </c>
      <c r="C229" s="41" t="str">
        <f t="array" ref="C229">+INDEX(Partidas!$A:$J,MATCH('Resultados dashboard'!$B229,Partidas!$C:$C,0),3+COUNTIF($B$2:B229,'Resultados dashboard'!$B229))</f>
        <v>Moch</v>
      </c>
      <c r="D229" s="54">
        <v>6</v>
      </c>
      <c r="E229" s="53"/>
      <c r="F229" s="53"/>
      <c r="G229" s="53"/>
      <c r="H229" s="38">
        <f t="shared" si="0"/>
        <v>6</v>
      </c>
      <c r="I229" s="38">
        <f t="shared" si="1"/>
        <v>4</v>
      </c>
      <c r="J229" s="55"/>
    </row>
    <row r="230" spans="1:10" ht="12.75" customHeight="1" x14ac:dyDescent="0.2">
      <c r="A230" s="50">
        <f t="array" ref="A230">+INDEX(Partidas!$A:$J,MATCH('Resultados dashboard'!$B230,Partidas!$C:$C,0),2)</f>
        <v>45360</v>
      </c>
      <c r="B230" s="56">
        <f>+IF(COUNTIF($B$2:B229,B229)=VLOOKUP(B229,Partidas!$C:$J,8,0),B229+1,B229)</f>
        <v>50</v>
      </c>
      <c r="C230" s="41" t="str">
        <f t="array" ref="C230">+INDEX(Partidas!$A:$J,MATCH('Resultados dashboard'!$B230,Partidas!$C:$C,0),3+COUNTIF($B$2:B230,'Resultados dashboard'!$B230))</f>
        <v>Gallo</v>
      </c>
      <c r="D230" s="54">
        <v>7</v>
      </c>
      <c r="E230" s="53"/>
      <c r="F230" s="53"/>
      <c r="G230" s="53"/>
      <c r="H230" s="38">
        <f t="shared" si="0"/>
        <v>7</v>
      </c>
      <c r="I230" s="38">
        <f t="shared" si="1"/>
        <v>4</v>
      </c>
      <c r="J230" s="55"/>
    </row>
    <row r="231" spans="1:10" ht="12.75" customHeight="1" x14ac:dyDescent="0.2">
      <c r="A231" s="50">
        <f t="array" ref="A231">+INDEX(Partidas!$A:$J,MATCH('Resultados dashboard'!$B231,Partidas!$C:$C,0),2)</f>
        <v>45360</v>
      </c>
      <c r="B231" s="56">
        <f>+IF(COUNTIF($B$2:B230,B230)=VLOOKUP(B230,Partidas!$C:$J,8,0),B230+1,B230)</f>
        <v>50</v>
      </c>
      <c r="C231" s="41" t="str">
        <f t="array" ref="C231">+INDEX(Partidas!$A:$J,MATCH('Resultados dashboard'!$B231,Partidas!$C:$C,0),3+COUNTIF($B$2:B231,'Resultados dashboard'!$B231))</f>
        <v>Max</v>
      </c>
      <c r="D231" s="54">
        <v>7</v>
      </c>
      <c r="E231" s="54">
        <v>1</v>
      </c>
      <c r="F231" s="53"/>
      <c r="G231" s="54">
        <v>1</v>
      </c>
      <c r="H231" s="38">
        <f t="shared" si="0"/>
        <v>10</v>
      </c>
      <c r="I231" s="38">
        <f t="shared" si="1"/>
        <v>1</v>
      </c>
      <c r="J231" s="55"/>
    </row>
    <row r="232" spans="1:10" ht="12.75" customHeight="1" x14ac:dyDescent="0.2">
      <c r="A232" s="50">
        <f t="array" ref="A232">+INDEX(Partidas!$A:$J,MATCH('Resultados dashboard'!$B232,Partidas!$C:$C,0),2)</f>
        <v>45360</v>
      </c>
      <c r="B232" s="56">
        <f>+IF(COUNTIF($B$2:B231,B231)=VLOOKUP(B231,Partidas!$C:$J,8,0),B231+1,B231)</f>
        <v>50</v>
      </c>
      <c r="C232" s="41" t="str">
        <f t="array" ref="C232">+INDEX(Partidas!$A:$J,MATCH('Resultados dashboard'!$B232,Partidas!$C:$C,0),3+COUNTIF($B$2:B232,'Resultados dashboard'!$B232))</f>
        <v>Hugo</v>
      </c>
      <c r="D232" s="54">
        <v>6</v>
      </c>
      <c r="E232" s="53"/>
      <c r="F232" s="54">
        <v>1</v>
      </c>
      <c r="G232" s="53"/>
      <c r="H232" s="38">
        <f t="shared" si="0"/>
        <v>8</v>
      </c>
      <c r="I232" s="38">
        <f t="shared" si="1"/>
        <v>3</v>
      </c>
      <c r="J232" s="55"/>
    </row>
    <row r="233" spans="1:10" ht="12.75" customHeight="1" x14ac:dyDescent="0.2">
      <c r="A233" s="50">
        <f t="array" ref="A233">+INDEX(Partidas!$A:$J,MATCH('Resultados dashboard'!$B233,Partidas!$C:$C,0),2)</f>
        <v>45360</v>
      </c>
      <c r="B233" s="56">
        <f>+IF(COUNTIF($B$2:B232,B232)=VLOOKUP(B232,Partidas!$C:$J,8,0),B232+1,B232)</f>
        <v>50</v>
      </c>
      <c r="C233" s="41" t="str">
        <f t="array" ref="C233">+INDEX(Partidas!$A:$J,MATCH('Resultados dashboard'!$B233,Partidas!$C:$C,0),3+COUNTIF($B$2:B233,'Resultados dashboard'!$B233))</f>
        <v>Gaspa</v>
      </c>
      <c r="D233" s="54">
        <v>8</v>
      </c>
      <c r="E233" s="54">
        <v>2</v>
      </c>
      <c r="F233" s="53"/>
      <c r="G233" s="53"/>
      <c r="H233" s="38">
        <f t="shared" si="0"/>
        <v>9</v>
      </c>
      <c r="I233" s="38">
        <f t="shared" si="1"/>
        <v>2</v>
      </c>
      <c r="J233" s="57">
        <v>-1</v>
      </c>
    </row>
    <row r="234" spans="1:10" ht="12.75" customHeight="1" x14ac:dyDescent="0.2">
      <c r="A234" s="50">
        <f t="array" ref="A234">+INDEX(Partidas!$A:$J,MATCH('Resultados dashboard'!$B234,Partidas!$C:$C,0),2)</f>
        <v>45360</v>
      </c>
      <c r="B234" s="56">
        <f>+IF(COUNTIF($B$2:B233,B233)=VLOOKUP(B233,Partidas!$C:$J,8,0),B233+1,B233)</f>
        <v>50</v>
      </c>
      <c r="C234" s="41" t="str">
        <f t="array" ref="C234">+INDEX(Partidas!$A:$J,MATCH('Resultados dashboard'!$B234,Partidas!$C:$C,0),3+COUNTIF($B$2:B234,'Resultados dashboard'!$B234))</f>
        <v>Moch</v>
      </c>
      <c r="D234" s="54">
        <v>6</v>
      </c>
      <c r="E234" s="53"/>
      <c r="F234" s="53"/>
      <c r="G234" s="53"/>
      <c r="H234" s="38">
        <f t="shared" si="0"/>
        <v>6</v>
      </c>
      <c r="I234" s="38">
        <f t="shared" si="1"/>
        <v>5</v>
      </c>
      <c r="J234" s="55"/>
    </row>
    <row r="235" spans="1:10" ht="12.75" customHeight="1" x14ac:dyDescent="0.2">
      <c r="A235" s="50">
        <f t="array" ref="A235">+INDEX(Partidas!$A:$J,MATCH('Resultados dashboard'!$B235,Partidas!$C:$C,0),2)</f>
        <v>45363</v>
      </c>
      <c r="B235" s="56">
        <f>+IF(COUNTIF($B$2:B234,B234)=VLOOKUP(B234,Partidas!$C:$J,8,0),B234+1,B234)</f>
        <v>51</v>
      </c>
      <c r="C235" s="41" t="str">
        <f t="array" ref="C235">+INDEX(Partidas!$A:$J,MATCH('Resultados dashboard'!$B235,Partidas!$C:$C,0),3+COUNTIF($B$2:B235,'Resultados dashboard'!$B235))</f>
        <v>Gallo</v>
      </c>
      <c r="D235" s="54">
        <v>7</v>
      </c>
      <c r="E235" s="54">
        <v>1</v>
      </c>
      <c r="F235" s="53"/>
      <c r="G235" s="54">
        <v>1</v>
      </c>
      <c r="H235" s="38">
        <f t="shared" si="0"/>
        <v>10</v>
      </c>
      <c r="I235" s="38">
        <f t="shared" si="1"/>
        <v>1</v>
      </c>
      <c r="J235" s="55"/>
    </row>
    <row r="236" spans="1:10" ht="12.75" customHeight="1" x14ac:dyDescent="0.2">
      <c r="A236" s="50">
        <f t="array" ref="A236">+INDEX(Partidas!$A:$J,MATCH('Resultados dashboard'!$B236,Partidas!$C:$C,0),2)</f>
        <v>45363</v>
      </c>
      <c r="B236" s="56">
        <f>+IF(COUNTIF($B$2:B235,B235)=VLOOKUP(B235,Partidas!$C:$J,8,0),B235+1,B235)</f>
        <v>51</v>
      </c>
      <c r="C236" s="41" t="str">
        <f t="array" ref="C236">+INDEX(Partidas!$A:$J,MATCH('Resultados dashboard'!$B236,Partidas!$C:$C,0),3+COUNTIF($B$2:B236,'Resultados dashboard'!$B236))</f>
        <v>Max</v>
      </c>
      <c r="D236" s="54">
        <v>7</v>
      </c>
      <c r="E236" s="53"/>
      <c r="F236" s="53"/>
      <c r="G236" s="53"/>
      <c r="H236" s="38">
        <f t="shared" si="0"/>
        <v>7</v>
      </c>
      <c r="I236" s="38">
        <f t="shared" si="1"/>
        <v>3</v>
      </c>
      <c r="J236" s="55"/>
    </row>
    <row r="237" spans="1:10" ht="12.75" customHeight="1" x14ac:dyDescent="0.2">
      <c r="A237" s="50">
        <f t="array" ref="A237">+INDEX(Partidas!$A:$J,MATCH('Resultados dashboard'!$B237,Partidas!$C:$C,0),2)</f>
        <v>45363</v>
      </c>
      <c r="B237" s="56">
        <f>+IF(COUNTIF($B$2:B236,B236)=VLOOKUP(B236,Partidas!$C:$J,8,0),B236+1,B236)</f>
        <v>51</v>
      </c>
      <c r="C237" s="41" t="str">
        <f t="array" ref="C237">+INDEX(Partidas!$A:$J,MATCH('Resultados dashboard'!$B237,Partidas!$C:$C,0),3+COUNTIF($B$2:B237,'Resultados dashboard'!$B237))</f>
        <v>Hugo</v>
      </c>
      <c r="D237" s="54">
        <v>7</v>
      </c>
      <c r="E237" s="53"/>
      <c r="F237" s="53"/>
      <c r="G237" s="53"/>
      <c r="H237" s="38">
        <f t="shared" si="0"/>
        <v>7</v>
      </c>
      <c r="I237" s="38">
        <f t="shared" si="1"/>
        <v>3</v>
      </c>
      <c r="J237" s="55"/>
    </row>
    <row r="238" spans="1:10" ht="12.75" customHeight="1" x14ac:dyDescent="0.2">
      <c r="A238" s="50">
        <f t="array" ref="A238">+INDEX(Partidas!$A:$J,MATCH('Resultados dashboard'!$B238,Partidas!$C:$C,0),2)</f>
        <v>45363</v>
      </c>
      <c r="B238" s="56">
        <f>+IF(COUNTIF($B$2:B237,B237)=VLOOKUP(B237,Partidas!$C:$J,8,0),B237+1,B237)</f>
        <v>51</v>
      </c>
      <c r="C238" s="41" t="str">
        <f t="array" ref="C238">+INDEX(Partidas!$A:$J,MATCH('Resultados dashboard'!$B238,Partidas!$C:$C,0),3+COUNTIF($B$2:B238,'Resultados dashboard'!$B238))</f>
        <v>Rodri</v>
      </c>
      <c r="D238" s="54">
        <v>8</v>
      </c>
      <c r="E238" s="53"/>
      <c r="F238" s="53"/>
      <c r="G238" s="53"/>
      <c r="H238" s="38">
        <f t="shared" si="0"/>
        <v>8</v>
      </c>
      <c r="I238" s="38">
        <f t="shared" si="1"/>
        <v>2</v>
      </c>
      <c r="J238" s="55"/>
    </row>
    <row r="239" spans="1:10" ht="12.75" customHeight="1" x14ac:dyDescent="0.2">
      <c r="A239" s="50">
        <f t="array" ref="A239">+INDEX(Partidas!$A:$J,MATCH('Resultados dashboard'!$B239,Partidas!$C:$C,0),2)</f>
        <v>45363</v>
      </c>
      <c r="B239" s="56">
        <f>+IF(COUNTIF($B$2:B238,B238)=VLOOKUP(B238,Partidas!$C:$J,8,0),B238+1,B238)</f>
        <v>51</v>
      </c>
      <c r="C239" s="41" t="str">
        <f t="array" ref="C239">+INDEX(Partidas!$A:$J,MATCH('Resultados dashboard'!$B239,Partidas!$C:$C,0),3+COUNTIF($B$2:B239,'Resultados dashboard'!$B239))</f>
        <v>Ivo</v>
      </c>
      <c r="D239" s="54">
        <v>4</v>
      </c>
      <c r="E239" s="53"/>
      <c r="F239" s="54">
        <v>1</v>
      </c>
      <c r="G239" s="53"/>
      <c r="H239" s="38">
        <f t="shared" si="0"/>
        <v>6</v>
      </c>
      <c r="I239" s="38">
        <f t="shared" si="1"/>
        <v>5</v>
      </c>
      <c r="J239" s="55"/>
    </row>
    <row r="240" spans="1:10" ht="12.75" customHeight="1" x14ac:dyDescent="0.2">
      <c r="A240" s="50">
        <f t="array" ref="A240">+INDEX(Partidas!$A:$J,MATCH('Resultados dashboard'!$B240,Partidas!$C:$C,0),2)</f>
        <v>45363</v>
      </c>
      <c r="B240" s="56">
        <f>+IF(COUNTIF($B$2:B239,B239)=VLOOKUP(B239,Partidas!$C:$J,8,0),B239+1,B239)</f>
        <v>52</v>
      </c>
      <c r="C240" s="41" t="str">
        <f t="array" ref="C240">+INDEX(Partidas!$A:$J,MATCH('Resultados dashboard'!$B240,Partidas!$C:$C,0),3+COUNTIF($B$2:B240,'Resultados dashboard'!$B240))</f>
        <v>Gallo</v>
      </c>
      <c r="D240" s="54">
        <v>4</v>
      </c>
      <c r="E240" s="53"/>
      <c r="F240" s="53"/>
      <c r="G240" s="54">
        <v>1</v>
      </c>
      <c r="H240" s="38">
        <f t="shared" si="0"/>
        <v>6</v>
      </c>
      <c r="I240" s="38">
        <f t="shared" si="1"/>
        <v>2</v>
      </c>
      <c r="J240" s="55"/>
    </row>
    <row r="241" spans="1:10" ht="12.75" customHeight="1" x14ac:dyDescent="0.2">
      <c r="A241" s="50">
        <f t="array" ref="A241">+INDEX(Partidas!$A:$J,MATCH('Resultados dashboard'!$B241,Partidas!$C:$C,0),2)</f>
        <v>45363</v>
      </c>
      <c r="B241" s="56">
        <f>+IF(COUNTIF($B$2:B240,B240)=VLOOKUP(B240,Partidas!$C:$J,8,0),B240+1,B240)</f>
        <v>52</v>
      </c>
      <c r="C241" s="41" t="str">
        <f t="array" ref="C241">+INDEX(Partidas!$A:$J,MATCH('Resultados dashboard'!$B241,Partidas!$C:$C,0),3+COUNTIF($B$2:B241,'Resultados dashboard'!$B241))</f>
        <v>Max</v>
      </c>
      <c r="D241" s="54">
        <v>6</v>
      </c>
      <c r="E241" s="53"/>
      <c r="F241" s="53"/>
      <c r="G241" s="53"/>
      <c r="H241" s="38">
        <f t="shared" si="0"/>
        <v>6</v>
      </c>
      <c r="I241" s="38">
        <f t="shared" si="1"/>
        <v>2</v>
      </c>
      <c r="J241" s="55"/>
    </row>
    <row r="242" spans="1:10" ht="12.75" customHeight="1" x14ac:dyDescent="0.2">
      <c r="A242" s="50">
        <f t="array" ref="A242">+INDEX(Partidas!$A:$J,MATCH('Resultados dashboard'!$B242,Partidas!$C:$C,0),2)</f>
        <v>45363</v>
      </c>
      <c r="B242" s="56">
        <f>+IF(COUNTIF($B$2:B241,B241)=VLOOKUP(B241,Partidas!$C:$J,8,0),B241+1,B241)</f>
        <v>52</v>
      </c>
      <c r="C242" s="41" t="str">
        <f t="array" ref="C242">+INDEX(Partidas!$A:$J,MATCH('Resultados dashboard'!$B242,Partidas!$C:$C,0),3+COUNTIF($B$2:B242,'Resultados dashboard'!$B242))</f>
        <v>Hugo</v>
      </c>
      <c r="D242" s="54">
        <v>4</v>
      </c>
      <c r="E242" s="53"/>
      <c r="F242" s="53"/>
      <c r="G242" s="53"/>
      <c r="H242" s="38">
        <f t="shared" si="0"/>
        <v>4</v>
      </c>
      <c r="I242" s="38">
        <f t="shared" si="1"/>
        <v>4</v>
      </c>
      <c r="J242" s="55"/>
    </row>
    <row r="243" spans="1:10" ht="12.75" customHeight="1" x14ac:dyDescent="0.2">
      <c r="A243" s="50">
        <f t="array" ref="A243">+INDEX(Partidas!$A:$J,MATCH('Resultados dashboard'!$B243,Partidas!$C:$C,0),2)</f>
        <v>45363</v>
      </c>
      <c r="B243" s="56">
        <f>+IF(COUNTIF($B$2:B242,B242)=VLOOKUP(B242,Partidas!$C:$J,8,0),B242+1,B242)</f>
        <v>52</v>
      </c>
      <c r="C243" s="41" t="str">
        <f t="array" ref="C243">+INDEX(Partidas!$A:$J,MATCH('Resultados dashboard'!$B243,Partidas!$C:$C,0),3+COUNTIF($B$2:B243,'Resultados dashboard'!$B243))</f>
        <v>Rodri</v>
      </c>
      <c r="D243" s="54">
        <v>8</v>
      </c>
      <c r="E243" s="53"/>
      <c r="F243" s="54">
        <v>1</v>
      </c>
      <c r="G243" s="53"/>
      <c r="H243" s="38">
        <f t="shared" si="0"/>
        <v>10</v>
      </c>
      <c r="I243" s="38">
        <f t="shared" si="1"/>
        <v>1</v>
      </c>
      <c r="J243" s="55"/>
    </row>
    <row r="244" spans="1:10" ht="12.75" customHeight="1" x14ac:dyDescent="0.2">
      <c r="A244" s="50">
        <f t="array" ref="A244">+INDEX(Partidas!$A:$J,MATCH('Resultados dashboard'!$B244,Partidas!$C:$C,0),2)</f>
        <v>45363</v>
      </c>
      <c r="B244" s="56">
        <f>+IF(COUNTIF($B$2:B243,B243)=VLOOKUP(B243,Partidas!$C:$J,8,0),B243+1,B243)</f>
        <v>52</v>
      </c>
      <c r="C244" s="41" t="str">
        <f t="array" ref="C244">+INDEX(Partidas!$A:$J,MATCH('Resultados dashboard'!$B244,Partidas!$C:$C,0),3+COUNTIF($B$2:B244,'Resultados dashboard'!$B244))</f>
        <v>Ivo</v>
      </c>
      <c r="D244" s="54">
        <v>4</v>
      </c>
      <c r="E244" s="53"/>
      <c r="F244" s="53"/>
      <c r="G244" s="53"/>
      <c r="H244" s="38">
        <f t="shared" si="0"/>
        <v>4</v>
      </c>
      <c r="I244" s="38">
        <f t="shared" si="1"/>
        <v>4</v>
      </c>
      <c r="J244" s="55"/>
    </row>
    <row r="245" spans="1:10" ht="12.75" customHeight="1" x14ac:dyDescent="0.2">
      <c r="A245" s="50">
        <f t="array" ref="A245">+INDEX(Partidas!$A:$J,MATCH('Resultados dashboard'!$B245,Partidas!$C:$C,0),2)</f>
        <v>45363</v>
      </c>
      <c r="B245" s="56">
        <f>+IF(COUNTIF($B$2:B244,B244)=VLOOKUP(B244,Partidas!$C:$J,8,0),B244+1,B244)</f>
        <v>53</v>
      </c>
      <c r="C245" s="41" t="str">
        <f t="array" ref="C245">+INDEX(Partidas!$A:$J,MATCH('Resultados dashboard'!$B245,Partidas!$C:$C,0),3+COUNTIF($B$2:B245,'Resultados dashboard'!$B245))</f>
        <v>Gallo</v>
      </c>
      <c r="D245" s="54">
        <v>7</v>
      </c>
      <c r="E245" s="54">
        <v>1</v>
      </c>
      <c r="F245" s="53"/>
      <c r="G245" s="53"/>
      <c r="H245" s="38">
        <f t="shared" si="0"/>
        <v>8</v>
      </c>
      <c r="I245" s="38">
        <f t="shared" si="1"/>
        <v>4</v>
      </c>
      <c r="J245" s="55"/>
    </row>
    <row r="246" spans="1:10" ht="12.75" customHeight="1" x14ac:dyDescent="0.2">
      <c r="A246" s="50">
        <f t="array" ref="A246">+INDEX(Partidas!$A:$J,MATCH('Resultados dashboard'!$B246,Partidas!$C:$C,0),2)</f>
        <v>45363</v>
      </c>
      <c r="B246" s="56">
        <f>+IF(COUNTIF($B$2:B245,B245)=VLOOKUP(B245,Partidas!$C:$J,8,0),B245+1,B245)</f>
        <v>53</v>
      </c>
      <c r="C246" s="41" t="str">
        <f t="array" ref="C246">+INDEX(Partidas!$A:$J,MATCH('Resultados dashboard'!$B246,Partidas!$C:$C,0),3+COUNTIF($B$2:B246,'Resultados dashboard'!$B246))</f>
        <v>Max</v>
      </c>
      <c r="D246" s="54">
        <v>8</v>
      </c>
      <c r="E246" s="54">
        <v>1</v>
      </c>
      <c r="F246" s="53"/>
      <c r="G246" s="53"/>
      <c r="H246" s="38">
        <f t="shared" si="0"/>
        <v>9</v>
      </c>
      <c r="I246" s="38">
        <f t="shared" si="1"/>
        <v>2</v>
      </c>
      <c r="J246" s="55"/>
    </row>
    <row r="247" spans="1:10" ht="12.75" customHeight="1" x14ac:dyDescent="0.2">
      <c r="A247" s="50">
        <f t="array" ref="A247">+INDEX(Partidas!$A:$J,MATCH('Resultados dashboard'!$B247,Partidas!$C:$C,0),2)</f>
        <v>45363</v>
      </c>
      <c r="B247" s="56">
        <f>+IF(COUNTIF($B$2:B246,B246)=VLOOKUP(B246,Partidas!$C:$J,8,0),B246+1,B246)</f>
        <v>53</v>
      </c>
      <c r="C247" s="41" t="str">
        <f t="array" ref="C247">+INDEX(Partidas!$A:$J,MATCH('Resultados dashboard'!$B247,Partidas!$C:$C,0),3+COUNTIF($B$2:B247,'Resultados dashboard'!$B247))</f>
        <v>Hugo</v>
      </c>
      <c r="D247" s="54">
        <v>5</v>
      </c>
      <c r="E247" s="54">
        <v>1</v>
      </c>
      <c r="F247" s="54">
        <v>1</v>
      </c>
      <c r="G247" s="53"/>
      <c r="H247" s="38">
        <f t="shared" si="0"/>
        <v>8</v>
      </c>
      <c r="I247" s="38">
        <f t="shared" si="1"/>
        <v>4</v>
      </c>
      <c r="J247" s="55"/>
    </row>
    <row r="248" spans="1:10" ht="12.75" customHeight="1" x14ac:dyDescent="0.2">
      <c r="A248" s="50">
        <f t="array" ref="A248">+INDEX(Partidas!$A:$J,MATCH('Resultados dashboard'!$B248,Partidas!$C:$C,0),2)</f>
        <v>45363</v>
      </c>
      <c r="B248" s="56">
        <f>+IF(COUNTIF($B$2:B247,B247)=VLOOKUP(B247,Partidas!$C:$J,8,0),B247+1,B247)</f>
        <v>53</v>
      </c>
      <c r="C248" s="41" t="str">
        <f t="array" ref="C248">+INDEX(Partidas!$A:$J,MATCH('Resultados dashboard'!$B248,Partidas!$C:$C,0),3+COUNTIF($B$2:B248,'Resultados dashboard'!$B248))</f>
        <v>Rodri</v>
      </c>
      <c r="D248" s="54">
        <v>7</v>
      </c>
      <c r="E248" s="53"/>
      <c r="F248" s="53"/>
      <c r="G248" s="54">
        <v>1</v>
      </c>
      <c r="H248" s="38">
        <f t="shared" si="0"/>
        <v>9</v>
      </c>
      <c r="I248" s="38">
        <f t="shared" si="1"/>
        <v>2</v>
      </c>
      <c r="J248" s="55"/>
    </row>
    <row r="249" spans="1:10" ht="12.75" customHeight="1" x14ac:dyDescent="0.2">
      <c r="A249" s="50">
        <f t="array" ref="A249">+INDEX(Partidas!$A:$J,MATCH('Resultados dashboard'!$B249,Partidas!$C:$C,0),2)</f>
        <v>45363</v>
      </c>
      <c r="B249" s="56">
        <f>+IF(COUNTIF($B$2:B248,B248)=VLOOKUP(B248,Partidas!$C:$J,8,0),B248+1,B248)</f>
        <v>53</v>
      </c>
      <c r="C249" s="41" t="str">
        <f t="array" ref="C249">+INDEX(Partidas!$A:$J,MATCH('Resultados dashboard'!$B249,Partidas!$C:$C,0),3+COUNTIF($B$2:B249,'Resultados dashboard'!$B249))</f>
        <v>Ivo</v>
      </c>
      <c r="D249" s="54">
        <v>10</v>
      </c>
      <c r="E249" s="53"/>
      <c r="F249" s="53"/>
      <c r="G249" s="53"/>
      <c r="H249" s="38">
        <f t="shared" si="0"/>
        <v>10</v>
      </c>
      <c r="I249" s="38">
        <f t="shared" si="1"/>
        <v>1</v>
      </c>
      <c r="J249" s="55"/>
    </row>
    <row r="250" spans="1:10" ht="12.75" customHeight="1" x14ac:dyDescent="0.2">
      <c r="A250" s="50">
        <f t="array" ref="A250">+INDEX(Partidas!$A:$J,MATCH('Resultados dashboard'!$B250,Partidas!$C:$C,0),2)</f>
        <v>45373</v>
      </c>
      <c r="B250" s="56">
        <f>+IF(COUNTIF($B$2:B249,B249)=VLOOKUP(B249,Partidas!$C:$J,8,0),B249+1,B249)</f>
        <v>54</v>
      </c>
      <c r="C250" s="41" t="str">
        <f t="array" ref="C250">+INDEX(Partidas!$A:$J,MATCH('Resultados dashboard'!$B250,Partidas!$C:$C,0),3+COUNTIF($B$2:B250,'Resultados dashboard'!$B250))</f>
        <v>Gallo</v>
      </c>
      <c r="D250" s="54">
        <v>5</v>
      </c>
      <c r="E250" s="53"/>
      <c r="F250" s="53"/>
      <c r="G250" s="53"/>
      <c r="H250" s="38">
        <f t="shared" si="0"/>
        <v>5</v>
      </c>
      <c r="I250" s="38">
        <f t="shared" si="1"/>
        <v>3</v>
      </c>
      <c r="J250" s="55"/>
    </row>
    <row r="251" spans="1:10" ht="12.75" customHeight="1" x14ac:dyDescent="0.2">
      <c r="A251" s="50">
        <f t="array" ref="A251">+INDEX(Partidas!$A:$J,MATCH('Resultados dashboard'!$B251,Partidas!$C:$C,0),2)</f>
        <v>45373</v>
      </c>
      <c r="B251" s="56">
        <f>+IF(COUNTIF($B$2:B250,B250)=VLOOKUP(B250,Partidas!$C:$J,8,0),B250+1,B250)</f>
        <v>54</v>
      </c>
      <c r="C251" s="41" t="str">
        <f t="array" ref="C251">+INDEX(Partidas!$A:$J,MATCH('Resultados dashboard'!$B251,Partidas!$C:$C,0),3+COUNTIF($B$2:B251,'Resultados dashboard'!$B251))</f>
        <v>Max</v>
      </c>
      <c r="D251" s="54">
        <v>4</v>
      </c>
      <c r="E251" s="54">
        <v>2</v>
      </c>
      <c r="F251" s="54">
        <v>1</v>
      </c>
      <c r="G251" s="54">
        <v>1</v>
      </c>
      <c r="H251" s="38">
        <f t="shared" si="0"/>
        <v>10</v>
      </c>
      <c r="I251" s="38">
        <f t="shared" si="1"/>
        <v>1</v>
      </c>
      <c r="J251" s="55"/>
    </row>
    <row r="252" spans="1:10" ht="12.75" customHeight="1" x14ac:dyDescent="0.2">
      <c r="A252" s="50">
        <f t="array" ref="A252">+INDEX(Partidas!$A:$J,MATCH('Resultados dashboard'!$B252,Partidas!$C:$C,0),2)</f>
        <v>45373</v>
      </c>
      <c r="B252" s="56">
        <f>+IF(COUNTIF($B$2:B251,B251)=VLOOKUP(B251,Partidas!$C:$J,8,0),B251+1,B251)</f>
        <v>54</v>
      </c>
      <c r="C252" s="41" t="str">
        <f t="array" ref="C252">+INDEX(Partidas!$A:$J,MATCH('Resultados dashboard'!$B252,Partidas!$C:$C,0),3+COUNTIF($B$2:B252,'Resultados dashboard'!$B252))</f>
        <v>Hugo</v>
      </c>
      <c r="D252" s="54">
        <v>6</v>
      </c>
      <c r="E252" s="54">
        <v>1</v>
      </c>
      <c r="F252" s="53"/>
      <c r="G252" s="53"/>
      <c r="H252" s="38">
        <f t="shared" si="0"/>
        <v>7</v>
      </c>
      <c r="I252" s="38">
        <f t="shared" si="1"/>
        <v>2</v>
      </c>
      <c r="J252" s="55"/>
    </row>
    <row r="253" spans="1:10" ht="12.75" customHeight="1" x14ac:dyDescent="0.2">
      <c r="A253" s="50">
        <f t="array" ref="A253">+INDEX(Partidas!$A:$J,MATCH('Resultados dashboard'!$B253,Partidas!$C:$C,0),2)</f>
        <v>45373</v>
      </c>
      <c r="B253" s="56">
        <f>+IF(COUNTIF($B$2:B252,B252)=VLOOKUP(B252,Partidas!$C:$J,8,0),B252+1,B252)</f>
        <v>54</v>
      </c>
      <c r="C253" s="41" t="str">
        <f t="array" ref="C253">+INDEX(Partidas!$A:$J,MATCH('Resultados dashboard'!$B253,Partidas!$C:$C,0),3+COUNTIF($B$2:B253,'Resultados dashboard'!$B253))</f>
        <v>Gaspa</v>
      </c>
      <c r="D253" s="54">
        <v>5</v>
      </c>
      <c r="E253" s="53"/>
      <c r="F253" s="53"/>
      <c r="G253" s="53"/>
      <c r="H253" s="38">
        <f t="shared" si="0"/>
        <v>5</v>
      </c>
      <c r="I253" s="38">
        <f t="shared" si="1"/>
        <v>3</v>
      </c>
      <c r="J253" s="55"/>
    </row>
    <row r="254" spans="1:10" ht="12.75" customHeight="1" x14ac:dyDescent="0.2">
      <c r="A254" s="50">
        <f t="array" ref="A254">+INDEX(Partidas!$A:$J,MATCH('Resultados dashboard'!$B254,Partidas!$C:$C,0),2)</f>
        <v>45373</v>
      </c>
      <c r="B254" s="56">
        <f>+IF(COUNTIF($B$2:B253,B253)=VLOOKUP(B253,Partidas!$C:$J,8,0),B253+1,B253)</f>
        <v>55</v>
      </c>
      <c r="C254" s="41" t="str">
        <f t="array" ref="C254">+INDEX(Partidas!$A:$J,MATCH('Resultados dashboard'!$B254,Partidas!$C:$C,0),3+COUNTIF($B$2:B254,'Resultados dashboard'!$B254))</f>
        <v>Gallo</v>
      </c>
      <c r="D254" s="54">
        <v>6</v>
      </c>
      <c r="E254" s="54">
        <v>1</v>
      </c>
      <c r="F254" s="53"/>
      <c r="G254" s="53"/>
      <c r="H254" s="38">
        <f t="shared" si="0"/>
        <v>7</v>
      </c>
      <c r="I254" s="38">
        <f t="shared" si="1"/>
        <v>3</v>
      </c>
      <c r="J254" s="55"/>
    </row>
    <row r="255" spans="1:10" ht="12.75" customHeight="1" x14ac:dyDescent="0.2">
      <c r="A255" s="50">
        <f t="array" ref="A255">+INDEX(Partidas!$A:$J,MATCH('Resultados dashboard'!$B255,Partidas!$C:$C,0),2)</f>
        <v>45373</v>
      </c>
      <c r="B255" s="56">
        <f>+IF(COUNTIF($B$2:B254,B254)=VLOOKUP(B254,Partidas!$C:$J,8,0),B254+1,B254)</f>
        <v>55</v>
      </c>
      <c r="C255" s="41" t="str">
        <f t="array" ref="C255">+INDEX(Partidas!$A:$J,MATCH('Resultados dashboard'!$B255,Partidas!$C:$C,0),3+COUNTIF($B$2:B255,'Resultados dashboard'!$B255))</f>
        <v>Max</v>
      </c>
      <c r="D255" s="54">
        <v>8</v>
      </c>
      <c r="E255" s="53"/>
      <c r="F255" s="53"/>
      <c r="G255" s="53"/>
      <c r="H255" s="38">
        <f t="shared" si="0"/>
        <v>8</v>
      </c>
      <c r="I255" s="38">
        <f t="shared" si="1"/>
        <v>2</v>
      </c>
      <c r="J255" s="55"/>
    </row>
    <row r="256" spans="1:10" ht="12.75" customHeight="1" x14ac:dyDescent="0.2">
      <c r="A256" s="50">
        <f t="array" ref="A256">+INDEX(Partidas!$A:$J,MATCH('Resultados dashboard'!$B256,Partidas!$C:$C,0),2)</f>
        <v>45373</v>
      </c>
      <c r="B256" s="56">
        <f>+IF(COUNTIF($B$2:B255,B255)=VLOOKUP(B255,Partidas!$C:$J,8,0),B255+1,B255)</f>
        <v>55</v>
      </c>
      <c r="C256" s="41" t="str">
        <f t="array" ref="C256">+INDEX(Partidas!$A:$J,MATCH('Resultados dashboard'!$B256,Partidas!$C:$C,0),3+COUNTIF($B$2:B256,'Resultados dashboard'!$B256))</f>
        <v>Hugo</v>
      </c>
      <c r="D256" s="54">
        <v>7</v>
      </c>
      <c r="E256" s="54">
        <v>1</v>
      </c>
      <c r="F256" s="54">
        <v>1</v>
      </c>
      <c r="G256" s="53"/>
      <c r="H256" s="38">
        <f t="shared" si="0"/>
        <v>10</v>
      </c>
      <c r="I256" s="38">
        <f t="shared" si="1"/>
        <v>1</v>
      </c>
      <c r="J256" s="55"/>
    </row>
    <row r="257" spans="1:10" ht="12.75" customHeight="1" x14ac:dyDescent="0.2">
      <c r="A257" s="50">
        <f t="array" ref="A257">+INDEX(Partidas!$A:$J,MATCH('Resultados dashboard'!$B257,Partidas!$C:$C,0),2)</f>
        <v>45373</v>
      </c>
      <c r="B257" s="56">
        <f>+IF(COUNTIF($B$2:B256,B256)=VLOOKUP(B256,Partidas!$C:$J,8,0),B256+1,B256)</f>
        <v>55</v>
      </c>
      <c r="C257" s="41" t="str">
        <f t="array" ref="C257">+INDEX(Partidas!$A:$J,MATCH('Resultados dashboard'!$B257,Partidas!$C:$C,0),3+COUNTIF($B$2:B257,'Resultados dashboard'!$B257))</f>
        <v>Gaspa</v>
      </c>
      <c r="D257" s="54">
        <v>4</v>
      </c>
      <c r="E257" s="54">
        <v>1</v>
      </c>
      <c r="F257" s="53"/>
      <c r="G257" s="54">
        <v>1</v>
      </c>
      <c r="H257" s="38">
        <f t="shared" ref="H257:H511" si="2">+SUM(D257:E257)+2*SUM(F257:G257)+J257</f>
        <v>7</v>
      </c>
      <c r="I257" s="38">
        <f t="shared" ref="I257:I490" si="3">COUNTIFS($B$2:$B$1075,B257,$H$2:$H$1075,"&gt;" &amp; H257)+1</f>
        <v>3</v>
      </c>
      <c r="J257" s="55"/>
    </row>
    <row r="258" spans="1:10" ht="12.75" customHeight="1" x14ac:dyDescent="0.2">
      <c r="A258" s="50">
        <f t="array" ref="A258">+INDEX(Partidas!$A:$J,MATCH('Resultados dashboard'!$B258,Partidas!$C:$C,0),2)</f>
        <v>45373</v>
      </c>
      <c r="B258" s="56">
        <f>+IF(COUNTIF($B$2:B257,B257)=VLOOKUP(B257,Partidas!$C:$J,8,0),B257+1,B257)</f>
        <v>56</v>
      </c>
      <c r="C258" s="41" t="str">
        <f t="array" ref="C258">+INDEX(Partidas!$A:$J,MATCH('Resultados dashboard'!$B258,Partidas!$C:$C,0),3+COUNTIF($B$2:B258,'Resultados dashboard'!$B258))</f>
        <v>Gallo</v>
      </c>
      <c r="D258" s="54">
        <v>10</v>
      </c>
      <c r="E258" s="53"/>
      <c r="F258" s="53"/>
      <c r="G258" s="53"/>
      <c r="H258" s="38">
        <f t="shared" si="2"/>
        <v>10</v>
      </c>
      <c r="I258" s="38">
        <f t="shared" si="3"/>
        <v>1</v>
      </c>
      <c r="J258" s="55"/>
    </row>
    <row r="259" spans="1:10" ht="12.75" customHeight="1" x14ac:dyDescent="0.2">
      <c r="A259" s="50">
        <f t="array" ref="A259">+INDEX(Partidas!$A:$J,MATCH('Resultados dashboard'!$B259,Partidas!$C:$C,0),2)</f>
        <v>45373</v>
      </c>
      <c r="B259" s="56">
        <f>+IF(COUNTIF($B$2:B258,B258)=VLOOKUP(B258,Partidas!$C:$J,8,0),B258+1,B258)</f>
        <v>56</v>
      </c>
      <c r="C259" s="41" t="str">
        <f t="array" ref="C259">+INDEX(Partidas!$A:$J,MATCH('Resultados dashboard'!$B259,Partidas!$C:$C,0),3+COUNTIF($B$2:B259,'Resultados dashboard'!$B259))</f>
        <v>Max</v>
      </c>
      <c r="D259" s="54">
        <v>5</v>
      </c>
      <c r="E259" s="53"/>
      <c r="F259" s="53"/>
      <c r="G259" s="53"/>
      <c r="H259" s="38">
        <f t="shared" si="2"/>
        <v>5</v>
      </c>
      <c r="I259" s="38">
        <f t="shared" si="3"/>
        <v>4</v>
      </c>
      <c r="J259" s="55"/>
    </row>
    <row r="260" spans="1:10" ht="12.75" customHeight="1" x14ac:dyDescent="0.2">
      <c r="A260" s="50">
        <f t="array" ref="A260">+INDEX(Partidas!$A:$J,MATCH('Resultados dashboard'!$B260,Partidas!$C:$C,0),2)</f>
        <v>45373</v>
      </c>
      <c r="B260" s="56">
        <f>+IF(COUNTIF($B$2:B259,B259)=VLOOKUP(B259,Partidas!$C:$J,8,0),B259+1,B259)</f>
        <v>56</v>
      </c>
      <c r="C260" s="41" t="str">
        <f t="array" ref="C260">+INDEX(Partidas!$A:$J,MATCH('Resultados dashboard'!$B260,Partidas!$C:$C,0),3+COUNTIF($B$2:B260,'Resultados dashboard'!$B260))</f>
        <v>Hugo</v>
      </c>
      <c r="D260" s="54">
        <v>7</v>
      </c>
      <c r="E260" s="53"/>
      <c r="F260" s="53"/>
      <c r="G260" s="53"/>
      <c r="H260" s="38">
        <f t="shared" si="2"/>
        <v>7</v>
      </c>
      <c r="I260" s="38">
        <f t="shared" si="3"/>
        <v>2</v>
      </c>
      <c r="J260" s="55"/>
    </row>
    <row r="261" spans="1:10" ht="12.75" customHeight="1" x14ac:dyDescent="0.2">
      <c r="A261" s="50">
        <f t="array" ref="A261">+INDEX(Partidas!$A:$J,MATCH('Resultados dashboard'!$B261,Partidas!$C:$C,0),2)</f>
        <v>45373</v>
      </c>
      <c r="B261" s="56">
        <f>+IF(COUNTIF($B$2:B260,B260)=VLOOKUP(B260,Partidas!$C:$J,8,0),B260+1,B260)</f>
        <v>56</v>
      </c>
      <c r="C261" s="41" t="str">
        <f t="array" ref="C261">+INDEX(Partidas!$A:$J,MATCH('Resultados dashboard'!$B261,Partidas!$C:$C,0),3+COUNTIF($B$2:B261,'Resultados dashboard'!$B261))</f>
        <v>Gaspa</v>
      </c>
      <c r="D261" s="54">
        <v>5</v>
      </c>
      <c r="E261" s="53"/>
      <c r="F261" s="53"/>
      <c r="G261" s="54">
        <v>1</v>
      </c>
      <c r="H261" s="38">
        <f t="shared" si="2"/>
        <v>7</v>
      </c>
      <c r="I261" s="38">
        <f t="shared" si="3"/>
        <v>2</v>
      </c>
      <c r="J261" s="55"/>
    </row>
    <row r="262" spans="1:10" ht="12.75" customHeight="1" x14ac:dyDescent="0.2">
      <c r="A262" s="50">
        <f t="array" ref="A262">+INDEX(Partidas!$A:$J,MATCH('Resultados dashboard'!$B262,Partidas!$C:$C,0),2)</f>
        <v>45375</v>
      </c>
      <c r="B262" s="56">
        <f>+IF(COUNTIF($B$2:B261,B261)=VLOOKUP(B261,Partidas!$C:$J,8,0),B261+1,B261)</f>
        <v>57</v>
      </c>
      <c r="C262" s="41" t="str">
        <f t="array" ref="C262">+INDEX(Partidas!$A:$J,MATCH('Resultados dashboard'!$B262,Partidas!$C:$C,0),3+COUNTIF($B$2:B262,'Resultados dashboard'!$B262))</f>
        <v>Gallo</v>
      </c>
      <c r="D262" s="54">
        <v>7</v>
      </c>
      <c r="E262" s="54">
        <v>1</v>
      </c>
      <c r="F262" s="53"/>
      <c r="G262" s="53"/>
      <c r="H262" s="38">
        <f t="shared" si="2"/>
        <v>8</v>
      </c>
      <c r="I262" s="38">
        <f t="shared" si="3"/>
        <v>3</v>
      </c>
      <c r="J262" s="55"/>
    </row>
    <row r="263" spans="1:10" ht="12.75" customHeight="1" x14ac:dyDescent="0.2">
      <c r="A263" s="50">
        <f t="array" ref="A263">+INDEX(Partidas!$A:$J,MATCH('Resultados dashboard'!$B263,Partidas!$C:$C,0),2)</f>
        <v>45375</v>
      </c>
      <c r="B263" s="56">
        <f>+IF(COUNTIF($B$2:B262,B262)=VLOOKUP(B262,Partidas!$C:$J,8,0),B262+1,B262)</f>
        <v>57</v>
      </c>
      <c r="C263" s="41" t="str">
        <f t="array" ref="C263">+INDEX(Partidas!$A:$J,MATCH('Resultados dashboard'!$B263,Partidas!$C:$C,0),3+COUNTIF($B$2:B263,'Resultados dashboard'!$B263))</f>
        <v>Max</v>
      </c>
      <c r="D263" s="54">
        <v>7</v>
      </c>
      <c r="E263" s="54"/>
      <c r="F263" s="53"/>
      <c r="G263" s="54">
        <v>1</v>
      </c>
      <c r="H263" s="38">
        <f t="shared" si="2"/>
        <v>9</v>
      </c>
      <c r="I263" s="38">
        <f t="shared" si="3"/>
        <v>2</v>
      </c>
      <c r="J263" s="55"/>
    </row>
    <row r="264" spans="1:10" ht="12.75" customHeight="1" x14ac:dyDescent="0.2">
      <c r="A264" s="50">
        <f t="array" ref="A264">+INDEX(Partidas!$A:$J,MATCH('Resultados dashboard'!$B264,Partidas!$C:$C,0),2)</f>
        <v>45375</v>
      </c>
      <c r="B264" s="56">
        <f>+IF(COUNTIF($B$2:B263,B263)=VLOOKUP(B263,Partidas!$C:$J,8,0),B263+1,B263)</f>
        <v>57</v>
      </c>
      <c r="C264" s="41" t="str">
        <f t="array" ref="C264">+INDEX(Partidas!$A:$J,MATCH('Resultados dashboard'!$B264,Partidas!$C:$C,0),3+COUNTIF($B$2:B264,'Resultados dashboard'!$B264))</f>
        <v>Ivo</v>
      </c>
      <c r="D264" s="54">
        <v>8</v>
      </c>
      <c r="E264" s="54"/>
      <c r="F264" s="54">
        <v>1</v>
      </c>
      <c r="G264" s="53"/>
      <c r="H264" s="38">
        <f t="shared" si="2"/>
        <v>10</v>
      </c>
      <c r="I264" s="38">
        <f t="shared" si="3"/>
        <v>1</v>
      </c>
      <c r="J264" s="55"/>
    </row>
    <row r="265" spans="1:10" ht="12.75" customHeight="1" x14ac:dyDescent="0.2">
      <c r="A265" s="50">
        <f t="array" ref="A265">+INDEX(Partidas!$A:$J,MATCH('Resultados dashboard'!$B265,Partidas!$C:$C,0),2)</f>
        <v>45375</v>
      </c>
      <c r="B265" s="56">
        <f>+IF(COUNTIF($B$2:B264,B264)=VLOOKUP(B264,Partidas!$C:$J,8,0),B264+1,B264)</f>
        <v>57</v>
      </c>
      <c r="C265" s="41" t="str">
        <f t="array" ref="C265">+INDEX(Partidas!$A:$J,MATCH('Resultados dashboard'!$B265,Partidas!$C:$C,0),3+COUNTIF($B$2:B265,'Resultados dashboard'!$B265))</f>
        <v>Sofi</v>
      </c>
      <c r="D265" s="54">
        <v>6</v>
      </c>
      <c r="E265" s="54"/>
      <c r="F265" s="53"/>
      <c r="G265" s="53"/>
      <c r="H265" s="38">
        <f t="shared" si="2"/>
        <v>6</v>
      </c>
      <c r="I265" s="38">
        <f t="shared" si="3"/>
        <v>4</v>
      </c>
      <c r="J265" s="55"/>
    </row>
    <row r="266" spans="1:10" ht="12.75" customHeight="1" x14ac:dyDescent="0.2">
      <c r="A266" s="50">
        <f t="array" ref="A266">+INDEX(Partidas!$A:$J,MATCH('Resultados dashboard'!$B266,Partidas!$C:$C,0),2)</f>
        <v>45375</v>
      </c>
      <c r="B266" s="56">
        <f>+IF(COUNTIF($B$2:B265,B265)=VLOOKUP(B265,Partidas!$C:$J,8,0),B265+1,B265)</f>
        <v>58</v>
      </c>
      <c r="C266" s="41" t="str">
        <f t="array" ref="C266">+INDEX(Partidas!$A:$J,MATCH('Resultados dashboard'!$B266,Partidas!$C:$C,0),3+COUNTIF($B$2:B266,'Resultados dashboard'!$B266))</f>
        <v>Gallo</v>
      </c>
      <c r="D266" s="54">
        <v>7</v>
      </c>
      <c r="E266" s="54">
        <v>3</v>
      </c>
      <c r="F266" s="53"/>
      <c r="G266" s="53"/>
      <c r="H266" s="38">
        <f t="shared" si="2"/>
        <v>10</v>
      </c>
      <c r="I266" s="38">
        <f t="shared" si="3"/>
        <v>1</v>
      </c>
      <c r="J266" s="55"/>
    </row>
    <row r="267" spans="1:10" ht="12.75" customHeight="1" x14ac:dyDescent="0.2">
      <c r="A267" s="50">
        <f t="array" ref="A267">+INDEX(Partidas!$A:$J,MATCH('Resultados dashboard'!$B267,Partidas!$C:$C,0),2)</f>
        <v>45375</v>
      </c>
      <c r="B267" s="56">
        <f>+IF(COUNTIF($B$2:B266,B266)=VLOOKUP(B266,Partidas!$C:$J,8,0),B266+1,B266)</f>
        <v>58</v>
      </c>
      <c r="C267" s="41" t="str">
        <f t="array" ref="C267">+INDEX(Partidas!$A:$J,MATCH('Resultados dashboard'!$B267,Partidas!$C:$C,0),3+COUNTIF($B$2:B267,'Resultados dashboard'!$B267))</f>
        <v>Max</v>
      </c>
      <c r="D267" s="54">
        <v>6</v>
      </c>
      <c r="E267" s="53"/>
      <c r="F267" s="53"/>
      <c r="G267" s="54">
        <v>1</v>
      </c>
      <c r="H267" s="38">
        <f t="shared" si="2"/>
        <v>8</v>
      </c>
      <c r="I267" s="38">
        <f t="shared" si="3"/>
        <v>2</v>
      </c>
      <c r="J267" s="55"/>
    </row>
    <row r="268" spans="1:10" ht="12.75" customHeight="1" x14ac:dyDescent="0.2">
      <c r="A268" s="50">
        <f t="array" ref="A268">+INDEX(Partidas!$A:$J,MATCH('Resultados dashboard'!$B268,Partidas!$C:$C,0),2)</f>
        <v>45375</v>
      </c>
      <c r="B268" s="56">
        <f>+IF(COUNTIF($B$2:B267,B267)=VLOOKUP(B267,Partidas!$C:$J,8,0),B267+1,B267)</f>
        <v>58</v>
      </c>
      <c r="C268" s="41" t="str">
        <f t="array" ref="C268">+INDEX(Partidas!$A:$J,MATCH('Resultados dashboard'!$B268,Partidas!$C:$C,0),3+COUNTIF($B$2:B268,'Resultados dashboard'!$B268))</f>
        <v>Ivo</v>
      </c>
      <c r="D268" s="54">
        <v>5</v>
      </c>
      <c r="E268" s="53"/>
      <c r="F268" s="53"/>
      <c r="G268" s="53"/>
      <c r="H268" s="38">
        <f t="shared" si="2"/>
        <v>5</v>
      </c>
      <c r="I268" s="38">
        <f t="shared" si="3"/>
        <v>4</v>
      </c>
      <c r="J268" s="55"/>
    </row>
    <row r="269" spans="1:10" ht="12.75" customHeight="1" x14ac:dyDescent="0.2">
      <c r="A269" s="50">
        <f t="array" ref="A269">+INDEX(Partidas!$A:$J,MATCH('Resultados dashboard'!$B269,Partidas!$C:$C,0),2)</f>
        <v>45375</v>
      </c>
      <c r="B269" s="56">
        <f>+IF(COUNTIF($B$2:B268,B268)=VLOOKUP(B268,Partidas!$C:$J,8,0),B268+1,B268)</f>
        <v>58</v>
      </c>
      <c r="C269" s="41" t="str">
        <f t="array" ref="C269">+INDEX(Partidas!$A:$J,MATCH('Resultados dashboard'!$B269,Partidas!$C:$C,0),3+COUNTIF($B$2:B269,'Resultados dashboard'!$B269))</f>
        <v>Sofi</v>
      </c>
      <c r="D269" s="54">
        <v>4</v>
      </c>
      <c r="E269" s="53"/>
      <c r="F269" s="54">
        <v>1</v>
      </c>
      <c r="G269" s="53"/>
      <c r="H269" s="38">
        <f t="shared" si="2"/>
        <v>6</v>
      </c>
      <c r="I269" s="38">
        <f t="shared" si="3"/>
        <v>3</v>
      </c>
      <c r="J269" s="55"/>
    </row>
    <row r="270" spans="1:10" ht="12.75" customHeight="1" x14ac:dyDescent="0.2">
      <c r="A270" s="50">
        <f t="array" ref="A270">+INDEX(Partidas!$A:$J,MATCH('Resultados dashboard'!$B270,Partidas!$C:$C,0),2)</f>
        <v>45375</v>
      </c>
      <c r="B270" s="56">
        <f>+IF(COUNTIF($B$2:B269,B269)=VLOOKUP(B269,Partidas!$C:$J,8,0),B269+1,B269)</f>
        <v>59</v>
      </c>
      <c r="C270" s="41" t="str">
        <f t="array" ref="C270">+INDEX(Partidas!$A:$J,MATCH('Resultados dashboard'!$B270,Partidas!$C:$C,0),3+COUNTIF($B$2:B270,'Resultados dashboard'!$B270))</f>
        <v>Gallo</v>
      </c>
      <c r="D270" s="54">
        <v>6</v>
      </c>
      <c r="E270" s="54">
        <v>2</v>
      </c>
      <c r="F270" s="53"/>
      <c r="G270" s="54">
        <v>1</v>
      </c>
      <c r="H270" s="38">
        <f t="shared" si="2"/>
        <v>10</v>
      </c>
      <c r="I270" s="38">
        <f t="shared" si="3"/>
        <v>1</v>
      </c>
      <c r="J270" s="55"/>
    </row>
    <row r="271" spans="1:10" ht="12.75" customHeight="1" x14ac:dyDescent="0.2">
      <c r="A271" s="50">
        <f t="array" ref="A271">+INDEX(Partidas!$A:$J,MATCH('Resultados dashboard'!$B271,Partidas!$C:$C,0),2)</f>
        <v>45375</v>
      </c>
      <c r="B271" s="56">
        <f>+IF(COUNTIF($B$2:B270,B270)=VLOOKUP(B270,Partidas!$C:$J,8,0),B270+1,B270)</f>
        <v>59</v>
      </c>
      <c r="C271" s="41" t="str">
        <f t="array" ref="C271">+INDEX(Partidas!$A:$J,MATCH('Resultados dashboard'!$B271,Partidas!$C:$C,0),3+COUNTIF($B$2:B271,'Resultados dashboard'!$B271))</f>
        <v>Max</v>
      </c>
      <c r="D271" s="54">
        <v>7</v>
      </c>
      <c r="E271" s="54">
        <v>1</v>
      </c>
      <c r="F271" s="53"/>
      <c r="G271" s="53"/>
      <c r="H271" s="38">
        <f t="shared" si="2"/>
        <v>8</v>
      </c>
      <c r="I271" s="38">
        <f t="shared" si="3"/>
        <v>2</v>
      </c>
      <c r="J271" s="55"/>
    </row>
    <row r="272" spans="1:10" ht="12.75" customHeight="1" x14ac:dyDescent="0.2">
      <c r="A272" s="50">
        <f t="array" ref="A272">+INDEX(Partidas!$A:$J,MATCH('Resultados dashboard'!$B272,Partidas!$C:$C,0),2)</f>
        <v>45375</v>
      </c>
      <c r="B272" s="56">
        <f>+IF(COUNTIF($B$2:B271,B271)=VLOOKUP(B271,Partidas!$C:$J,8,0),B271+1,B271)</f>
        <v>59</v>
      </c>
      <c r="C272" s="41" t="str">
        <f t="array" ref="C272">+INDEX(Partidas!$A:$J,MATCH('Resultados dashboard'!$B272,Partidas!$C:$C,0),3+COUNTIF($B$2:B272,'Resultados dashboard'!$B272))</f>
        <v>Ivo</v>
      </c>
      <c r="D272" s="54">
        <v>7</v>
      </c>
      <c r="E272" s="53"/>
      <c r="F272" s="53"/>
      <c r="G272" s="53"/>
      <c r="H272" s="38">
        <f t="shared" si="2"/>
        <v>7</v>
      </c>
      <c r="I272" s="38">
        <f t="shared" si="3"/>
        <v>3</v>
      </c>
      <c r="J272" s="55"/>
    </row>
    <row r="273" spans="1:10" ht="12.75" customHeight="1" x14ac:dyDescent="0.2">
      <c r="A273" s="50">
        <f t="array" ref="A273">+INDEX(Partidas!$A:$J,MATCH('Resultados dashboard'!$B273,Partidas!$C:$C,0),2)</f>
        <v>45375</v>
      </c>
      <c r="B273" s="56">
        <f>+IF(COUNTIF($B$2:B272,B272)=VLOOKUP(B272,Partidas!$C:$J,8,0),B272+1,B272)</f>
        <v>59</v>
      </c>
      <c r="C273" s="41" t="str">
        <f t="array" ref="C273">+INDEX(Partidas!$A:$J,MATCH('Resultados dashboard'!$B273,Partidas!$C:$C,0),3+COUNTIF($B$2:B273,'Resultados dashboard'!$B273))</f>
        <v>Sofi</v>
      </c>
      <c r="D273" s="54">
        <v>7</v>
      </c>
      <c r="E273" s="53"/>
      <c r="F273" s="53"/>
      <c r="G273" s="53"/>
      <c r="H273" s="38">
        <f t="shared" si="2"/>
        <v>7</v>
      </c>
      <c r="I273" s="38">
        <f t="shared" si="3"/>
        <v>3</v>
      </c>
      <c r="J273" s="55"/>
    </row>
    <row r="274" spans="1:10" ht="12.75" customHeight="1" x14ac:dyDescent="0.2">
      <c r="A274" s="50">
        <f t="array" ref="A274">+INDEX(Partidas!$A:$J,MATCH('Resultados dashboard'!$B274,Partidas!$C:$C,0),2)</f>
        <v>45379</v>
      </c>
      <c r="B274" s="56">
        <f>+IF(COUNTIF($B$2:B273,B273)=VLOOKUP(B273,Partidas!$C:$J,8,0),B273+1,B273)</f>
        <v>60</v>
      </c>
      <c r="C274" s="41" t="str">
        <f t="array" ref="C274">+INDEX(Partidas!$A:$J,MATCH('Resultados dashboard'!$B274,Partidas!$C:$C,0),3+COUNTIF($B$2:B274,'Resultados dashboard'!$B274))</f>
        <v>Gallo</v>
      </c>
      <c r="D274" s="54">
        <v>5</v>
      </c>
      <c r="E274" s="53"/>
      <c r="F274" s="53"/>
      <c r="G274" s="53"/>
      <c r="H274" s="38">
        <f t="shared" si="2"/>
        <v>5</v>
      </c>
      <c r="I274" s="38">
        <f t="shared" si="3"/>
        <v>3</v>
      </c>
      <c r="J274" s="55"/>
    </row>
    <row r="275" spans="1:10" ht="12.75" customHeight="1" x14ac:dyDescent="0.2">
      <c r="A275" s="50">
        <f t="array" ref="A275">+INDEX(Partidas!$A:$J,MATCH('Resultados dashboard'!$B275,Partidas!$C:$C,0),2)</f>
        <v>45379</v>
      </c>
      <c r="B275" s="56">
        <f>+IF(COUNTIF($B$2:B274,B274)=VLOOKUP(B274,Partidas!$C:$J,8,0),B274+1,B274)</f>
        <v>60</v>
      </c>
      <c r="C275" s="41" t="str">
        <f t="array" ref="C275">+INDEX(Partidas!$A:$J,MATCH('Resultados dashboard'!$B275,Partidas!$C:$C,0),3+COUNTIF($B$2:B275,'Resultados dashboard'!$B275))</f>
        <v>Max</v>
      </c>
      <c r="D275" s="54">
        <v>4</v>
      </c>
      <c r="E275" s="53"/>
      <c r="F275" s="53"/>
      <c r="G275" s="53"/>
      <c r="H275" s="38">
        <f t="shared" si="2"/>
        <v>4</v>
      </c>
      <c r="I275" s="38">
        <f t="shared" si="3"/>
        <v>4</v>
      </c>
      <c r="J275" s="55"/>
    </row>
    <row r="276" spans="1:10" ht="12.75" customHeight="1" x14ac:dyDescent="0.2">
      <c r="A276" s="50">
        <f t="array" ref="A276">+INDEX(Partidas!$A:$J,MATCH('Resultados dashboard'!$B276,Partidas!$C:$C,0),2)</f>
        <v>45379</v>
      </c>
      <c r="B276" s="56">
        <f>+IF(COUNTIF($B$2:B275,B275)=VLOOKUP(B275,Partidas!$C:$J,8,0),B275+1,B275)</f>
        <v>60</v>
      </c>
      <c r="C276" s="41" t="str">
        <f t="array" ref="C276">+INDEX(Partidas!$A:$J,MATCH('Resultados dashboard'!$B276,Partidas!$C:$C,0),3+COUNTIF($B$2:B276,'Resultados dashboard'!$B276))</f>
        <v>Ivo</v>
      </c>
      <c r="D276" s="54">
        <v>7</v>
      </c>
      <c r="E276" s="54">
        <v>1</v>
      </c>
      <c r="F276" s="53"/>
      <c r="G276" s="54">
        <v>1</v>
      </c>
      <c r="H276" s="38">
        <f t="shared" si="2"/>
        <v>10</v>
      </c>
      <c r="I276" s="38">
        <f t="shared" si="3"/>
        <v>1</v>
      </c>
      <c r="J276" s="55"/>
    </row>
    <row r="277" spans="1:10" ht="12.75" customHeight="1" x14ac:dyDescent="0.2">
      <c r="A277" s="50">
        <f t="array" ref="A277">+INDEX(Partidas!$A:$J,MATCH('Resultados dashboard'!$B277,Partidas!$C:$C,0),2)</f>
        <v>45379</v>
      </c>
      <c r="B277" s="56">
        <f>+IF(COUNTIF($B$2:B276,B276)=VLOOKUP(B276,Partidas!$C:$J,8,0),B276+1,B276)</f>
        <v>60</v>
      </c>
      <c r="C277" s="41" t="str">
        <f t="array" ref="C277">+INDEX(Partidas!$A:$J,MATCH('Resultados dashboard'!$B277,Partidas!$C:$C,0),3+COUNTIF($B$2:B277,'Resultados dashboard'!$B277))</f>
        <v>Gaspa</v>
      </c>
      <c r="D277" s="54">
        <v>3</v>
      </c>
      <c r="E277" s="53"/>
      <c r="F277" s="53"/>
      <c r="G277" s="53"/>
      <c r="H277" s="38">
        <f t="shared" si="2"/>
        <v>3</v>
      </c>
      <c r="I277" s="38">
        <f t="shared" si="3"/>
        <v>5</v>
      </c>
      <c r="J277" s="55"/>
    </row>
    <row r="278" spans="1:10" ht="12.75" customHeight="1" x14ac:dyDescent="0.2">
      <c r="A278" s="50">
        <f t="array" ref="A278">+INDEX(Partidas!$A:$J,MATCH('Resultados dashboard'!$B278,Partidas!$C:$C,0),2)</f>
        <v>45379</v>
      </c>
      <c r="B278" s="56">
        <f>+IF(COUNTIF($B$2:B277,B277)=VLOOKUP(B277,Partidas!$C:$J,8,0),B277+1,B277)</f>
        <v>60</v>
      </c>
      <c r="C278" s="41" t="str">
        <f t="array" ref="C278">+INDEX(Partidas!$A:$J,MATCH('Resultados dashboard'!$B278,Partidas!$C:$C,0),3+COUNTIF($B$2:B278,'Resultados dashboard'!$B278))</f>
        <v>Hugo</v>
      </c>
      <c r="D278" s="54">
        <v>6</v>
      </c>
      <c r="E278" s="53"/>
      <c r="F278" s="53"/>
      <c r="G278" s="53"/>
      <c r="H278" s="38">
        <f t="shared" si="2"/>
        <v>6</v>
      </c>
      <c r="I278" s="38">
        <f t="shared" si="3"/>
        <v>2</v>
      </c>
      <c r="J278" s="55"/>
    </row>
    <row r="279" spans="1:10" ht="12.75" customHeight="1" x14ac:dyDescent="0.2">
      <c r="A279" s="50">
        <f t="array" ref="A279">+INDEX(Partidas!$A:$J,MATCH('Resultados dashboard'!$B279,Partidas!$C:$C,0),2)</f>
        <v>45379</v>
      </c>
      <c r="B279" s="56">
        <f>+IF(COUNTIF($B$2:B278,B278)=VLOOKUP(B278,Partidas!$C:$J,8,0),B278+1,B278)</f>
        <v>61</v>
      </c>
      <c r="C279" s="41" t="str">
        <f t="array" ref="C279">+INDEX(Partidas!$A:$J,MATCH('Resultados dashboard'!$B279,Partidas!$C:$C,0),3+COUNTIF($B$2:B279,'Resultados dashboard'!$B279))</f>
        <v>Gallo</v>
      </c>
      <c r="D279" s="54">
        <v>8</v>
      </c>
      <c r="E279" s="53"/>
      <c r="F279" s="53"/>
      <c r="G279" s="53"/>
      <c r="H279" s="38">
        <f t="shared" si="2"/>
        <v>8</v>
      </c>
      <c r="I279" s="38">
        <f t="shared" si="3"/>
        <v>3</v>
      </c>
      <c r="J279" s="55"/>
    </row>
    <row r="280" spans="1:10" ht="12.75" customHeight="1" x14ac:dyDescent="0.2">
      <c r="A280" s="50">
        <f t="array" ref="A280">+INDEX(Partidas!$A:$J,MATCH('Resultados dashboard'!$B280,Partidas!$C:$C,0),2)</f>
        <v>45379</v>
      </c>
      <c r="B280" s="56">
        <f>+IF(COUNTIF($B$2:B279,B279)=VLOOKUP(B279,Partidas!$C:$J,8,0),B279+1,B279)</f>
        <v>61</v>
      </c>
      <c r="C280" s="41" t="str">
        <f t="array" ref="C280">+INDEX(Partidas!$A:$J,MATCH('Resultados dashboard'!$B280,Partidas!$C:$C,0),3+COUNTIF($B$2:B280,'Resultados dashboard'!$B280))</f>
        <v>Max</v>
      </c>
      <c r="D280" s="54">
        <v>8</v>
      </c>
      <c r="E280" s="53"/>
      <c r="F280" s="53"/>
      <c r="G280" s="53"/>
      <c r="H280" s="38">
        <f t="shared" si="2"/>
        <v>8</v>
      </c>
      <c r="I280" s="38">
        <f t="shared" si="3"/>
        <v>3</v>
      </c>
      <c r="J280" s="55"/>
    </row>
    <row r="281" spans="1:10" ht="12.75" customHeight="1" x14ac:dyDescent="0.2">
      <c r="A281" s="50">
        <f t="array" ref="A281">+INDEX(Partidas!$A:$J,MATCH('Resultados dashboard'!$B281,Partidas!$C:$C,0),2)</f>
        <v>45379</v>
      </c>
      <c r="B281" s="56">
        <f>+IF(COUNTIF($B$2:B280,B280)=VLOOKUP(B280,Partidas!$C:$J,8,0),B280+1,B280)</f>
        <v>61</v>
      </c>
      <c r="C281" s="41" t="str">
        <f t="array" ref="C281">+INDEX(Partidas!$A:$J,MATCH('Resultados dashboard'!$B281,Partidas!$C:$C,0),3+COUNTIF($B$2:B281,'Resultados dashboard'!$B281))</f>
        <v>Ivo</v>
      </c>
      <c r="D281" s="54">
        <v>6</v>
      </c>
      <c r="E281" s="53"/>
      <c r="F281" s="53"/>
      <c r="G281" s="54">
        <v>1</v>
      </c>
      <c r="H281" s="38">
        <f t="shared" si="2"/>
        <v>8</v>
      </c>
      <c r="I281" s="38">
        <f t="shared" si="3"/>
        <v>3</v>
      </c>
      <c r="J281" s="55"/>
    </row>
    <row r="282" spans="1:10" ht="12.75" customHeight="1" x14ac:dyDescent="0.2">
      <c r="A282" s="50">
        <f t="array" ref="A282">+INDEX(Partidas!$A:$J,MATCH('Resultados dashboard'!$B282,Partidas!$C:$C,0),2)</f>
        <v>45379</v>
      </c>
      <c r="B282" s="56">
        <f>+IF(COUNTIF($B$2:B281,B281)=VLOOKUP(B281,Partidas!$C:$J,8,0),B281+1,B281)</f>
        <v>61</v>
      </c>
      <c r="C282" s="41" t="str">
        <f t="array" ref="C282">+INDEX(Partidas!$A:$J,MATCH('Resultados dashboard'!$B282,Partidas!$C:$C,0),3+COUNTIF($B$2:B282,'Resultados dashboard'!$B282))</f>
        <v>Gaspa</v>
      </c>
      <c r="D282" s="54">
        <v>7</v>
      </c>
      <c r="E282" s="53"/>
      <c r="F282" s="54">
        <v>1</v>
      </c>
      <c r="G282" s="53"/>
      <c r="H282" s="38">
        <f t="shared" si="2"/>
        <v>9</v>
      </c>
      <c r="I282" s="38">
        <f t="shared" si="3"/>
        <v>2</v>
      </c>
      <c r="J282" s="55"/>
    </row>
    <row r="283" spans="1:10" ht="12.75" customHeight="1" x14ac:dyDescent="0.2">
      <c r="A283" s="50">
        <f t="array" ref="A283">+INDEX(Partidas!$A:$J,MATCH('Resultados dashboard'!$B283,Partidas!$C:$C,0),2)</f>
        <v>45379</v>
      </c>
      <c r="B283" s="56">
        <f>+IF(COUNTIF($B$2:B282,B282)=VLOOKUP(B282,Partidas!$C:$J,8,0),B282+1,B282)</f>
        <v>61</v>
      </c>
      <c r="C283" s="41" t="str">
        <f t="array" ref="C283">+INDEX(Partidas!$A:$J,MATCH('Resultados dashboard'!$B283,Partidas!$C:$C,0),3+COUNTIF($B$2:B283,'Resultados dashboard'!$B283))</f>
        <v>Hugo</v>
      </c>
      <c r="D283" s="54">
        <v>9</v>
      </c>
      <c r="E283" s="54">
        <v>1</v>
      </c>
      <c r="F283" s="53"/>
      <c r="G283" s="53"/>
      <c r="H283" s="38">
        <f t="shared" si="2"/>
        <v>10</v>
      </c>
      <c r="I283" s="38">
        <f t="shared" si="3"/>
        <v>1</v>
      </c>
      <c r="J283" s="55"/>
    </row>
    <row r="284" spans="1:10" ht="12.75" customHeight="1" x14ac:dyDescent="0.2">
      <c r="A284" s="50">
        <f t="array" ref="A284">+INDEX(Partidas!$A:$J,MATCH('Resultados dashboard'!$B284,Partidas!$C:$C,0),2)</f>
        <v>45379</v>
      </c>
      <c r="B284" s="56">
        <f>+IF(COUNTIF($B$2:B283,B283)=VLOOKUP(B283,Partidas!$C:$J,8,0),B283+1,B283)</f>
        <v>62</v>
      </c>
      <c r="C284" s="41" t="str">
        <f t="array" ref="C284">+INDEX(Partidas!$A:$J,MATCH('Resultados dashboard'!$B284,Partidas!$C:$C,0),3+COUNTIF($B$2:B284,'Resultados dashboard'!$B284))</f>
        <v>Gallo</v>
      </c>
      <c r="D284" s="54">
        <v>8</v>
      </c>
      <c r="E284" s="53"/>
      <c r="F284" s="53"/>
      <c r="G284" s="53"/>
      <c r="H284" s="38">
        <f t="shared" si="2"/>
        <v>8</v>
      </c>
      <c r="I284" s="38">
        <f t="shared" si="3"/>
        <v>2</v>
      </c>
      <c r="J284" s="55"/>
    </row>
    <row r="285" spans="1:10" ht="12.75" customHeight="1" x14ac:dyDescent="0.2">
      <c r="A285" s="50">
        <f t="array" ref="A285">+INDEX(Partidas!$A:$J,MATCH('Resultados dashboard'!$B285,Partidas!$C:$C,0),2)</f>
        <v>45379</v>
      </c>
      <c r="B285" s="56">
        <f>+IF(COUNTIF($B$2:B284,B284)=VLOOKUP(B284,Partidas!$C:$J,8,0),B284+1,B284)</f>
        <v>62</v>
      </c>
      <c r="C285" s="41" t="str">
        <f t="array" ref="C285">+INDEX(Partidas!$A:$J,MATCH('Resultados dashboard'!$B285,Partidas!$C:$C,0),3+COUNTIF($B$2:B285,'Resultados dashboard'!$B285))</f>
        <v>Max</v>
      </c>
      <c r="D285" s="54">
        <v>5</v>
      </c>
      <c r="E285" s="53"/>
      <c r="F285" s="53"/>
      <c r="G285" s="53"/>
      <c r="H285" s="38">
        <f t="shared" si="2"/>
        <v>5</v>
      </c>
      <c r="I285" s="38">
        <f t="shared" si="3"/>
        <v>5</v>
      </c>
      <c r="J285" s="55"/>
    </row>
    <row r="286" spans="1:10" ht="12.75" customHeight="1" x14ac:dyDescent="0.2">
      <c r="A286" s="50">
        <f t="array" ref="A286">+INDEX(Partidas!$A:$J,MATCH('Resultados dashboard'!$B286,Partidas!$C:$C,0),2)</f>
        <v>45379</v>
      </c>
      <c r="B286" s="56">
        <f>+IF(COUNTIF($B$2:B285,B285)=VLOOKUP(B285,Partidas!$C:$J,8,0),B285+1,B285)</f>
        <v>62</v>
      </c>
      <c r="C286" s="41" t="str">
        <f t="array" ref="C286">+INDEX(Partidas!$A:$J,MATCH('Resultados dashboard'!$B286,Partidas!$C:$C,0),3+COUNTIF($B$2:B286,'Resultados dashboard'!$B286))</f>
        <v>Ivo</v>
      </c>
      <c r="D286" s="54">
        <v>8</v>
      </c>
      <c r="E286" s="53"/>
      <c r="F286" s="53"/>
      <c r="G286" s="54">
        <v>1</v>
      </c>
      <c r="H286" s="38">
        <f t="shared" si="2"/>
        <v>10</v>
      </c>
      <c r="I286" s="38">
        <f t="shared" si="3"/>
        <v>1</v>
      </c>
      <c r="J286" s="55"/>
    </row>
    <row r="287" spans="1:10" ht="12.75" customHeight="1" x14ac:dyDescent="0.2">
      <c r="A287" s="50">
        <f t="array" ref="A287">+INDEX(Partidas!$A:$J,MATCH('Resultados dashboard'!$B287,Partidas!$C:$C,0),2)</f>
        <v>45379</v>
      </c>
      <c r="B287" s="56">
        <f>+IF(COUNTIF($B$2:B286,B286)=VLOOKUP(B286,Partidas!$C:$J,8,0),B286+1,B286)</f>
        <v>62</v>
      </c>
      <c r="C287" s="41" t="str">
        <f t="array" ref="C287">+INDEX(Partidas!$A:$J,MATCH('Resultados dashboard'!$B287,Partidas!$C:$C,0),3+COUNTIF($B$2:B287,'Resultados dashboard'!$B287))</f>
        <v>Gaspa</v>
      </c>
      <c r="D287" s="54">
        <v>8</v>
      </c>
      <c r="E287" s="53"/>
      <c r="F287" s="53"/>
      <c r="G287" s="53"/>
      <c r="H287" s="38">
        <f t="shared" si="2"/>
        <v>8</v>
      </c>
      <c r="I287" s="38">
        <f t="shared" si="3"/>
        <v>2</v>
      </c>
      <c r="J287" s="55"/>
    </row>
    <row r="288" spans="1:10" ht="12.75" customHeight="1" x14ac:dyDescent="0.2">
      <c r="A288" s="50">
        <f t="array" ref="A288">+INDEX(Partidas!$A:$J,MATCH('Resultados dashboard'!$B288,Partidas!$C:$C,0),2)</f>
        <v>45379</v>
      </c>
      <c r="B288" s="56">
        <f>+IF(COUNTIF($B$2:B287,B287)=VLOOKUP(B287,Partidas!$C:$J,8,0),B287+1,B287)</f>
        <v>62</v>
      </c>
      <c r="C288" s="41" t="str">
        <f t="array" ref="C288">+INDEX(Partidas!$A:$J,MATCH('Resultados dashboard'!$B288,Partidas!$C:$C,0),3+COUNTIF($B$2:B288,'Resultados dashboard'!$B288))</f>
        <v>Hugo</v>
      </c>
      <c r="D288" s="54">
        <v>6</v>
      </c>
      <c r="E288" s="53"/>
      <c r="F288" s="53"/>
      <c r="G288" s="53"/>
      <c r="H288" s="38">
        <f t="shared" si="2"/>
        <v>6</v>
      </c>
      <c r="I288" s="38">
        <f t="shared" si="3"/>
        <v>4</v>
      </c>
      <c r="J288" s="55"/>
    </row>
    <row r="289" spans="1:10" ht="12.75" customHeight="1" x14ac:dyDescent="0.2">
      <c r="A289" s="50">
        <f t="array" ref="A289">+INDEX(Partidas!$A:$J,MATCH('Resultados dashboard'!$B289,Partidas!$C:$C,0),2)</f>
        <v>45379</v>
      </c>
      <c r="B289" s="56">
        <f>+IF(COUNTIF($B$2:B288,B288)=VLOOKUP(B288,Partidas!$C:$J,8,0),B288+1,B288)</f>
        <v>63</v>
      </c>
      <c r="C289" s="41" t="str">
        <f t="array" ref="C289">+INDEX(Partidas!$A:$J,MATCH('Resultados dashboard'!$B289,Partidas!$C:$C,0),3+COUNTIF($B$2:B289,'Resultados dashboard'!$B289))</f>
        <v>Gallo</v>
      </c>
      <c r="D289" s="54">
        <v>5</v>
      </c>
      <c r="E289" s="54">
        <v>1</v>
      </c>
      <c r="F289" s="53"/>
      <c r="G289" s="54">
        <v>1</v>
      </c>
      <c r="H289" s="38">
        <f t="shared" si="2"/>
        <v>8</v>
      </c>
      <c r="I289" s="38">
        <f t="shared" si="3"/>
        <v>2</v>
      </c>
      <c r="J289" s="55"/>
    </row>
    <row r="290" spans="1:10" ht="12.75" customHeight="1" x14ac:dyDescent="0.2">
      <c r="A290" s="50">
        <f t="array" ref="A290">+INDEX(Partidas!$A:$J,MATCH('Resultados dashboard'!$B290,Partidas!$C:$C,0),2)</f>
        <v>45379</v>
      </c>
      <c r="B290" s="56">
        <f>+IF(COUNTIF($B$2:B289,B289)=VLOOKUP(B289,Partidas!$C:$J,8,0),B289+1,B289)</f>
        <v>63</v>
      </c>
      <c r="C290" s="41" t="str">
        <f t="array" ref="C290">+INDEX(Partidas!$A:$J,MATCH('Resultados dashboard'!$B290,Partidas!$C:$C,0),3+COUNTIF($B$2:B290,'Resultados dashboard'!$B290))</f>
        <v>Max</v>
      </c>
      <c r="D290" s="54">
        <v>7</v>
      </c>
      <c r="E290" s="53"/>
      <c r="F290" s="53"/>
      <c r="G290" s="53"/>
      <c r="H290" s="38">
        <f t="shared" si="2"/>
        <v>7</v>
      </c>
      <c r="I290" s="38">
        <f t="shared" si="3"/>
        <v>3</v>
      </c>
      <c r="J290" s="55"/>
    </row>
    <row r="291" spans="1:10" ht="12.75" customHeight="1" x14ac:dyDescent="0.2">
      <c r="A291" s="50">
        <f t="array" ref="A291">+INDEX(Partidas!$A:$J,MATCH('Resultados dashboard'!$B291,Partidas!$C:$C,0),2)</f>
        <v>45379</v>
      </c>
      <c r="B291" s="56">
        <f>+IF(COUNTIF($B$2:B290,B290)=VLOOKUP(B290,Partidas!$C:$J,8,0),B290+1,B290)</f>
        <v>63</v>
      </c>
      <c r="C291" s="41" t="str">
        <f t="array" ref="C291">+INDEX(Partidas!$A:$J,MATCH('Resultados dashboard'!$B291,Partidas!$C:$C,0),3+COUNTIF($B$2:B291,'Resultados dashboard'!$B291))</f>
        <v>Ivo</v>
      </c>
      <c r="D291" s="54">
        <v>5</v>
      </c>
      <c r="E291" s="53"/>
      <c r="F291" s="53"/>
      <c r="G291" s="53"/>
      <c r="H291" s="38">
        <f t="shared" si="2"/>
        <v>5</v>
      </c>
      <c r="I291" s="38">
        <f t="shared" si="3"/>
        <v>5</v>
      </c>
      <c r="J291" s="55"/>
    </row>
    <row r="292" spans="1:10" ht="12.75" customHeight="1" x14ac:dyDescent="0.2">
      <c r="A292" s="50">
        <f t="array" ref="A292">+INDEX(Partidas!$A:$J,MATCH('Resultados dashboard'!$B292,Partidas!$C:$C,0),2)</f>
        <v>45379</v>
      </c>
      <c r="B292" s="56">
        <f>+IF(COUNTIF($B$2:B291,B291)=VLOOKUP(B291,Partidas!$C:$J,8,0),B291+1,B291)</f>
        <v>63</v>
      </c>
      <c r="C292" s="41" t="str">
        <f t="array" ref="C292">+INDEX(Partidas!$A:$J,MATCH('Resultados dashboard'!$B292,Partidas!$C:$C,0),3+COUNTIF($B$2:B292,'Resultados dashboard'!$B292))</f>
        <v>Gaspa</v>
      </c>
      <c r="D292" s="54">
        <v>7</v>
      </c>
      <c r="E292" s="54">
        <v>1</v>
      </c>
      <c r="F292" s="54">
        <v>1</v>
      </c>
      <c r="G292" s="54"/>
      <c r="H292" s="38">
        <f t="shared" si="2"/>
        <v>10</v>
      </c>
      <c r="I292" s="38">
        <f t="shared" si="3"/>
        <v>1</v>
      </c>
      <c r="J292" s="55"/>
    </row>
    <row r="293" spans="1:10" ht="12.75" customHeight="1" x14ac:dyDescent="0.2">
      <c r="A293" s="50">
        <f t="array" ref="A293">+INDEX(Partidas!$A:$J,MATCH('Resultados dashboard'!$B293,Partidas!$C:$C,0),2)</f>
        <v>45379</v>
      </c>
      <c r="B293" s="56">
        <f>+IF(COUNTIF($B$2:B292,B292)=VLOOKUP(B292,Partidas!$C:$J,8,0),B292+1,B292)</f>
        <v>63</v>
      </c>
      <c r="C293" s="41" t="str">
        <f t="array" ref="C293">+INDEX(Partidas!$A:$J,MATCH('Resultados dashboard'!$B293,Partidas!$C:$C,0),3+COUNTIF($B$2:B293,'Resultados dashboard'!$B293))</f>
        <v>Hugo</v>
      </c>
      <c r="D293" s="54">
        <v>6</v>
      </c>
      <c r="E293" s="54">
        <v>1</v>
      </c>
      <c r="F293" s="53"/>
      <c r="G293" s="53"/>
      <c r="H293" s="38">
        <f t="shared" si="2"/>
        <v>7</v>
      </c>
      <c r="I293" s="38">
        <f t="shared" si="3"/>
        <v>3</v>
      </c>
      <c r="J293" s="55"/>
    </row>
    <row r="294" spans="1:10" ht="12.75" customHeight="1" x14ac:dyDescent="0.2">
      <c r="A294" s="50">
        <f t="array" ref="A294">+INDEX(Partidas!$A:$J,MATCH('Resultados dashboard'!$B294,Partidas!$C:$C,0),2)</f>
        <v>45382</v>
      </c>
      <c r="B294" s="56">
        <f>+IF(COUNTIF($B$2:B293,B293)=VLOOKUP(B293,Partidas!$C:$J,8,0),B293+1,B293)</f>
        <v>64</v>
      </c>
      <c r="C294" s="41" t="str">
        <f t="array" ref="C294">+INDEX(Partidas!$A:$J,MATCH('Resultados dashboard'!$B294,Partidas!$C:$C,0),3+COUNTIF($B$2:B294,'Resultados dashboard'!$B294))</f>
        <v>Gallo</v>
      </c>
      <c r="D294" s="54">
        <v>3</v>
      </c>
      <c r="E294" s="53"/>
      <c r="F294" s="54">
        <v>1</v>
      </c>
      <c r="G294" s="53"/>
      <c r="H294" s="38">
        <f t="shared" si="2"/>
        <v>5</v>
      </c>
      <c r="I294" s="38">
        <f t="shared" si="3"/>
        <v>3</v>
      </c>
      <c r="J294" s="55"/>
    </row>
    <row r="295" spans="1:10" ht="12.75" customHeight="1" x14ac:dyDescent="0.2">
      <c r="A295" s="50">
        <f t="array" ref="A295">+INDEX(Partidas!$A:$J,MATCH('Resultados dashboard'!$B295,Partidas!$C:$C,0),2)</f>
        <v>45382</v>
      </c>
      <c r="B295" s="56">
        <f>+IF(COUNTIF($B$2:B294,B294)=VLOOKUP(B294,Partidas!$C:$J,8,0),B294+1,B294)</f>
        <v>64</v>
      </c>
      <c r="C295" s="41" t="str">
        <f t="array" ref="C295">+INDEX(Partidas!$A:$J,MATCH('Resultados dashboard'!$B295,Partidas!$C:$C,0),3+COUNTIF($B$2:B295,'Resultados dashboard'!$B295))</f>
        <v>Max</v>
      </c>
      <c r="D295" s="54">
        <v>10</v>
      </c>
      <c r="E295" s="53"/>
      <c r="F295" s="53"/>
      <c r="G295" s="53"/>
      <c r="H295" s="38">
        <f t="shared" si="2"/>
        <v>10</v>
      </c>
      <c r="I295" s="38">
        <f t="shared" si="3"/>
        <v>1</v>
      </c>
      <c r="J295" s="55"/>
    </row>
    <row r="296" spans="1:10" ht="12.75" customHeight="1" x14ac:dyDescent="0.2">
      <c r="A296" s="50">
        <f t="array" ref="A296">+INDEX(Partidas!$A:$J,MATCH('Resultados dashboard'!$B296,Partidas!$C:$C,0),2)</f>
        <v>45382</v>
      </c>
      <c r="B296" s="56">
        <f>+IF(COUNTIF($B$2:B295,B295)=VLOOKUP(B295,Partidas!$C:$J,8,0),B295+1,B295)</f>
        <v>64</v>
      </c>
      <c r="C296" s="41" t="str">
        <f t="array" ref="C296">+INDEX(Partidas!$A:$J,MATCH('Resultados dashboard'!$B296,Partidas!$C:$C,0),3+COUNTIF($B$2:B296,'Resultados dashboard'!$B296))</f>
        <v>Gaspa</v>
      </c>
      <c r="D296" s="54">
        <v>7</v>
      </c>
      <c r="E296" s="53"/>
      <c r="F296" s="53"/>
      <c r="G296" s="54">
        <v>1</v>
      </c>
      <c r="H296" s="38">
        <f t="shared" si="2"/>
        <v>9</v>
      </c>
      <c r="I296" s="38">
        <f t="shared" si="3"/>
        <v>2</v>
      </c>
      <c r="J296" s="55"/>
    </row>
    <row r="297" spans="1:10" ht="12.75" customHeight="1" x14ac:dyDescent="0.2">
      <c r="A297" s="50">
        <f t="array" ref="A297">+INDEX(Partidas!$A:$J,MATCH('Resultados dashboard'!$B297,Partidas!$C:$C,0),2)</f>
        <v>45382</v>
      </c>
      <c r="B297" s="56">
        <f>+IF(COUNTIF($B$2:B296,B296)=VLOOKUP(B296,Partidas!$C:$J,8,0),B296+1,B296)</f>
        <v>64</v>
      </c>
      <c r="C297" s="41" t="str">
        <f t="array" ref="C297">+INDEX(Partidas!$A:$J,MATCH('Resultados dashboard'!$B297,Partidas!$C:$C,0),3+COUNTIF($B$2:B297,'Resultados dashboard'!$B297))</f>
        <v>Moch</v>
      </c>
      <c r="D297" s="54">
        <v>4</v>
      </c>
      <c r="E297" s="54">
        <v>1</v>
      </c>
      <c r="F297" s="53"/>
      <c r="G297" s="53"/>
      <c r="H297" s="38">
        <f t="shared" si="2"/>
        <v>5</v>
      </c>
      <c r="I297" s="38">
        <f t="shared" si="3"/>
        <v>3</v>
      </c>
      <c r="J297" s="55"/>
    </row>
    <row r="298" spans="1:10" ht="12.75" customHeight="1" x14ac:dyDescent="0.2">
      <c r="A298" s="50">
        <f t="array" ref="A298">+INDEX(Partidas!$A:$J,MATCH('Resultados dashboard'!$B298,Partidas!$C:$C,0),2)</f>
        <v>45382</v>
      </c>
      <c r="B298" s="56">
        <f>+IF(COUNTIF($B$2:B297,B297)=VLOOKUP(B297,Partidas!$C:$J,8,0),B297+1,B297)</f>
        <v>65</v>
      </c>
      <c r="C298" s="41" t="str">
        <f t="array" ref="C298">+INDEX(Partidas!$A:$J,MATCH('Resultados dashboard'!$B298,Partidas!$C:$C,0),3+COUNTIF($B$2:B298,'Resultados dashboard'!$B298))</f>
        <v>Gallo</v>
      </c>
      <c r="D298" s="54">
        <v>10</v>
      </c>
      <c r="E298" s="53"/>
      <c r="F298" s="53"/>
      <c r="G298" s="53"/>
      <c r="H298" s="38">
        <f t="shared" si="2"/>
        <v>10</v>
      </c>
      <c r="I298" s="38">
        <f t="shared" si="3"/>
        <v>1</v>
      </c>
      <c r="J298" s="55"/>
    </row>
    <row r="299" spans="1:10" ht="12.75" customHeight="1" x14ac:dyDescent="0.2">
      <c r="A299" s="50">
        <f t="array" ref="A299">+INDEX(Partidas!$A:$J,MATCH('Resultados dashboard'!$B299,Partidas!$C:$C,0),2)</f>
        <v>45382</v>
      </c>
      <c r="B299" s="56">
        <f>+IF(COUNTIF($B$2:B298,B298)=VLOOKUP(B298,Partidas!$C:$J,8,0),B298+1,B298)</f>
        <v>65</v>
      </c>
      <c r="C299" s="41" t="str">
        <f t="array" ref="C299">+INDEX(Partidas!$A:$J,MATCH('Resultados dashboard'!$B299,Partidas!$C:$C,0),3+COUNTIF($B$2:B299,'Resultados dashboard'!$B299))</f>
        <v>Max</v>
      </c>
      <c r="D299" s="54">
        <v>9</v>
      </c>
      <c r="E299" s="53"/>
      <c r="F299" s="53"/>
      <c r="G299" s="53"/>
      <c r="H299" s="38">
        <f t="shared" si="2"/>
        <v>9</v>
      </c>
      <c r="I299" s="38">
        <f t="shared" si="3"/>
        <v>2</v>
      </c>
      <c r="J299" s="55"/>
    </row>
    <row r="300" spans="1:10" ht="12.75" customHeight="1" x14ac:dyDescent="0.2">
      <c r="A300" s="50">
        <f t="array" ref="A300">+INDEX(Partidas!$A:$J,MATCH('Resultados dashboard'!$B300,Partidas!$C:$C,0),2)</f>
        <v>45382</v>
      </c>
      <c r="B300" s="56">
        <f>+IF(COUNTIF($B$2:B299,B299)=VLOOKUP(B299,Partidas!$C:$J,8,0),B299+1,B299)</f>
        <v>65</v>
      </c>
      <c r="C300" s="41" t="str">
        <f t="array" ref="C300">+INDEX(Partidas!$A:$J,MATCH('Resultados dashboard'!$B300,Partidas!$C:$C,0),3+COUNTIF($B$2:B300,'Resultados dashboard'!$B300))</f>
        <v>Gaspa</v>
      </c>
      <c r="D300" s="54">
        <v>6</v>
      </c>
      <c r="E300" s="54">
        <v>1</v>
      </c>
      <c r="F300" s="54">
        <v>1</v>
      </c>
      <c r="G300" s="53"/>
      <c r="H300" s="38">
        <f t="shared" si="2"/>
        <v>9</v>
      </c>
      <c r="I300" s="38">
        <f t="shared" si="3"/>
        <v>2</v>
      </c>
      <c r="J300" s="55"/>
    </row>
    <row r="301" spans="1:10" ht="12.75" customHeight="1" x14ac:dyDescent="0.2">
      <c r="A301" s="50">
        <f t="array" ref="A301">+INDEX(Partidas!$A:$J,MATCH('Resultados dashboard'!$B301,Partidas!$C:$C,0),2)</f>
        <v>45382</v>
      </c>
      <c r="B301" s="56">
        <f>+IF(COUNTIF($B$2:B300,B300)=VLOOKUP(B300,Partidas!$C:$J,8,0),B300+1,B300)</f>
        <v>65</v>
      </c>
      <c r="C301" s="41" t="str">
        <f t="array" ref="C301">+INDEX(Partidas!$A:$J,MATCH('Resultados dashboard'!$B301,Partidas!$C:$C,0),3+COUNTIF($B$2:B301,'Resultados dashboard'!$B301))</f>
        <v>Ivo</v>
      </c>
      <c r="D301" s="54">
        <v>6</v>
      </c>
      <c r="E301" s="53"/>
      <c r="F301" s="53"/>
      <c r="G301" s="53"/>
      <c r="H301" s="38">
        <f t="shared" si="2"/>
        <v>6</v>
      </c>
      <c r="I301" s="38">
        <f t="shared" si="3"/>
        <v>4</v>
      </c>
      <c r="J301" s="55"/>
    </row>
    <row r="302" spans="1:10" ht="12.75" customHeight="1" x14ac:dyDescent="0.2">
      <c r="A302" s="50">
        <f t="array" ref="A302">+INDEX(Partidas!$A:$J,MATCH('Resultados dashboard'!$B302,Partidas!$C:$C,0),2)</f>
        <v>45382</v>
      </c>
      <c r="B302" s="56">
        <f>+IF(COUNTIF($B$2:B301,B301)=VLOOKUP(B301,Partidas!$C:$J,8,0),B301+1,B301)</f>
        <v>65</v>
      </c>
      <c r="C302" s="41" t="str">
        <f t="array" ref="C302">+INDEX(Partidas!$A:$J,MATCH('Resultados dashboard'!$B302,Partidas!$C:$C,0),3+COUNTIF($B$2:B302,'Resultados dashboard'!$B302))</f>
        <v>Moch</v>
      </c>
      <c r="D302" s="54">
        <v>4</v>
      </c>
      <c r="E302" s="53"/>
      <c r="F302" s="53"/>
      <c r="G302" s="54">
        <v>1</v>
      </c>
      <c r="H302" s="38">
        <f t="shared" si="2"/>
        <v>6</v>
      </c>
      <c r="I302" s="38">
        <f t="shared" si="3"/>
        <v>4</v>
      </c>
      <c r="J302" s="55"/>
    </row>
    <row r="303" spans="1:10" ht="12.75" customHeight="1" x14ac:dyDescent="0.2">
      <c r="A303" s="50">
        <f t="array" ref="A303">+INDEX(Partidas!$A:$J,MATCH('Resultados dashboard'!$B303,Partidas!$C:$C,0),2)</f>
        <v>45382</v>
      </c>
      <c r="B303" s="56">
        <f>+IF(COUNTIF($B$2:B302,B302)=VLOOKUP(B302,Partidas!$C:$J,8,0),B302+1,B302)</f>
        <v>66</v>
      </c>
      <c r="C303" s="41" t="str">
        <f t="array" ref="C303">+INDEX(Partidas!$A:$J,MATCH('Resultados dashboard'!$B303,Partidas!$C:$C,0),3+COUNTIF($B$2:B303,'Resultados dashboard'!$B303))</f>
        <v>Gallo</v>
      </c>
      <c r="D303" s="54">
        <v>7</v>
      </c>
      <c r="E303" s="53"/>
      <c r="F303" s="53"/>
      <c r="G303" s="53"/>
      <c r="H303" s="38">
        <f t="shared" si="2"/>
        <v>7</v>
      </c>
      <c r="I303" s="38">
        <f t="shared" si="3"/>
        <v>3</v>
      </c>
      <c r="J303" s="55"/>
    </row>
    <row r="304" spans="1:10" ht="12.75" customHeight="1" x14ac:dyDescent="0.2">
      <c r="A304" s="50">
        <f t="array" ref="A304">+INDEX(Partidas!$A:$J,MATCH('Resultados dashboard'!$B304,Partidas!$C:$C,0),2)</f>
        <v>45382</v>
      </c>
      <c r="B304" s="56">
        <f>+IF(COUNTIF($B$2:B303,B303)=VLOOKUP(B303,Partidas!$C:$J,8,0),B303+1,B303)</f>
        <v>66</v>
      </c>
      <c r="C304" s="41" t="str">
        <f t="array" ref="C304">+INDEX(Partidas!$A:$J,MATCH('Resultados dashboard'!$B304,Partidas!$C:$C,0),3+COUNTIF($B$2:B304,'Resultados dashboard'!$B304))</f>
        <v>Max</v>
      </c>
      <c r="D304" s="54">
        <v>7</v>
      </c>
      <c r="E304" s="54">
        <v>2</v>
      </c>
      <c r="F304" s="53"/>
      <c r="G304" s="53"/>
      <c r="H304" s="38">
        <f t="shared" si="2"/>
        <v>9</v>
      </c>
      <c r="I304" s="38">
        <f t="shared" si="3"/>
        <v>2</v>
      </c>
      <c r="J304" s="55"/>
    </row>
    <row r="305" spans="1:10" ht="12.75" customHeight="1" x14ac:dyDescent="0.2">
      <c r="A305" s="50">
        <f t="array" ref="A305">+INDEX(Partidas!$A:$J,MATCH('Resultados dashboard'!$B305,Partidas!$C:$C,0),2)</f>
        <v>45382</v>
      </c>
      <c r="B305" s="56">
        <f>+IF(COUNTIF($B$2:B304,B304)=VLOOKUP(B304,Partidas!$C:$J,8,0),B304+1,B304)</f>
        <v>66</v>
      </c>
      <c r="C305" s="41" t="str">
        <f t="array" ref="C305">+INDEX(Partidas!$A:$J,MATCH('Resultados dashboard'!$B305,Partidas!$C:$C,0),3+COUNTIF($B$2:B305,'Resultados dashboard'!$B305))</f>
        <v>Gaspa</v>
      </c>
      <c r="D305" s="54">
        <v>7</v>
      </c>
      <c r="E305" s="53"/>
      <c r="F305" s="53"/>
      <c r="G305" s="53"/>
      <c r="H305" s="38">
        <f t="shared" si="2"/>
        <v>7</v>
      </c>
      <c r="I305" s="38">
        <f t="shared" si="3"/>
        <v>3</v>
      </c>
      <c r="J305" s="55"/>
    </row>
    <row r="306" spans="1:10" ht="12.75" customHeight="1" x14ac:dyDescent="0.2">
      <c r="A306" s="50">
        <f t="array" ref="A306">+INDEX(Partidas!$A:$J,MATCH('Resultados dashboard'!$B306,Partidas!$C:$C,0),2)</f>
        <v>45382</v>
      </c>
      <c r="B306" s="56">
        <f>+IF(COUNTIF($B$2:B305,B305)=VLOOKUP(B305,Partidas!$C:$J,8,0),B305+1,B305)</f>
        <v>66</v>
      </c>
      <c r="C306" s="41" t="str">
        <f t="array" ref="C306">+INDEX(Partidas!$A:$J,MATCH('Resultados dashboard'!$B306,Partidas!$C:$C,0),3+COUNTIF($B$2:B306,'Resultados dashboard'!$B306))</f>
        <v>Ivo</v>
      </c>
      <c r="D306" s="54">
        <v>6</v>
      </c>
      <c r="E306" s="53"/>
      <c r="F306" s="53"/>
      <c r="G306" s="53"/>
      <c r="H306" s="38">
        <f t="shared" si="2"/>
        <v>6</v>
      </c>
      <c r="I306" s="38">
        <f t="shared" si="3"/>
        <v>5</v>
      </c>
      <c r="J306" s="55"/>
    </row>
    <row r="307" spans="1:10" ht="12.75" customHeight="1" x14ac:dyDescent="0.2">
      <c r="A307" s="50">
        <f t="array" ref="A307">+INDEX(Partidas!$A:$J,MATCH('Resultados dashboard'!$B307,Partidas!$C:$C,0),2)</f>
        <v>45382</v>
      </c>
      <c r="B307" s="56">
        <f>+IF(COUNTIF($B$2:B306,B306)=VLOOKUP(B306,Partidas!$C:$J,8,0),B306+1,B306)</f>
        <v>66</v>
      </c>
      <c r="C307" s="41" t="str">
        <f t="array" ref="C307">+INDEX(Partidas!$A:$J,MATCH('Resultados dashboard'!$B307,Partidas!$C:$C,0),3+COUNTIF($B$2:B307,'Resultados dashboard'!$B307))</f>
        <v>Moch</v>
      </c>
      <c r="D307" s="54">
        <v>7</v>
      </c>
      <c r="E307" s="54">
        <v>1</v>
      </c>
      <c r="F307" s="53"/>
      <c r="G307" s="54">
        <v>1</v>
      </c>
      <c r="H307" s="38">
        <f t="shared" si="2"/>
        <v>10</v>
      </c>
      <c r="I307" s="38">
        <f t="shared" si="3"/>
        <v>1</v>
      </c>
      <c r="J307" s="55"/>
    </row>
    <row r="308" spans="1:10" ht="12.75" customHeight="1" x14ac:dyDescent="0.2">
      <c r="A308" s="50">
        <f t="array" ref="A308">+INDEX(Partidas!$A:$J,MATCH('Resultados dashboard'!$B308,Partidas!$C:$C,0),2)</f>
        <v>45382</v>
      </c>
      <c r="B308" s="56">
        <f>+IF(COUNTIF($B$2:B307,B307)=VLOOKUP(B307,Partidas!$C:$J,8,0),B307+1,B307)</f>
        <v>67</v>
      </c>
      <c r="C308" s="41" t="str">
        <f t="array" ref="C308">+INDEX(Partidas!$A:$J,MATCH('Resultados dashboard'!$B308,Partidas!$C:$C,0),3+COUNTIF($B$2:B308,'Resultados dashboard'!$B308))</f>
        <v>Gallo</v>
      </c>
      <c r="D308" s="54">
        <v>8</v>
      </c>
      <c r="E308" s="53"/>
      <c r="F308" s="53"/>
      <c r="G308" s="53"/>
      <c r="H308" s="38">
        <f t="shared" si="2"/>
        <v>8</v>
      </c>
      <c r="I308" s="38">
        <f t="shared" si="3"/>
        <v>2</v>
      </c>
      <c r="J308" s="55"/>
    </row>
    <row r="309" spans="1:10" ht="12.75" customHeight="1" x14ac:dyDescent="0.2">
      <c r="A309" s="50">
        <f t="array" ref="A309">+INDEX(Partidas!$A:$J,MATCH('Resultados dashboard'!$B309,Partidas!$C:$C,0),2)</f>
        <v>45382</v>
      </c>
      <c r="B309" s="56">
        <f>+IF(COUNTIF($B$2:B308,B308)=VLOOKUP(B308,Partidas!$C:$J,8,0),B308+1,B308)</f>
        <v>67</v>
      </c>
      <c r="C309" s="41" t="str">
        <f t="array" ref="C309">+INDEX(Partidas!$A:$J,MATCH('Resultados dashboard'!$B309,Partidas!$C:$C,0),3+COUNTIF($B$2:B309,'Resultados dashboard'!$B309))</f>
        <v>Max</v>
      </c>
      <c r="D309" s="54">
        <v>6</v>
      </c>
      <c r="E309" s="54">
        <v>1</v>
      </c>
      <c r="F309" s="53"/>
      <c r="G309" s="53"/>
      <c r="H309" s="38">
        <f t="shared" si="2"/>
        <v>7</v>
      </c>
      <c r="I309" s="38">
        <f t="shared" si="3"/>
        <v>3</v>
      </c>
      <c r="J309" s="55"/>
    </row>
    <row r="310" spans="1:10" ht="12.75" customHeight="1" x14ac:dyDescent="0.2">
      <c r="A310" s="50">
        <f t="array" ref="A310">+INDEX(Partidas!$A:$J,MATCH('Resultados dashboard'!$B310,Partidas!$C:$C,0),2)</f>
        <v>45382</v>
      </c>
      <c r="B310" s="56">
        <f>+IF(COUNTIF($B$2:B309,B309)=VLOOKUP(B309,Partidas!$C:$J,8,0),B309+1,B309)</f>
        <v>67</v>
      </c>
      <c r="C310" s="41" t="str">
        <f t="array" ref="C310">+INDEX(Partidas!$A:$J,MATCH('Resultados dashboard'!$B310,Partidas!$C:$C,0),3+COUNTIF($B$2:B310,'Resultados dashboard'!$B310))</f>
        <v>Gaspa</v>
      </c>
      <c r="D310" s="54">
        <v>7</v>
      </c>
      <c r="E310" s="54">
        <v>1</v>
      </c>
      <c r="F310" s="53"/>
      <c r="G310" s="54">
        <v>1</v>
      </c>
      <c r="H310" s="38">
        <f t="shared" si="2"/>
        <v>10</v>
      </c>
      <c r="I310" s="38">
        <f t="shared" si="3"/>
        <v>1</v>
      </c>
      <c r="J310" s="55"/>
    </row>
    <row r="311" spans="1:10" ht="12.75" customHeight="1" x14ac:dyDescent="0.2">
      <c r="A311" s="50">
        <f t="array" ref="A311">+INDEX(Partidas!$A:$J,MATCH('Resultados dashboard'!$B311,Partidas!$C:$C,0),2)</f>
        <v>45382</v>
      </c>
      <c r="B311" s="56">
        <f>+IF(COUNTIF($B$2:B310,B310)=VLOOKUP(B310,Partidas!$C:$J,8,0),B310+1,B310)</f>
        <v>67</v>
      </c>
      <c r="C311" s="41" t="str">
        <f t="array" ref="C311">+INDEX(Partidas!$A:$J,MATCH('Resultados dashboard'!$B311,Partidas!$C:$C,0),3+COUNTIF($B$2:B311,'Resultados dashboard'!$B311))</f>
        <v>Ivo</v>
      </c>
      <c r="D311" s="54">
        <v>4</v>
      </c>
      <c r="E311" s="53"/>
      <c r="F311" s="54">
        <v>1</v>
      </c>
      <c r="G311" s="54"/>
      <c r="H311" s="38">
        <f t="shared" si="2"/>
        <v>6</v>
      </c>
      <c r="I311" s="38">
        <f t="shared" si="3"/>
        <v>4</v>
      </c>
      <c r="J311" s="55"/>
    </row>
    <row r="312" spans="1:10" ht="12.75" customHeight="1" x14ac:dyDescent="0.2">
      <c r="A312" s="50">
        <f t="array" ref="A312">+INDEX(Partidas!$A:$J,MATCH('Resultados dashboard'!$B312,Partidas!$C:$C,0),2)</f>
        <v>45382</v>
      </c>
      <c r="B312" s="56">
        <f>+IF(COUNTIF($B$2:B311,B311)=VLOOKUP(B311,Partidas!$C:$J,8,0),B311+1,B311)</f>
        <v>67</v>
      </c>
      <c r="C312" s="41" t="str">
        <f t="array" ref="C312">+INDEX(Partidas!$A:$J,MATCH('Resultados dashboard'!$B312,Partidas!$C:$C,0),3+COUNTIF($B$2:B312,'Resultados dashboard'!$B312))</f>
        <v>Moch</v>
      </c>
      <c r="D312" s="54">
        <v>4</v>
      </c>
      <c r="E312" s="53"/>
      <c r="F312" s="53"/>
      <c r="G312" s="53"/>
      <c r="H312" s="38">
        <f t="shared" si="2"/>
        <v>4</v>
      </c>
      <c r="I312" s="38">
        <f t="shared" si="3"/>
        <v>5</v>
      </c>
      <c r="J312" s="55"/>
    </row>
    <row r="313" spans="1:10" ht="12.75" customHeight="1" x14ac:dyDescent="0.2">
      <c r="A313" s="50">
        <f t="array" ref="A313">+INDEX(Partidas!$A:$J,MATCH('Resultados dashboard'!$B313,Partidas!$C:$C,0),2)</f>
        <v>45390</v>
      </c>
      <c r="B313" s="56">
        <f>+IF(COUNTIF($B$2:B312,B312)=VLOOKUP(B312,Partidas!$C:$J,8,0),B312+1,B312)</f>
        <v>68</v>
      </c>
      <c r="C313" s="41" t="str">
        <f t="array" ref="C313">+INDEX(Partidas!$A:$J,MATCH('Resultados dashboard'!$B313,Partidas!$C:$C,0),3+COUNTIF($B$2:B313,'Resultados dashboard'!$B313))</f>
        <v>Gallo</v>
      </c>
      <c r="D313" s="54">
        <v>4</v>
      </c>
      <c r="E313" s="53"/>
      <c r="F313" s="53"/>
      <c r="G313" s="53"/>
      <c r="H313" s="38">
        <f t="shared" si="2"/>
        <v>4</v>
      </c>
      <c r="I313" s="38">
        <f t="shared" si="3"/>
        <v>4</v>
      </c>
      <c r="J313" s="55"/>
    </row>
    <row r="314" spans="1:10" ht="12.75" customHeight="1" x14ac:dyDescent="0.2">
      <c r="A314" s="50">
        <f t="array" ref="A314">+INDEX(Partidas!$A:$J,MATCH('Resultados dashboard'!$B314,Partidas!$C:$C,0),2)</f>
        <v>45390</v>
      </c>
      <c r="B314" s="56">
        <f>+IF(COUNTIF($B$2:B313,B313)=VLOOKUP(B313,Partidas!$C:$J,8,0),B313+1,B313)</f>
        <v>68</v>
      </c>
      <c r="C314" s="41" t="str">
        <f t="array" ref="C314">+INDEX(Partidas!$A:$J,MATCH('Resultados dashboard'!$B314,Partidas!$C:$C,0),3+COUNTIF($B$2:B314,'Resultados dashboard'!$B314))</f>
        <v>Max</v>
      </c>
      <c r="D314" s="54">
        <v>7</v>
      </c>
      <c r="E314" s="53"/>
      <c r="F314" s="53"/>
      <c r="G314" s="54">
        <v>1</v>
      </c>
      <c r="H314" s="38">
        <f t="shared" si="2"/>
        <v>9</v>
      </c>
      <c r="I314" s="38">
        <f t="shared" si="3"/>
        <v>2</v>
      </c>
      <c r="J314" s="55"/>
    </row>
    <row r="315" spans="1:10" ht="12.75" customHeight="1" x14ac:dyDescent="0.2">
      <c r="A315" s="50">
        <f t="array" ref="A315">+INDEX(Partidas!$A:$J,MATCH('Resultados dashboard'!$B315,Partidas!$C:$C,0),2)</f>
        <v>45390</v>
      </c>
      <c r="B315" s="56">
        <f>+IF(COUNTIF($B$2:B314,B314)=VLOOKUP(B314,Partidas!$C:$J,8,0),B314+1,B314)</f>
        <v>68</v>
      </c>
      <c r="C315" s="41" t="str">
        <f t="array" ref="C315">+INDEX(Partidas!$A:$J,MATCH('Resultados dashboard'!$B315,Partidas!$C:$C,0),3+COUNTIF($B$2:B315,'Resultados dashboard'!$B315))</f>
        <v>Hugo</v>
      </c>
      <c r="D315" s="54">
        <v>5</v>
      </c>
      <c r="E315" s="54">
        <v>1</v>
      </c>
      <c r="F315" s="53"/>
      <c r="G315" s="53"/>
      <c r="H315" s="38">
        <f t="shared" si="2"/>
        <v>6</v>
      </c>
      <c r="I315" s="38">
        <f t="shared" si="3"/>
        <v>3</v>
      </c>
      <c r="J315" s="55"/>
    </row>
    <row r="316" spans="1:10" ht="12.75" customHeight="1" x14ac:dyDescent="0.2">
      <c r="A316" s="50">
        <f t="array" ref="A316">+INDEX(Partidas!$A:$J,MATCH('Resultados dashboard'!$B316,Partidas!$C:$C,0),2)</f>
        <v>45390</v>
      </c>
      <c r="B316" s="56">
        <f>+IF(COUNTIF($B$2:B315,B315)=VLOOKUP(B315,Partidas!$C:$J,8,0),B315+1,B315)</f>
        <v>68</v>
      </c>
      <c r="C316" s="41" t="str">
        <f t="array" ref="C316">+INDEX(Partidas!$A:$J,MATCH('Resultados dashboard'!$B316,Partidas!$C:$C,0),3+COUNTIF($B$2:B316,'Resultados dashboard'!$B316))</f>
        <v>Ivo</v>
      </c>
      <c r="D316" s="54">
        <v>7</v>
      </c>
      <c r="E316" s="54">
        <v>1</v>
      </c>
      <c r="F316" s="54">
        <v>1</v>
      </c>
      <c r="G316" s="53"/>
      <c r="H316" s="38">
        <f t="shared" si="2"/>
        <v>10</v>
      </c>
      <c r="I316" s="38">
        <f t="shared" si="3"/>
        <v>1</v>
      </c>
      <c r="J316" s="55"/>
    </row>
    <row r="317" spans="1:10" ht="12.75" customHeight="1" x14ac:dyDescent="0.2">
      <c r="A317" s="50">
        <f t="array" ref="A317">+INDEX(Partidas!$A:$J,MATCH('Resultados dashboard'!$B317,Partidas!$C:$C,0),2)</f>
        <v>45390</v>
      </c>
      <c r="B317" s="56">
        <f>+IF(COUNTIF($B$2:B316,B316)=VLOOKUP(B316,Partidas!$C:$J,8,0),B316+1,B316)</f>
        <v>69</v>
      </c>
      <c r="C317" s="41" t="str">
        <f t="array" ref="C317">+INDEX(Partidas!$A:$J,MATCH('Resultados dashboard'!$B317,Partidas!$C:$C,0),3+COUNTIF($B$2:B317,'Resultados dashboard'!$B317))</f>
        <v>Gallo</v>
      </c>
      <c r="D317" s="54">
        <v>7</v>
      </c>
      <c r="E317" s="53"/>
      <c r="F317" s="53"/>
      <c r="G317" s="53"/>
      <c r="H317" s="38">
        <f t="shared" si="2"/>
        <v>7</v>
      </c>
      <c r="I317" s="38">
        <f t="shared" si="3"/>
        <v>3</v>
      </c>
      <c r="J317" s="55"/>
    </row>
    <row r="318" spans="1:10" ht="12.75" customHeight="1" x14ac:dyDescent="0.2">
      <c r="A318" s="50">
        <f t="array" ref="A318">+INDEX(Partidas!$A:$J,MATCH('Resultados dashboard'!$B318,Partidas!$C:$C,0),2)</f>
        <v>45390</v>
      </c>
      <c r="B318" s="56">
        <f>+IF(COUNTIF($B$2:B317,B317)=VLOOKUP(B317,Partidas!$C:$J,8,0),B317+1,B317)</f>
        <v>69</v>
      </c>
      <c r="C318" s="41" t="str">
        <f t="array" ref="C318">+INDEX(Partidas!$A:$J,MATCH('Resultados dashboard'!$B318,Partidas!$C:$C,0),3+COUNTIF($B$2:B318,'Resultados dashboard'!$B318))</f>
        <v>Max</v>
      </c>
      <c r="D318" s="54">
        <v>6</v>
      </c>
      <c r="E318" s="53"/>
      <c r="F318" s="53"/>
      <c r="G318" s="54">
        <v>1</v>
      </c>
      <c r="H318" s="38">
        <f t="shared" si="2"/>
        <v>8</v>
      </c>
      <c r="I318" s="38">
        <f t="shared" si="3"/>
        <v>2</v>
      </c>
      <c r="J318" s="55"/>
    </row>
    <row r="319" spans="1:10" ht="12.75" customHeight="1" x14ac:dyDescent="0.2">
      <c r="A319" s="50">
        <f t="array" ref="A319">+INDEX(Partidas!$A:$J,MATCH('Resultados dashboard'!$B319,Partidas!$C:$C,0),2)</f>
        <v>45390</v>
      </c>
      <c r="B319" s="56">
        <f>+IF(COUNTIF($B$2:B318,B318)=VLOOKUP(B318,Partidas!$C:$J,8,0),B318+1,B318)</f>
        <v>69</v>
      </c>
      <c r="C319" s="41" t="str">
        <f t="array" ref="C319">+INDEX(Partidas!$A:$J,MATCH('Resultados dashboard'!$B319,Partidas!$C:$C,0),3+COUNTIF($B$2:B319,'Resultados dashboard'!$B319))</f>
        <v>Hugo</v>
      </c>
      <c r="D319" s="54">
        <v>4</v>
      </c>
      <c r="E319" s="54">
        <v>2</v>
      </c>
      <c r="F319" s="53"/>
      <c r="G319" s="53"/>
      <c r="H319" s="38">
        <f t="shared" si="2"/>
        <v>6</v>
      </c>
      <c r="I319" s="38">
        <f t="shared" si="3"/>
        <v>4</v>
      </c>
      <c r="J319" s="55"/>
    </row>
    <row r="320" spans="1:10" ht="12.75" customHeight="1" x14ac:dyDescent="0.2">
      <c r="A320" s="50">
        <f t="array" ref="A320">+INDEX(Partidas!$A:$J,MATCH('Resultados dashboard'!$B320,Partidas!$C:$C,0),2)</f>
        <v>45390</v>
      </c>
      <c r="B320" s="56">
        <f>+IF(COUNTIF($B$2:B319,B319)=VLOOKUP(B319,Partidas!$C:$J,8,0),B319+1,B319)</f>
        <v>69</v>
      </c>
      <c r="C320" s="41" t="str">
        <f t="array" ref="C320">+INDEX(Partidas!$A:$J,MATCH('Resultados dashboard'!$B320,Partidas!$C:$C,0),3+COUNTIF($B$2:B320,'Resultados dashboard'!$B320))</f>
        <v>Ivo</v>
      </c>
      <c r="D320" s="54">
        <v>8</v>
      </c>
      <c r="E320" s="53"/>
      <c r="F320" s="54">
        <v>1</v>
      </c>
      <c r="G320" s="53"/>
      <c r="H320" s="38">
        <f t="shared" si="2"/>
        <v>10</v>
      </c>
      <c r="I320" s="38">
        <f t="shared" si="3"/>
        <v>1</v>
      </c>
      <c r="J320" s="55"/>
    </row>
    <row r="321" spans="1:10" ht="12.75" customHeight="1" x14ac:dyDescent="0.2">
      <c r="A321" s="50">
        <f t="array" ref="A321">+INDEX(Partidas!$A:$J,MATCH('Resultados dashboard'!$B321,Partidas!$C:$C,0),2)</f>
        <v>45390</v>
      </c>
      <c r="B321" s="56">
        <f>+IF(COUNTIF($B$2:B320,B320)=VLOOKUP(B320,Partidas!$C:$J,8,0),B320+1,B320)</f>
        <v>70</v>
      </c>
      <c r="C321" s="41" t="str">
        <f t="array" ref="C321">+INDEX(Partidas!$A:$J,MATCH('Resultados dashboard'!$B321,Partidas!$C:$C,0),3+COUNTIF($B$2:B321,'Resultados dashboard'!$B321))</f>
        <v>Gallo</v>
      </c>
      <c r="D321" s="54">
        <v>6</v>
      </c>
      <c r="E321" s="54">
        <v>2</v>
      </c>
      <c r="F321" s="53"/>
      <c r="G321" s="53"/>
      <c r="H321" s="38">
        <f t="shared" si="2"/>
        <v>8</v>
      </c>
      <c r="I321" s="38">
        <f t="shared" si="3"/>
        <v>2</v>
      </c>
      <c r="J321" s="55"/>
    </row>
    <row r="322" spans="1:10" ht="12.75" customHeight="1" x14ac:dyDescent="0.2">
      <c r="A322" s="50">
        <f t="array" ref="A322">+INDEX(Partidas!$A:$J,MATCH('Resultados dashboard'!$B322,Partidas!$C:$C,0),2)</f>
        <v>45390</v>
      </c>
      <c r="B322" s="56">
        <f>+IF(COUNTIF($B$2:B321,B321)=VLOOKUP(B321,Partidas!$C:$J,8,0),B321+1,B321)</f>
        <v>70</v>
      </c>
      <c r="C322" s="41" t="str">
        <f t="array" ref="C322">+INDEX(Partidas!$A:$J,MATCH('Resultados dashboard'!$B322,Partidas!$C:$C,0),3+COUNTIF($B$2:B322,'Resultados dashboard'!$B322))</f>
        <v>Max</v>
      </c>
      <c r="D322" s="54">
        <v>8</v>
      </c>
      <c r="E322" s="53"/>
      <c r="F322" s="53"/>
      <c r="G322" s="54">
        <v>1</v>
      </c>
      <c r="H322" s="38">
        <f t="shared" si="2"/>
        <v>10</v>
      </c>
      <c r="I322" s="38">
        <f t="shared" si="3"/>
        <v>1</v>
      </c>
      <c r="J322" s="55"/>
    </row>
    <row r="323" spans="1:10" ht="12.75" customHeight="1" x14ac:dyDescent="0.2">
      <c r="A323" s="50">
        <f t="array" ref="A323">+INDEX(Partidas!$A:$J,MATCH('Resultados dashboard'!$B323,Partidas!$C:$C,0),2)</f>
        <v>45390</v>
      </c>
      <c r="B323" s="56">
        <f>+IF(COUNTIF($B$2:B322,B322)=VLOOKUP(B322,Partidas!$C:$J,8,0),B322+1,B322)</f>
        <v>70</v>
      </c>
      <c r="C323" s="41" t="str">
        <f t="array" ref="C323">+INDEX(Partidas!$A:$J,MATCH('Resultados dashboard'!$B323,Partidas!$C:$C,0),3+COUNTIF($B$2:B323,'Resultados dashboard'!$B323))</f>
        <v>Hugo</v>
      </c>
      <c r="D323" s="54">
        <v>4</v>
      </c>
      <c r="E323" s="53"/>
      <c r="F323" s="54">
        <v>1</v>
      </c>
      <c r="G323" s="53"/>
      <c r="H323" s="38">
        <f t="shared" si="2"/>
        <v>6</v>
      </c>
      <c r="I323" s="38">
        <f t="shared" si="3"/>
        <v>3</v>
      </c>
      <c r="J323" s="55"/>
    </row>
    <row r="324" spans="1:10" ht="12.75" customHeight="1" x14ac:dyDescent="0.2">
      <c r="A324" s="50">
        <f t="array" ref="A324">+INDEX(Partidas!$A:$J,MATCH('Resultados dashboard'!$B324,Partidas!$C:$C,0),2)</f>
        <v>45390</v>
      </c>
      <c r="B324" s="56">
        <f>+IF(COUNTIF($B$2:B323,B323)=VLOOKUP(B323,Partidas!$C:$J,8,0),B323+1,B323)</f>
        <v>70</v>
      </c>
      <c r="C324" s="41" t="str">
        <f t="array" ref="C324">+INDEX(Partidas!$A:$J,MATCH('Resultados dashboard'!$B324,Partidas!$C:$C,0),3+COUNTIF($B$2:B324,'Resultados dashboard'!$B324))</f>
        <v>Ivo</v>
      </c>
      <c r="D324" s="54">
        <v>4</v>
      </c>
      <c r="E324" s="54">
        <v>2</v>
      </c>
      <c r="F324" s="53"/>
      <c r="G324" s="53"/>
      <c r="H324" s="38">
        <f t="shared" si="2"/>
        <v>6</v>
      </c>
      <c r="I324" s="38">
        <f t="shared" si="3"/>
        <v>3</v>
      </c>
      <c r="J324" s="55"/>
    </row>
    <row r="325" spans="1:10" ht="12.75" customHeight="1" x14ac:dyDescent="0.2">
      <c r="A325" s="50">
        <f t="array" ref="A325">+INDEX(Partidas!$A:$J,MATCH('Resultados dashboard'!$B325,Partidas!$C:$C,0),2)</f>
        <v>45390</v>
      </c>
      <c r="B325" s="56">
        <f>+IF(COUNTIF($B$2:B324,B324)=VLOOKUP(B324,Partidas!$C:$J,8,0),B324+1,B324)</f>
        <v>71</v>
      </c>
      <c r="C325" s="41" t="str">
        <f t="array" ref="C325">+INDEX(Partidas!$A:$J,MATCH('Resultados dashboard'!$B325,Partidas!$C:$C,0),3+COUNTIF($B$2:B325,'Resultados dashboard'!$B325))</f>
        <v>Gallo</v>
      </c>
      <c r="D325" s="54">
        <v>7</v>
      </c>
      <c r="E325" s="54">
        <v>1</v>
      </c>
      <c r="F325" s="53"/>
      <c r="G325" s="54">
        <v>1</v>
      </c>
      <c r="H325" s="38">
        <f t="shared" si="2"/>
        <v>10</v>
      </c>
      <c r="I325" s="38">
        <f t="shared" si="3"/>
        <v>1</v>
      </c>
      <c r="J325" s="55"/>
    </row>
    <row r="326" spans="1:10" ht="12.75" customHeight="1" x14ac:dyDescent="0.2">
      <c r="A326" s="50">
        <f t="array" ref="A326">+INDEX(Partidas!$A:$J,MATCH('Resultados dashboard'!$B326,Partidas!$C:$C,0),2)</f>
        <v>45390</v>
      </c>
      <c r="B326" s="56">
        <f>+IF(COUNTIF($B$2:B325,B325)=VLOOKUP(B325,Partidas!$C:$J,8,0),B325+1,B325)</f>
        <v>71</v>
      </c>
      <c r="C326" s="41" t="str">
        <f t="array" ref="C326">+INDEX(Partidas!$A:$J,MATCH('Resultados dashboard'!$B326,Partidas!$C:$C,0),3+COUNTIF($B$2:B326,'Resultados dashboard'!$B326))</f>
        <v>Max</v>
      </c>
      <c r="D326" s="54">
        <v>6</v>
      </c>
      <c r="E326" s="53"/>
      <c r="F326" s="53"/>
      <c r="G326" s="53"/>
      <c r="H326" s="38">
        <f t="shared" si="2"/>
        <v>6</v>
      </c>
      <c r="I326" s="38">
        <f t="shared" si="3"/>
        <v>3</v>
      </c>
      <c r="J326" s="55"/>
    </row>
    <row r="327" spans="1:10" ht="12.75" customHeight="1" x14ac:dyDescent="0.2">
      <c r="A327" s="50">
        <f t="array" ref="A327">+INDEX(Partidas!$A:$J,MATCH('Resultados dashboard'!$B327,Partidas!$C:$C,0),2)</f>
        <v>45390</v>
      </c>
      <c r="B327" s="56">
        <f>+IF(COUNTIF($B$2:B326,B326)=VLOOKUP(B326,Partidas!$C:$J,8,0),B326+1,B326)</f>
        <v>71</v>
      </c>
      <c r="C327" s="41" t="str">
        <f t="array" ref="C327">+INDEX(Partidas!$A:$J,MATCH('Resultados dashboard'!$B327,Partidas!$C:$C,0),3+COUNTIF($B$2:B327,'Resultados dashboard'!$B327))</f>
        <v>Hugo</v>
      </c>
      <c r="D327" s="54">
        <v>5</v>
      </c>
      <c r="E327" s="53"/>
      <c r="F327" s="53"/>
      <c r="G327" s="53"/>
      <c r="H327" s="38">
        <f t="shared" si="2"/>
        <v>5</v>
      </c>
      <c r="I327" s="38">
        <f t="shared" si="3"/>
        <v>4</v>
      </c>
      <c r="J327" s="55"/>
    </row>
    <row r="328" spans="1:10" ht="12.75" customHeight="1" x14ac:dyDescent="0.2">
      <c r="A328" s="50">
        <f t="array" ref="A328">+INDEX(Partidas!$A:$J,MATCH('Resultados dashboard'!$B328,Partidas!$C:$C,0),2)</f>
        <v>45390</v>
      </c>
      <c r="B328" s="56">
        <f>+IF(COUNTIF($B$2:B327,B327)=VLOOKUP(B327,Partidas!$C:$J,8,0),B327+1,B327)</f>
        <v>71</v>
      </c>
      <c r="C328" s="41" t="str">
        <f t="array" ref="C328">+INDEX(Partidas!$A:$J,MATCH('Resultados dashboard'!$B328,Partidas!$C:$C,0),3+COUNTIF($B$2:B328,'Resultados dashboard'!$B328))</f>
        <v>Ivo</v>
      </c>
      <c r="D328" s="54">
        <v>5</v>
      </c>
      <c r="E328" s="54">
        <v>2</v>
      </c>
      <c r="F328" s="53"/>
      <c r="G328" s="53"/>
      <c r="H328" s="38">
        <f t="shared" si="2"/>
        <v>7</v>
      </c>
      <c r="I328" s="38">
        <f t="shared" si="3"/>
        <v>2</v>
      </c>
      <c r="J328" s="55"/>
    </row>
    <row r="329" spans="1:10" ht="12.75" customHeight="1" x14ac:dyDescent="0.2">
      <c r="A329" s="50">
        <f t="array" ref="A329">+INDEX(Partidas!$A:$J,MATCH('Resultados dashboard'!$B329,Partidas!$C:$C,0),2)</f>
        <v>45394</v>
      </c>
      <c r="B329" s="56">
        <f>+IF(COUNTIF($B$2:B328,B328)=VLOOKUP(B328,Partidas!$C:$J,8,0),B328+1,B328)</f>
        <v>72</v>
      </c>
      <c r="C329" s="41" t="str">
        <f t="array" ref="C329">+INDEX(Partidas!$A:$J,MATCH('Resultados dashboard'!$B329,Partidas!$C:$C,0),3+COUNTIF($B$2:B329,'Resultados dashboard'!$B329))</f>
        <v>Gallo</v>
      </c>
      <c r="D329" s="54">
        <v>7</v>
      </c>
      <c r="E329" s="53"/>
      <c r="F329" s="53"/>
      <c r="G329" s="53"/>
      <c r="H329" s="38">
        <f t="shared" si="2"/>
        <v>7</v>
      </c>
      <c r="I329" s="38">
        <f t="shared" si="3"/>
        <v>3</v>
      </c>
      <c r="J329" s="55"/>
    </row>
    <row r="330" spans="1:10" ht="12.75" customHeight="1" x14ac:dyDescent="0.2">
      <c r="A330" s="50">
        <f t="array" ref="A330">+INDEX(Partidas!$A:$J,MATCH('Resultados dashboard'!$B330,Partidas!$C:$C,0),2)</f>
        <v>45394</v>
      </c>
      <c r="B330" s="56">
        <f>+IF(COUNTIF($B$2:B329,B329)=VLOOKUP(B329,Partidas!$C:$J,8,0),B329+1,B329)</f>
        <v>72</v>
      </c>
      <c r="C330" s="41" t="str">
        <f t="array" ref="C330">+INDEX(Partidas!$A:$J,MATCH('Resultados dashboard'!$B330,Partidas!$C:$C,0),3+COUNTIF($B$2:B330,'Resultados dashboard'!$B330))</f>
        <v>Max</v>
      </c>
      <c r="D330" s="54">
        <v>7</v>
      </c>
      <c r="E330" s="53"/>
      <c r="F330" s="53"/>
      <c r="G330" s="53"/>
      <c r="H330" s="38">
        <f t="shared" si="2"/>
        <v>7</v>
      </c>
      <c r="I330" s="38">
        <f t="shared" si="3"/>
        <v>3</v>
      </c>
      <c r="J330" s="55"/>
    </row>
    <row r="331" spans="1:10" ht="12.75" customHeight="1" x14ac:dyDescent="0.2">
      <c r="A331" s="50">
        <f t="array" ref="A331">+INDEX(Partidas!$A:$J,MATCH('Resultados dashboard'!$B331,Partidas!$C:$C,0),2)</f>
        <v>45394</v>
      </c>
      <c r="B331" s="56">
        <f>+IF(COUNTIF($B$2:B330,B330)=VLOOKUP(B330,Partidas!$C:$J,8,0),B330+1,B330)</f>
        <v>72</v>
      </c>
      <c r="C331" s="41" t="str">
        <f t="array" ref="C331">+INDEX(Partidas!$A:$J,MATCH('Resultados dashboard'!$B331,Partidas!$C:$C,0),3+COUNTIF($B$2:B331,'Resultados dashboard'!$B331))</f>
        <v>Hugo</v>
      </c>
      <c r="D331" s="54">
        <v>7</v>
      </c>
      <c r="E331" s="54">
        <v>1</v>
      </c>
      <c r="F331" s="54">
        <v>1</v>
      </c>
      <c r="G331" s="53"/>
      <c r="H331" s="38">
        <f t="shared" si="2"/>
        <v>10</v>
      </c>
      <c r="I331" s="38">
        <f t="shared" si="3"/>
        <v>1</v>
      </c>
      <c r="J331" s="55"/>
    </row>
    <row r="332" spans="1:10" ht="12.75" customHeight="1" x14ac:dyDescent="0.2">
      <c r="A332" s="50">
        <f t="array" ref="A332">+INDEX(Partidas!$A:$J,MATCH('Resultados dashboard'!$B332,Partidas!$C:$C,0),2)</f>
        <v>45394</v>
      </c>
      <c r="B332" s="56">
        <f>+IF(COUNTIF($B$2:B331,B331)=VLOOKUP(B331,Partidas!$C:$J,8,0),B331+1,B331)</f>
        <v>72</v>
      </c>
      <c r="C332" s="41" t="str">
        <f t="array" ref="C332">+INDEX(Partidas!$A:$J,MATCH('Resultados dashboard'!$B332,Partidas!$C:$C,0),3+COUNTIF($B$2:B332,'Resultados dashboard'!$B332))</f>
        <v>Ivo</v>
      </c>
      <c r="D332" s="54">
        <v>5</v>
      </c>
      <c r="E332" s="54">
        <v>1</v>
      </c>
      <c r="F332" s="53"/>
      <c r="G332" s="54">
        <v>1</v>
      </c>
      <c r="H332" s="38">
        <f t="shared" si="2"/>
        <v>8</v>
      </c>
      <c r="I332" s="38">
        <f t="shared" si="3"/>
        <v>2</v>
      </c>
      <c r="J332" s="55"/>
    </row>
    <row r="333" spans="1:10" ht="12.75" customHeight="1" x14ac:dyDescent="0.2">
      <c r="A333" s="50">
        <f t="array" ref="A333">+INDEX(Partidas!$A:$J,MATCH('Resultados dashboard'!$B333,Partidas!$C:$C,0),2)</f>
        <v>45394</v>
      </c>
      <c r="B333" s="56">
        <f>+IF(COUNTIF($B$2:B332,B332)=VLOOKUP(B332,Partidas!$C:$J,8,0),B332+1,B332)</f>
        <v>72</v>
      </c>
      <c r="C333" s="41" t="str">
        <f t="array" ref="C333">+INDEX(Partidas!$A:$J,MATCH('Resultados dashboard'!$B333,Partidas!$C:$C,0),3+COUNTIF($B$2:B333,'Resultados dashboard'!$B333))</f>
        <v>Gaspa</v>
      </c>
      <c r="D333" s="54">
        <v>5</v>
      </c>
      <c r="E333" s="54">
        <v>1</v>
      </c>
      <c r="F333" s="53"/>
      <c r="G333" s="53"/>
      <c r="H333" s="38">
        <f t="shared" si="2"/>
        <v>6</v>
      </c>
      <c r="I333" s="38">
        <f t="shared" si="3"/>
        <v>5</v>
      </c>
      <c r="J333" s="55"/>
    </row>
    <row r="334" spans="1:10" ht="12.75" customHeight="1" x14ac:dyDescent="0.2">
      <c r="A334" s="50">
        <f t="array" ref="A334">+INDEX(Partidas!$A:$J,MATCH('Resultados dashboard'!$B334,Partidas!$C:$C,0),2)</f>
        <v>45394</v>
      </c>
      <c r="B334" s="56">
        <f>+IF(COUNTIF($B$2:B333,B333)=VLOOKUP(B333,Partidas!$C:$J,8,0),B333+1,B333)</f>
        <v>73</v>
      </c>
      <c r="C334" s="41" t="str">
        <f t="array" ref="C334">+INDEX(Partidas!$A:$J,MATCH('Resultados dashboard'!$B334,Partidas!$C:$C,0),3+COUNTIF($B$2:B334,'Resultados dashboard'!$B334))</f>
        <v>Gallo</v>
      </c>
      <c r="D334" s="54">
        <v>7</v>
      </c>
      <c r="E334" s="53"/>
      <c r="F334" s="53"/>
      <c r="G334" s="53"/>
      <c r="H334" s="38">
        <f t="shared" si="2"/>
        <v>7</v>
      </c>
      <c r="I334" s="38">
        <f t="shared" si="3"/>
        <v>5</v>
      </c>
      <c r="J334" s="55"/>
    </row>
    <row r="335" spans="1:10" ht="12.75" customHeight="1" x14ac:dyDescent="0.2">
      <c r="A335" s="50">
        <f t="array" ref="A335">+INDEX(Partidas!$A:$J,MATCH('Resultados dashboard'!$B335,Partidas!$C:$C,0),2)</f>
        <v>45394</v>
      </c>
      <c r="B335" s="56">
        <f>+IF(COUNTIF($B$2:B334,B334)=VLOOKUP(B334,Partidas!$C:$J,8,0),B334+1,B334)</f>
        <v>73</v>
      </c>
      <c r="C335" s="41" t="str">
        <f t="array" ref="C335">+INDEX(Partidas!$A:$J,MATCH('Resultados dashboard'!$B335,Partidas!$C:$C,0),3+COUNTIF($B$2:B335,'Resultados dashboard'!$B335))</f>
        <v>Max</v>
      </c>
      <c r="D335" s="54">
        <v>9</v>
      </c>
      <c r="E335" s="53"/>
      <c r="F335" s="53"/>
      <c r="G335" s="53"/>
      <c r="H335" s="38">
        <f t="shared" si="2"/>
        <v>9</v>
      </c>
      <c r="I335" s="38">
        <f t="shared" si="3"/>
        <v>2</v>
      </c>
      <c r="J335" s="55"/>
    </row>
    <row r="336" spans="1:10" ht="12.75" customHeight="1" x14ac:dyDescent="0.2">
      <c r="A336" s="50">
        <f t="array" ref="A336">+INDEX(Partidas!$A:$J,MATCH('Resultados dashboard'!$B336,Partidas!$C:$C,0),2)</f>
        <v>45394</v>
      </c>
      <c r="B336" s="56">
        <f>+IF(COUNTIF($B$2:B335,B335)=VLOOKUP(B335,Partidas!$C:$J,8,0),B335+1,B335)</f>
        <v>73</v>
      </c>
      <c r="C336" s="41" t="str">
        <f t="array" ref="C336">+INDEX(Partidas!$A:$J,MATCH('Resultados dashboard'!$B336,Partidas!$C:$C,0),3+COUNTIF($B$2:B336,'Resultados dashboard'!$B336))</f>
        <v>Hugo</v>
      </c>
      <c r="D336" s="54">
        <v>5</v>
      </c>
      <c r="E336" s="54">
        <v>1</v>
      </c>
      <c r="F336" s="54">
        <v>1</v>
      </c>
      <c r="G336" s="53"/>
      <c r="H336" s="38">
        <f t="shared" si="2"/>
        <v>8</v>
      </c>
      <c r="I336" s="38">
        <f t="shared" si="3"/>
        <v>3</v>
      </c>
      <c r="J336" s="55"/>
    </row>
    <row r="337" spans="1:10" ht="12.75" customHeight="1" x14ac:dyDescent="0.2">
      <c r="A337" s="50">
        <f t="array" ref="A337">+INDEX(Partidas!$A:$J,MATCH('Resultados dashboard'!$B337,Partidas!$C:$C,0),2)</f>
        <v>45394</v>
      </c>
      <c r="B337" s="56">
        <f>+IF(COUNTIF($B$2:B336,B336)=VLOOKUP(B336,Partidas!$C:$J,8,0),B336+1,B336)</f>
        <v>73</v>
      </c>
      <c r="C337" s="41" t="str">
        <f t="array" ref="C337">+INDEX(Partidas!$A:$J,MATCH('Resultados dashboard'!$B337,Partidas!$C:$C,0),3+COUNTIF($B$2:B337,'Resultados dashboard'!$B337))</f>
        <v>Ivo</v>
      </c>
      <c r="D337" s="54">
        <v>8</v>
      </c>
      <c r="E337" s="53"/>
      <c r="F337" s="53"/>
      <c r="G337" s="54">
        <v>1</v>
      </c>
      <c r="H337" s="38">
        <f t="shared" si="2"/>
        <v>10</v>
      </c>
      <c r="I337" s="38">
        <f t="shared" si="3"/>
        <v>1</v>
      </c>
      <c r="J337" s="55"/>
    </row>
    <row r="338" spans="1:10" ht="12.75" customHeight="1" x14ac:dyDescent="0.2">
      <c r="A338" s="50">
        <f t="array" ref="A338">+INDEX(Partidas!$A:$J,MATCH('Resultados dashboard'!$B338,Partidas!$C:$C,0),2)</f>
        <v>45394</v>
      </c>
      <c r="B338" s="56">
        <f>+IF(COUNTIF($B$2:B337,B337)=VLOOKUP(B337,Partidas!$C:$J,8,0),B337+1,B337)</f>
        <v>73</v>
      </c>
      <c r="C338" s="41" t="str">
        <f t="array" ref="C338">+INDEX(Partidas!$A:$J,MATCH('Resultados dashboard'!$B338,Partidas!$C:$C,0),3+COUNTIF($B$2:B338,'Resultados dashboard'!$B338))</f>
        <v>Gaspa</v>
      </c>
      <c r="D338" s="54">
        <v>6</v>
      </c>
      <c r="E338" s="54">
        <v>2</v>
      </c>
      <c r="F338" s="53"/>
      <c r="G338" s="53"/>
      <c r="H338" s="38">
        <f t="shared" si="2"/>
        <v>8</v>
      </c>
      <c r="I338" s="38">
        <f t="shared" si="3"/>
        <v>3</v>
      </c>
      <c r="J338" s="55"/>
    </row>
    <row r="339" spans="1:10" ht="12.75" customHeight="1" x14ac:dyDescent="0.2">
      <c r="A339" s="50">
        <f t="array" ref="A339">+INDEX(Partidas!$A:$J,MATCH('Resultados dashboard'!$B339,Partidas!$C:$C,0),2)</f>
        <v>45394</v>
      </c>
      <c r="B339" s="56">
        <f>+IF(COUNTIF($B$2:B338,B338)=VLOOKUP(B338,Partidas!$C:$J,8,0),B338+1,B338)</f>
        <v>74</v>
      </c>
      <c r="C339" s="41" t="str">
        <f t="array" ref="C339">+INDEX(Partidas!$A:$J,MATCH('Resultados dashboard'!$B339,Partidas!$C:$C,0),3+COUNTIF($B$2:B339,'Resultados dashboard'!$B339))</f>
        <v>Gallo</v>
      </c>
      <c r="D339" s="54">
        <v>5</v>
      </c>
      <c r="E339" s="54">
        <v>2</v>
      </c>
      <c r="F339" s="53"/>
      <c r="G339" s="54">
        <v>1</v>
      </c>
      <c r="H339" s="38">
        <f t="shared" si="2"/>
        <v>9</v>
      </c>
      <c r="I339" s="38">
        <f t="shared" si="3"/>
        <v>2</v>
      </c>
      <c r="J339" s="55"/>
    </row>
    <row r="340" spans="1:10" ht="12.75" customHeight="1" x14ac:dyDescent="0.2">
      <c r="A340" s="50">
        <f t="array" ref="A340">+INDEX(Partidas!$A:$J,MATCH('Resultados dashboard'!$B340,Partidas!$C:$C,0),2)</f>
        <v>45394</v>
      </c>
      <c r="B340" s="56">
        <f>+IF(COUNTIF($B$2:B339,B339)=VLOOKUP(B339,Partidas!$C:$J,8,0),B339+1,B339)</f>
        <v>74</v>
      </c>
      <c r="C340" s="41" t="str">
        <f t="array" ref="C340">+INDEX(Partidas!$A:$J,MATCH('Resultados dashboard'!$B340,Partidas!$C:$C,0),3+COUNTIF($B$2:B340,'Resultados dashboard'!$B340))</f>
        <v>Max</v>
      </c>
      <c r="D340" s="54">
        <v>9</v>
      </c>
      <c r="E340" s="54">
        <v>1</v>
      </c>
      <c r="F340" s="53"/>
      <c r="G340" s="53"/>
      <c r="H340" s="38">
        <f t="shared" si="2"/>
        <v>10</v>
      </c>
      <c r="I340" s="38">
        <f t="shared" si="3"/>
        <v>1</v>
      </c>
      <c r="J340" s="55"/>
    </row>
    <row r="341" spans="1:10" ht="12.75" customHeight="1" x14ac:dyDescent="0.2">
      <c r="A341" s="50">
        <f t="array" ref="A341">+INDEX(Partidas!$A:$J,MATCH('Resultados dashboard'!$B341,Partidas!$C:$C,0),2)</f>
        <v>45394</v>
      </c>
      <c r="B341" s="56">
        <f>+IF(COUNTIF($B$2:B340,B340)=VLOOKUP(B340,Partidas!$C:$J,8,0),B340+1,B340)</f>
        <v>74</v>
      </c>
      <c r="C341" s="41" t="str">
        <f t="array" ref="C341">+INDEX(Partidas!$A:$J,MATCH('Resultados dashboard'!$B341,Partidas!$C:$C,0),3+COUNTIF($B$2:B341,'Resultados dashboard'!$B341))</f>
        <v>Hugo</v>
      </c>
      <c r="D341" s="54">
        <v>8</v>
      </c>
      <c r="E341" s="53"/>
      <c r="F341" s="53"/>
      <c r="G341" s="53"/>
      <c r="H341" s="38">
        <f t="shared" si="2"/>
        <v>8</v>
      </c>
      <c r="I341" s="38">
        <f t="shared" si="3"/>
        <v>4</v>
      </c>
      <c r="J341" s="55"/>
    </row>
    <row r="342" spans="1:10" ht="12.75" customHeight="1" x14ac:dyDescent="0.2">
      <c r="A342" s="50">
        <f t="array" ref="A342">+INDEX(Partidas!$A:$J,MATCH('Resultados dashboard'!$B342,Partidas!$C:$C,0),2)</f>
        <v>45394</v>
      </c>
      <c r="B342" s="56">
        <f>+IF(COUNTIF($B$2:B341,B341)=VLOOKUP(B341,Partidas!$C:$J,8,0),B341+1,B341)</f>
        <v>74</v>
      </c>
      <c r="C342" s="41" t="str">
        <f t="array" ref="C342">+INDEX(Partidas!$A:$J,MATCH('Resultados dashboard'!$B342,Partidas!$C:$C,0),3+COUNTIF($B$2:B342,'Resultados dashboard'!$B342))</f>
        <v>Ivo</v>
      </c>
      <c r="D342" s="54">
        <v>5</v>
      </c>
      <c r="E342" s="53"/>
      <c r="F342" s="54">
        <v>1</v>
      </c>
      <c r="G342" s="53"/>
      <c r="H342" s="38">
        <f t="shared" si="2"/>
        <v>7</v>
      </c>
      <c r="I342" s="38">
        <f t="shared" si="3"/>
        <v>5</v>
      </c>
      <c r="J342" s="55"/>
    </row>
    <row r="343" spans="1:10" ht="12.75" customHeight="1" x14ac:dyDescent="0.2">
      <c r="A343" s="50">
        <f t="array" ref="A343">+INDEX(Partidas!$A:$J,MATCH('Resultados dashboard'!$B343,Partidas!$C:$C,0),2)</f>
        <v>45394</v>
      </c>
      <c r="B343" s="56">
        <f>+IF(COUNTIF($B$2:B342,B342)=VLOOKUP(B342,Partidas!$C:$J,8,0),B342+1,B342)</f>
        <v>74</v>
      </c>
      <c r="C343" s="41" t="str">
        <f t="array" ref="C343">+INDEX(Partidas!$A:$J,MATCH('Resultados dashboard'!$B343,Partidas!$C:$C,0),3+COUNTIF($B$2:B343,'Resultados dashboard'!$B343))</f>
        <v>Gaspa</v>
      </c>
      <c r="D343" s="54">
        <v>9</v>
      </c>
      <c r="E343" s="53"/>
      <c r="F343" s="53"/>
      <c r="G343" s="53"/>
      <c r="H343" s="38">
        <f t="shared" si="2"/>
        <v>9</v>
      </c>
      <c r="I343" s="38">
        <f t="shared" si="3"/>
        <v>2</v>
      </c>
      <c r="J343" s="55"/>
    </row>
    <row r="344" spans="1:10" ht="12.75" customHeight="1" x14ac:dyDescent="0.2">
      <c r="A344" s="50">
        <f t="array" ref="A344">+INDEX(Partidas!$A:$J,MATCH('Resultados dashboard'!$B344,Partidas!$C:$C,0),2)</f>
        <v>45397</v>
      </c>
      <c r="B344" s="56">
        <f>+IF(COUNTIF($B$2:B343,B343)=VLOOKUP(B343,Partidas!$C:$J,8,0),B343+1,B343)</f>
        <v>75</v>
      </c>
      <c r="C344" s="41" t="str">
        <f t="array" ref="C344">+INDEX(Partidas!$A:$J,MATCH('Resultados dashboard'!$B344,Partidas!$C:$C,0),3+COUNTIF($B$2:B344,'Resultados dashboard'!$B344))</f>
        <v>Gallo</v>
      </c>
      <c r="D344" s="54">
        <v>6</v>
      </c>
      <c r="E344" s="53"/>
      <c r="F344" s="54">
        <v>1</v>
      </c>
      <c r="G344" s="53"/>
      <c r="H344" s="38">
        <f t="shared" si="2"/>
        <v>8</v>
      </c>
      <c r="I344" s="38">
        <f t="shared" si="3"/>
        <v>3</v>
      </c>
      <c r="J344" s="55"/>
    </row>
    <row r="345" spans="1:10" ht="12.75" customHeight="1" x14ac:dyDescent="0.2">
      <c r="A345" s="50">
        <f t="array" ref="A345">+INDEX(Partidas!$A:$J,MATCH('Resultados dashboard'!$B345,Partidas!$C:$C,0),2)</f>
        <v>45397</v>
      </c>
      <c r="B345" s="56">
        <f>+IF(COUNTIF($B$2:B344,B344)=VLOOKUP(B344,Partidas!$C:$J,8,0),B344+1,B344)</f>
        <v>75</v>
      </c>
      <c r="C345" s="41" t="str">
        <f t="array" ref="C345">+INDEX(Partidas!$A:$J,MATCH('Resultados dashboard'!$B345,Partidas!$C:$C,0),3+COUNTIF($B$2:B345,'Resultados dashboard'!$B345))</f>
        <v>Max</v>
      </c>
      <c r="D345" s="54">
        <v>9</v>
      </c>
      <c r="E345" s="54">
        <v>1</v>
      </c>
      <c r="F345" s="53"/>
      <c r="G345" s="53"/>
      <c r="H345" s="38">
        <f t="shared" si="2"/>
        <v>10</v>
      </c>
      <c r="I345" s="38">
        <f t="shared" si="3"/>
        <v>1</v>
      </c>
      <c r="J345" s="55"/>
    </row>
    <row r="346" spans="1:10" ht="12.75" customHeight="1" x14ac:dyDescent="0.2">
      <c r="A346" s="50">
        <f t="array" ref="A346">+INDEX(Partidas!$A:$J,MATCH('Resultados dashboard'!$B346,Partidas!$C:$C,0),2)</f>
        <v>45397</v>
      </c>
      <c r="B346" s="56">
        <f>+IF(COUNTIF($B$2:B345,B345)=VLOOKUP(B345,Partidas!$C:$J,8,0),B345+1,B345)</f>
        <v>75</v>
      </c>
      <c r="C346" s="41" t="str">
        <f t="array" ref="C346">+INDEX(Partidas!$A:$J,MATCH('Resultados dashboard'!$B346,Partidas!$C:$C,0),3+COUNTIF($B$2:B346,'Resultados dashboard'!$B346))</f>
        <v>Ivo</v>
      </c>
      <c r="D346" s="54">
        <v>5</v>
      </c>
      <c r="E346" s="53"/>
      <c r="F346" s="53"/>
      <c r="G346" s="53"/>
      <c r="H346" s="38">
        <f t="shared" si="2"/>
        <v>5</v>
      </c>
      <c r="I346" s="38">
        <f t="shared" si="3"/>
        <v>4</v>
      </c>
      <c r="J346" s="55"/>
    </row>
    <row r="347" spans="1:10" ht="12.75" customHeight="1" x14ac:dyDescent="0.2">
      <c r="A347" s="50">
        <f t="array" ref="A347">+INDEX(Partidas!$A:$J,MATCH('Resultados dashboard'!$B347,Partidas!$C:$C,0),2)</f>
        <v>45397</v>
      </c>
      <c r="B347" s="56">
        <f>+IF(COUNTIF($B$2:B346,B346)=VLOOKUP(B346,Partidas!$C:$J,8,0),B346+1,B346)</f>
        <v>75</v>
      </c>
      <c r="C347" s="41" t="str">
        <f t="array" ref="C347">+INDEX(Partidas!$A:$J,MATCH('Resultados dashboard'!$B347,Partidas!$C:$C,0),3+COUNTIF($B$2:B347,'Resultados dashboard'!$B347))</f>
        <v>Rodri</v>
      </c>
      <c r="D347" s="54">
        <v>7</v>
      </c>
      <c r="E347" s="53"/>
      <c r="F347" s="53"/>
      <c r="G347" s="54">
        <v>1</v>
      </c>
      <c r="H347" s="38">
        <f t="shared" si="2"/>
        <v>9</v>
      </c>
      <c r="I347" s="38">
        <f t="shared" si="3"/>
        <v>2</v>
      </c>
      <c r="J347" s="55"/>
    </row>
    <row r="348" spans="1:10" ht="12.75" customHeight="1" x14ac:dyDescent="0.2">
      <c r="A348" s="50">
        <f t="array" ref="A348">+INDEX(Partidas!$A:$J,MATCH('Resultados dashboard'!$B348,Partidas!$C:$C,0),2)</f>
        <v>45397</v>
      </c>
      <c r="B348" s="56">
        <f>+IF(COUNTIF($B$2:B347,B347)=VLOOKUP(B347,Partidas!$C:$J,8,0),B347+1,B347)</f>
        <v>76</v>
      </c>
      <c r="C348" s="41" t="str">
        <f t="array" ref="C348">+INDEX(Partidas!$A:$J,MATCH('Resultados dashboard'!$B348,Partidas!$C:$C,0),3+COUNTIF($B$2:B348,'Resultados dashboard'!$B348))</f>
        <v>Gallo</v>
      </c>
      <c r="D348" s="54">
        <v>5</v>
      </c>
      <c r="E348" s="54">
        <v>2</v>
      </c>
      <c r="F348" s="54">
        <v>1</v>
      </c>
      <c r="G348" s="53"/>
      <c r="H348" s="38">
        <f t="shared" si="2"/>
        <v>9</v>
      </c>
      <c r="I348" s="38">
        <f t="shared" si="3"/>
        <v>2</v>
      </c>
      <c r="J348" s="55"/>
    </row>
    <row r="349" spans="1:10" ht="12.75" customHeight="1" x14ac:dyDescent="0.2">
      <c r="A349" s="50">
        <f t="array" ref="A349">+INDEX(Partidas!$A:$J,MATCH('Resultados dashboard'!$B349,Partidas!$C:$C,0),2)</f>
        <v>45397</v>
      </c>
      <c r="B349" s="56">
        <f>+IF(COUNTIF($B$2:B348,B348)=VLOOKUP(B348,Partidas!$C:$J,8,0),B348+1,B348)</f>
        <v>76</v>
      </c>
      <c r="C349" s="41" t="str">
        <f t="array" ref="C349">+INDEX(Partidas!$A:$J,MATCH('Resultados dashboard'!$B349,Partidas!$C:$C,0),3+COUNTIF($B$2:B349,'Resultados dashboard'!$B349))</f>
        <v>Max</v>
      </c>
      <c r="D349" s="54">
        <v>5</v>
      </c>
      <c r="E349" s="54">
        <v>1</v>
      </c>
      <c r="F349" s="53"/>
      <c r="G349" s="53"/>
      <c r="H349" s="38">
        <f t="shared" si="2"/>
        <v>6</v>
      </c>
      <c r="I349" s="38">
        <f t="shared" si="3"/>
        <v>4</v>
      </c>
      <c r="J349" s="55"/>
    </row>
    <row r="350" spans="1:10" ht="12.75" customHeight="1" x14ac:dyDescent="0.2">
      <c r="A350" s="50">
        <f t="array" ref="A350">+INDEX(Partidas!$A:$J,MATCH('Resultados dashboard'!$B350,Partidas!$C:$C,0),2)</f>
        <v>45397</v>
      </c>
      <c r="B350" s="56">
        <f>+IF(COUNTIF($B$2:B349,B349)=VLOOKUP(B349,Partidas!$C:$J,8,0),B349+1,B349)</f>
        <v>76</v>
      </c>
      <c r="C350" s="41" t="str">
        <f t="array" ref="C350">+INDEX(Partidas!$A:$J,MATCH('Resultados dashboard'!$B350,Partidas!$C:$C,0),3+COUNTIF($B$2:B350,'Resultados dashboard'!$B350))</f>
        <v>Ivo</v>
      </c>
      <c r="D350" s="54">
        <v>8</v>
      </c>
      <c r="E350" s="53"/>
      <c r="F350" s="53"/>
      <c r="G350" s="54">
        <v>1</v>
      </c>
      <c r="H350" s="38">
        <f t="shared" si="2"/>
        <v>10</v>
      </c>
      <c r="I350" s="38">
        <f t="shared" si="3"/>
        <v>1</v>
      </c>
      <c r="J350" s="55"/>
    </row>
    <row r="351" spans="1:10" ht="12.75" customHeight="1" x14ac:dyDescent="0.2">
      <c r="A351" s="50">
        <f t="array" ref="A351">+INDEX(Partidas!$A:$J,MATCH('Resultados dashboard'!$B351,Partidas!$C:$C,0),2)</f>
        <v>45397</v>
      </c>
      <c r="B351" s="56">
        <f>+IF(COUNTIF($B$2:B350,B350)=VLOOKUP(B350,Partidas!$C:$J,8,0),B350+1,B350)</f>
        <v>76</v>
      </c>
      <c r="C351" s="41" t="str">
        <f t="array" ref="C351">+INDEX(Partidas!$A:$J,MATCH('Resultados dashboard'!$B351,Partidas!$C:$C,0),3+COUNTIF($B$2:B351,'Resultados dashboard'!$B351))</f>
        <v>Rodri</v>
      </c>
      <c r="D351" s="54">
        <v>6</v>
      </c>
      <c r="E351" s="54">
        <v>1</v>
      </c>
      <c r="F351" s="53"/>
      <c r="G351" s="53"/>
      <c r="H351" s="38">
        <f t="shared" si="2"/>
        <v>7</v>
      </c>
      <c r="I351" s="38">
        <f t="shared" si="3"/>
        <v>3</v>
      </c>
      <c r="J351" s="55"/>
    </row>
    <row r="352" spans="1:10" ht="12.75" customHeight="1" x14ac:dyDescent="0.2">
      <c r="A352" s="50">
        <f t="array" ref="A352">+INDEX(Partidas!$A:$J,MATCH('Resultados dashboard'!$B352,Partidas!$C:$C,0),2)</f>
        <v>45397</v>
      </c>
      <c r="B352" s="56">
        <f>+IF(COUNTIF($B$2:B351,B351)=VLOOKUP(B351,Partidas!$C:$J,8,0),B351+1,B351)</f>
        <v>77</v>
      </c>
      <c r="C352" s="41" t="str">
        <f t="array" ref="C352">+INDEX(Partidas!$A:$J,MATCH('Resultados dashboard'!$B352,Partidas!$C:$C,0),3+COUNTIF($B$2:B352,'Resultados dashboard'!$B352))</f>
        <v>Gallo</v>
      </c>
      <c r="D352" s="54">
        <v>3</v>
      </c>
      <c r="E352" s="53"/>
      <c r="F352" s="53"/>
      <c r="G352" s="53"/>
      <c r="H352" s="38">
        <f t="shared" si="2"/>
        <v>3</v>
      </c>
      <c r="I352" s="38">
        <f t="shared" si="3"/>
        <v>4</v>
      </c>
      <c r="J352" s="55"/>
    </row>
    <row r="353" spans="1:10" ht="12.75" customHeight="1" x14ac:dyDescent="0.2">
      <c r="A353" s="50">
        <f t="array" ref="A353">+INDEX(Partidas!$A:$J,MATCH('Resultados dashboard'!$B353,Partidas!$C:$C,0),2)</f>
        <v>45397</v>
      </c>
      <c r="B353" s="56">
        <f>+IF(COUNTIF($B$2:B352,B352)=VLOOKUP(B352,Partidas!$C:$J,8,0),B352+1,B352)</f>
        <v>77</v>
      </c>
      <c r="C353" s="41" t="str">
        <f t="array" ref="C353">+INDEX(Partidas!$A:$J,MATCH('Resultados dashboard'!$B353,Partidas!$C:$C,0),3+COUNTIF($B$2:B353,'Resultados dashboard'!$B353))</f>
        <v>Max</v>
      </c>
      <c r="D353" s="54">
        <v>5</v>
      </c>
      <c r="E353" s="53"/>
      <c r="F353" s="53"/>
      <c r="G353" s="53"/>
      <c r="H353" s="38">
        <f t="shared" si="2"/>
        <v>5</v>
      </c>
      <c r="I353" s="38">
        <f t="shared" si="3"/>
        <v>3</v>
      </c>
      <c r="J353" s="55"/>
    </row>
    <row r="354" spans="1:10" ht="12.75" customHeight="1" x14ac:dyDescent="0.2">
      <c r="A354" s="50">
        <f t="array" ref="A354">+INDEX(Partidas!$A:$J,MATCH('Resultados dashboard'!$B354,Partidas!$C:$C,0),2)</f>
        <v>45397</v>
      </c>
      <c r="B354" s="56">
        <f>+IF(COUNTIF($B$2:B353,B353)=VLOOKUP(B353,Partidas!$C:$J,8,0),B353+1,B353)</f>
        <v>77</v>
      </c>
      <c r="C354" s="41" t="str">
        <f t="array" ref="C354">+INDEX(Partidas!$A:$J,MATCH('Resultados dashboard'!$B354,Partidas!$C:$C,0),3+COUNTIF($B$2:B354,'Resultados dashboard'!$B354))</f>
        <v>Ivo</v>
      </c>
      <c r="D354" s="54">
        <v>2</v>
      </c>
      <c r="E354" s="54">
        <v>1</v>
      </c>
      <c r="F354" s="54">
        <v>1</v>
      </c>
      <c r="G354" s="54">
        <v>1</v>
      </c>
      <c r="H354" s="38">
        <f t="shared" si="2"/>
        <v>7</v>
      </c>
      <c r="I354" s="38">
        <f t="shared" si="3"/>
        <v>2</v>
      </c>
      <c r="J354" s="55"/>
    </row>
    <row r="355" spans="1:10" ht="12.75" customHeight="1" x14ac:dyDescent="0.2">
      <c r="A355" s="50">
        <f t="array" ref="A355">+INDEX(Partidas!$A:$J,MATCH('Resultados dashboard'!$B355,Partidas!$C:$C,0),2)</f>
        <v>45397</v>
      </c>
      <c r="B355" s="56">
        <f>+IF(COUNTIF($B$2:B354,B354)=VLOOKUP(B354,Partidas!$C:$J,8,0),B354+1,B354)</f>
        <v>77</v>
      </c>
      <c r="C355" s="41" t="str">
        <f t="array" ref="C355">+INDEX(Partidas!$A:$J,MATCH('Resultados dashboard'!$B355,Partidas!$C:$C,0),3+COUNTIF($B$2:B355,'Resultados dashboard'!$B355))</f>
        <v>Rodri</v>
      </c>
      <c r="D355" s="54">
        <v>8</v>
      </c>
      <c r="E355" s="54">
        <v>2</v>
      </c>
      <c r="F355" s="53"/>
      <c r="G355" s="53"/>
      <c r="H355" s="38">
        <f t="shared" si="2"/>
        <v>10</v>
      </c>
      <c r="I355" s="38">
        <f t="shared" si="3"/>
        <v>1</v>
      </c>
      <c r="J355" s="55"/>
    </row>
    <row r="356" spans="1:10" ht="12.75" customHeight="1" x14ac:dyDescent="0.2">
      <c r="A356" s="50">
        <f t="array" ref="A356">+INDEX(Partidas!$A:$J,MATCH('Resultados dashboard'!$B356,Partidas!$C:$C,0),2)</f>
        <v>45399</v>
      </c>
      <c r="B356" s="56">
        <f>+IF(COUNTIF($B$2:B355,B355)=VLOOKUP(B355,Partidas!$C:$J,8,0),B355+1,B355)</f>
        <v>78</v>
      </c>
      <c r="C356" s="41" t="str">
        <f t="array" ref="C356">+INDEX(Partidas!$A:$J,MATCH('Resultados dashboard'!$B356,Partidas!$C:$C,0),3+COUNTIF($B$2:B356,'Resultados dashboard'!$B356))</f>
        <v>Gallo</v>
      </c>
      <c r="D356" s="54">
        <v>9</v>
      </c>
      <c r="E356" s="54">
        <v>1</v>
      </c>
      <c r="F356" s="53"/>
      <c r="G356" s="53"/>
      <c r="H356" s="38">
        <f t="shared" si="2"/>
        <v>10</v>
      </c>
      <c r="I356" s="38">
        <f t="shared" si="3"/>
        <v>1</v>
      </c>
      <c r="J356" s="55"/>
    </row>
    <row r="357" spans="1:10" ht="12.75" customHeight="1" x14ac:dyDescent="0.2">
      <c r="A357" s="50">
        <f t="array" ref="A357">+INDEX(Partidas!$A:$J,MATCH('Resultados dashboard'!$B357,Partidas!$C:$C,0),2)</f>
        <v>45399</v>
      </c>
      <c r="B357" s="56">
        <f>+IF(COUNTIF($B$2:B356,B356)=VLOOKUP(B356,Partidas!$C:$J,8,0),B356+1,B356)</f>
        <v>78</v>
      </c>
      <c r="C357" s="41" t="str">
        <f t="array" ref="C357">+INDEX(Partidas!$A:$J,MATCH('Resultados dashboard'!$B357,Partidas!$C:$C,0),3+COUNTIF($B$2:B357,'Resultados dashboard'!$B357))</f>
        <v>Max</v>
      </c>
      <c r="D357" s="54">
        <v>8</v>
      </c>
      <c r="E357" s="53"/>
      <c r="F357" s="53"/>
      <c r="G357" s="53"/>
      <c r="H357" s="38">
        <f t="shared" si="2"/>
        <v>8</v>
      </c>
      <c r="I357" s="38">
        <f t="shared" si="3"/>
        <v>2</v>
      </c>
      <c r="J357" s="55"/>
    </row>
    <row r="358" spans="1:10" ht="12.75" customHeight="1" x14ac:dyDescent="0.2">
      <c r="A358" s="50">
        <f t="array" ref="A358">+INDEX(Partidas!$A:$J,MATCH('Resultados dashboard'!$B358,Partidas!$C:$C,0),2)</f>
        <v>45399</v>
      </c>
      <c r="B358" s="56">
        <f>+IF(COUNTIF($B$2:B357,B357)=VLOOKUP(B357,Partidas!$C:$J,8,0),B357+1,B357)</f>
        <v>78</v>
      </c>
      <c r="C358" s="41" t="str">
        <f t="array" ref="C358">+INDEX(Partidas!$A:$J,MATCH('Resultados dashboard'!$B358,Partidas!$C:$C,0),3+COUNTIF($B$2:B358,'Resultados dashboard'!$B358))</f>
        <v>Ivo</v>
      </c>
      <c r="D358" s="54">
        <v>6</v>
      </c>
      <c r="E358" s="54">
        <v>1</v>
      </c>
      <c r="F358" s="53"/>
      <c r="G358" s="53"/>
      <c r="H358" s="38">
        <f t="shared" si="2"/>
        <v>7</v>
      </c>
      <c r="I358" s="38">
        <f t="shared" si="3"/>
        <v>4</v>
      </c>
      <c r="J358" s="55"/>
    </row>
    <row r="359" spans="1:10" ht="12.75" customHeight="1" x14ac:dyDescent="0.2">
      <c r="A359" s="50">
        <f t="array" ref="A359">+INDEX(Partidas!$A:$J,MATCH('Resultados dashboard'!$B359,Partidas!$C:$C,0),2)</f>
        <v>45399</v>
      </c>
      <c r="B359" s="56">
        <f>+IF(COUNTIF($B$2:B358,B358)=VLOOKUP(B358,Partidas!$C:$J,8,0),B358+1,B358)</f>
        <v>78</v>
      </c>
      <c r="C359" s="41" t="str">
        <f t="array" ref="C359">+INDEX(Partidas!$A:$J,MATCH('Resultados dashboard'!$B359,Partidas!$C:$C,0),3+COUNTIF($B$2:B359,'Resultados dashboard'!$B359))</f>
        <v>Hugo</v>
      </c>
      <c r="D359" s="54">
        <v>5</v>
      </c>
      <c r="E359" s="53"/>
      <c r="F359" s="53"/>
      <c r="G359" s="54">
        <v>1</v>
      </c>
      <c r="H359" s="38">
        <f t="shared" si="2"/>
        <v>7</v>
      </c>
      <c r="I359" s="38">
        <f t="shared" si="3"/>
        <v>4</v>
      </c>
      <c r="J359" s="55"/>
    </row>
    <row r="360" spans="1:10" ht="12.75" customHeight="1" x14ac:dyDescent="0.2">
      <c r="A360" s="50">
        <f t="array" ref="A360">+INDEX(Partidas!$A:$J,MATCH('Resultados dashboard'!$B360,Partidas!$C:$C,0),2)</f>
        <v>45399</v>
      </c>
      <c r="B360" s="56">
        <f>+IF(COUNTIF($B$2:B359,B359)=VLOOKUP(B359,Partidas!$C:$J,8,0),B359+1,B359)</f>
        <v>78</v>
      </c>
      <c r="C360" s="41" t="str">
        <f t="array" ref="C360">+INDEX(Partidas!$A:$J,MATCH('Resultados dashboard'!$B360,Partidas!$C:$C,0),3+COUNTIF($B$2:B360,'Resultados dashboard'!$B360))</f>
        <v>Gaspa</v>
      </c>
      <c r="D360" s="54">
        <v>6</v>
      </c>
      <c r="E360" s="53"/>
      <c r="F360" s="54">
        <v>1</v>
      </c>
      <c r="G360" s="53"/>
      <c r="H360" s="38">
        <f t="shared" si="2"/>
        <v>8</v>
      </c>
      <c r="I360" s="38">
        <f t="shared" si="3"/>
        <v>2</v>
      </c>
      <c r="J360" s="55"/>
    </row>
    <row r="361" spans="1:10" ht="12.75" customHeight="1" x14ac:dyDescent="0.2">
      <c r="A361" s="50">
        <f t="array" ref="A361">+INDEX(Partidas!$A:$J,MATCH('Resultados dashboard'!$B361,Partidas!$C:$C,0),2)</f>
        <v>45399</v>
      </c>
      <c r="B361" s="56">
        <f>+IF(COUNTIF($B$2:B360,B360)=VLOOKUP(B360,Partidas!$C:$J,8,0),B360+1,B360)</f>
        <v>78</v>
      </c>
      <c r="C361" s="41" t="str">
        <f t="array" ref="C361">+INDEX(Partidas!$A:$J,MATCH('Resultados dashboard'!$B361,Partidas!$C:$C,0),3+COUNTIF($B$2:B361,'Resultados dashboard'!$B361))</f>
        <v>Moch</v>
      </c>
      <c r="D361" s="54">
        <v>6</v>
      </c>
      <c r="E361" s="53"/>
      <c r="F361" s="53"/>
      <c r="G361" s="53"/>
      <c r="H361" s="38">
        <f t="shared" si="2"/>
        <v>6</v>
      </c>
      <c r="I361" s="38">
        <f t="shared" si="3"/>
        <v>6</v>
      </c>
      <c r="J361" s="55"/>
    </row>
    <row r="362" spans="1:10" ht="12.75" customHeight="1" x14ac:dyDescent="0.2">
      <c r="A362" s="50">
        <f t="array" ref="A362">+INDEX(Partidas!$A:$J,MATCH('Resultados dashboard'!$B362,Partidas!$C:$C,0),2)</f>
        <v>45399</v>
      </c>
      <c r="B362" s="56">
        <f>+IF(COUNTIF($B$2:B361,B361)=VLOOKUP(B361,Partidas!$C:$J,8,0),B361+1,B361)</f>
        <v>79</v>
      </c>
      <c r="C362" s="41" t="str">
        <f t="array" ref="C362">+INDEX(Partidas!$A:$J,MATCH('Resultados dashboard'!$B362,Partidas!$C:$C,0),3+COUNTIF($B$2:B362,'Resultados dashboard'!$B362))</f>
        <v>Gallo</v>
      </c>
      <c r="D362" s="54">
        <v>7</v>
      </c>
      <c r="E362" s="54">
        <v>2</v>
      </c>
      <c r="F362" s="54">
        <v>1</v>
      </c>
      <c r="G362" s="53"/>
      <c r="H362" s="38">
        <f t="shared" si="2"/>
        <v>11</v>
      </c>
      <c r="I362" s="38">
        <f t="shared" si="3"/>
        <v>1</v>
      </c>
      <c r="J362" s="55"/>
    </row>
    <row r="363" spans="1:10" ht="12.75" customHeight="1" x14ac:dyDescent="0.2">
      <c r="A363" s="50">
        <f t="array" ref="A363">+INDEX(Partidas!$A:$J,MATCH('Resultados dashboard'!$B363,Partidas!$C:$C,0),2)</f>
        <v>45399</v>
      </c>
      <c r="B363" s="56">
        <f>+IF(COUNTIF($B$2:B362,B362)=VLOOKUP(B362,Partidas!$C:$J,8,0),B362+1,B362)</f>
        <v>79</v>
      </c>
      <c r="C363" s="41" t="str">
        <f t="array" ref="C363">+INDEX(Partidas!$A:$J,MATCH('Resultados dashboard'!$B363,Partidas!$C:$C,0),3+COUNTIF($B$2:B363,'Resultados dashboard'!$B363))</f>
        <v>Max</v>
      </c>
      <c r="D363" s="54">
        <v>7</v>
      </c>
      <c r="E363" s="53"/>
      <c r="F363" s="53"/>
      <c r="G363" s="53"/>
      <c r="H363" s="38">
        <f t="shared" si="2"/>
        <v>7</v>
      </c>
      <c r="I363" s="38">
        <f t="shared" si="3"/>
        <v>2</v>
      </c>
      <c r="J363" s="55"/>
    </row>
    <row r="364" spans="1:10" ht="12.75" customHeight="1" x14ac:dyDescent="0.2">
      <c r="A364" s="50">
        <f t="array" ref="A364">+INDEX(Partidas!$A:$J,MATCH('Resultados dashboard'!$B364,Partidas!$C:$C,0),2)</f>
        <v>45399</v>
      </c>
      <c r="B364" s="56">
        <f>+IF(COUNTIF($B$2:B363,B363)=VLOOKUP(B363,Partidas!$C:$J,8,0),B363+1,B363)</f>
        <v>79</v>
      </c>
      <c r="C364" s="41" t="str">
        <f t="array" ref="C364">+INDEX(Partidas!$A:$J,MATCH('Resultados dashboard'!$B364,Partidas!$C:$C,0),3+COUNTIF($B$2:B364,'Resultados dashboard'!$B364))</f>
        <v>Ivo</v>
      </c>
      <c r="D364" s="54">
        <v>4</v>
      </c>
      <c r="E364" s="53"/>
      <c r="F364" s="53"/>
      <c r="G364" s="53"/>
      <c r="H364" s="38">
        <f t="shared" si="2"/>
        <v>4</v>
      </c>
      <c r="I364" s="38">
        <f t="shared" si="3"/>
        <v>6</v>
      </c>
      <c r="J364" s="55"/>
    </row>
    <row r="365" spans="1:10" ht="12.75" customHeight="1" x14ac:dyDescent="0.2">
      <c r="A365" s="50">
        <f t="array" ref="A365">+INDEX(Partidas!$A:$J,MATCH('Resultados dashboard'!$B365,Partidas!$C:$C,0),2)</f>
        <v>45399</v>
      </c>
      <c r="B365" s="56">
        <f>+IF(COUNTIF($B$2:B364,B364)=VLOOKUP(B364,Partidas!$C:$J,8,0),B364+1,B364)</f>
        <v>79</v>
      </c>
      <c r="C365" s="41" t="str">
        <f t="array" ref="C365">+INDEX(Partidas!$A:$J,MATCH('Resultados dashboard'!$B365,Partidas!$C:$C,0),3+COUNTIF($B$2:B365,'Resultados dashboard'!$B365))</f>
        <v>Hugo</v>
      </c>
      <c r="D365" s="54">
        <v>5</v>
      </c>
      <c r="E365" s="53"/>
      <c r="F365" s="53"/>
      <c r="G365" s="53"/>
      <c r="H365" s="38">
        <f t="shared" si="2"/>
        <v>5</v>
      </c>
      <c r="I365" s="38">
        <f t="shared" si="3"/>
        <v>5</v>
      </c>
      <c r="J365" s="55"/>
    </row>
    <row r="366" spans="1:10" ht="12.75" customHeight="1" x14ac:dyDescent="0.2">
      <c r="A366" s="50">
        <f t="array" ref="A366">+INDEX(Partidas!$A:$J,MATCH('Resultados dashboard'!$B366,Partidas!$C:$C,0),2)</f>
        <v>45399</v>
      </c>
      <c r="B366" s="56">
        <f>+IF(COUNTIF($B$2:B365,B365)=VLOOKUP(B365,Partidas!$C:$J,8,0),B365+1,B365)</f>
        <v>79</v>
      </c>
      <c r="C366" s="41" t="str">
        <f t="array" ref="C366">+INDEX(Partidas!$A:$J,MATCH('Resultados dashboard'!$B366,Partidas!$C:$C,0),3+COUNTIF($B$2:B366,'Resultados dashboard'!$B366))</f>
        <v>Gaspa</v>
      </c>
      <c r="D366" s="54">
        <v>6</v>
      </c>
      <c r="E366" s="54">
        <v>1</v>
      </c>
      <c r="F366" s="53"/>
      <c r="G366" s="53"/>
      <c r="H366" s="38">
        <f t="shared" si="2"/>
        <v>7</v>
      </c>
      <c r="I366" s="38">
        <f t="shared" si="3"/>
        <v>2</v>
      </c>
      <c r="J366" s="55"/>
    </row>
    <row r="367" spans="1:10" ht="12.75" customHeight="1" x14ac:dyDescent="0.2">
      <c r="A367" s="50">
        <f t="array" ref="A367">+INDEX(Partidas!$A:$J,MATCH('Resultados dashboard'!$B367,Partidas!$C:$C,0),2)</f>
        <v>45399</v>
      </c>
      <c r="B367" s="56">
        <f>+IF(COUNTIF($B$2:B366,B366)=VLOOKUP(B366,Partidas!$C:$J,8,0),B366+1,B366)</f>
        <v>79</v>
      </c>
      <c r="C367" s="41" t="str">
        <f t="array" ref="C367">+INDEX(Partidas!$A:$J,MATCH('Resultados dashboard'!$B367,Partidas!$C:$C,0),3+COUNTIF($B$2:B367,'Resultados dashboard'!$B367))</f>
        <v>Moch</v>
      </c>
      <c r="D367" s="54">
        <v>5</v>
      </c>
      <c r="E367" s="53"/>
      <c r="F367" s="53"/>
      <c r="G367" s="54">
        <v>1</v>
      </c>
      <c r="H367" s="38">
        <f t="shared" si="2"/>
        <v>7</v>
      </c>
      <c r="I367" s="38">
        <f t="shared" si="3"/>
        <v>2</v>
      </c>
      <c r="J367" s="55"/>
    </row>
    <row r="368" spans="1:10" ht="12.75" customHeight="1" x14ac:dyDescent="0.2">
      <c r="A368" s="50">
        <f t="array" ref="A368">+INDEX(Partidas!$A:$J,MATCH('Resultados dashboard'!$B368,Partidas!$C:$C,0),2)</f>
        <v>45408</v>
      </c>
      <c r="B368" s="56">
        <f>+IF(COUNTIF($B$2:B367,B367)=VLOOKUP(B367,Partidas!$C:$J,8,0),B367+1,B367)</f>
        <v>80</v>
      </c>
      <c r="C368" s="41" t="str">
        <f t="array" ref="C368">+INDEX(Partidas!$A:$J,MATCH('Resultados dashboard'!$B368,Partidas!$C:$C,0),3+COUNTIF($B$2:B368,'Resultados dashboard'!$B368))</f>
        <v>Gallo</v>
      </c>
      <c r="D368" s="54">
        <v>9</v>
      </c>
      <c r="E368" s="53"/>
      <c r="F368" s="53"/>
      <c r="G368" s="53"/>
      <c r="H368" s="38">
        <f t="shared" si="2"/>
        <v>9</v>
      </c>
      <c r="I368" s="38">
        <f t="shared" si="3"/>
        <v>2</v>
      </c>
      <c r="J368" s="55"/>
    </row>
    <row r="369" spans="1:10" ht="12.75" customHeight="1" x14ac:dyDescent="0.2">
      <c r="A369" s="50">
        <f t="array" ref="A369">+INDEX(Partidas!$A:$J,MATCH('Resultados dashboard'!$B369,Partidas!$C:$C,0),2)</f>
        <v>45408</v>
      </c>
      <c r="B369" s="56">
        <f>+IF(COUNTIF($B$2:B368,B368)=VLOOKUP(B368,Partidas!$C:$J,8,0),B368+1,B368)</f>
        <v>80</v>
      </c>
      <c r="C369" s="41" t="str">
        <f t="array" ref="C369">+INDEX(Partidas!$A:$J,MATCH('Resultados dashboard'!$B369,Partidas!$C:$C,0),3+COUNTIF($B$2:B369,'Resultados dashboard'!$B369))</f>
        <v>Max</v>
      </c>
      <c r="D369" s="54">
        <v>10</v>
      </c>
      <c r="E369" s="53"/>
      <c r="F369" s="53"/>
      <c r="G369" s="53"/>
      <c r="H369" s="38">
        <f t="shared" si="2"/>
        <v>10</v>
      </c>
      <c r="I369" s="38">
        <f t="shared" si="3"/>
        <v>1</v>
      </c>
      <c r="J369" s="55"/>
    </row>
    <row r="370" spans="1:10" ht="12.75" customHeight="1" x14ac:dyDescent="0.2">
      <c r="A370" s="50">
        <f t="array" ref="A370">+INDEX(Partidas!$A:$J,MATCH('Resultados dashboard'!$B370,Partidas!$C:$C,0),2)</f>
        <v>45408</v>
      </c>
      <c r="B370" s="56">
        <f>+IF(COUNTIF($B$2:B369,B369)=VLOOKUP(B369,Partidas!$C:$J,8,0),B369+1,B369)</f>
        <v>80</v>
      </c>
      <c r="C370" s="41" t="str">
        <f t="array" ref="C370">+INDEX(Partidas!$A:$J,MATCH('Resultados dashboard'!$B370,Partidas!$C:$C,0),3+COUNTIF($B$2:B370,'Resultados dashboard'!$B370))</f>
        <v>Ivo</v>
      </c>
      <c r="D370" s="54">
        <v>3</v>
      </c>
      <c r="E370" s="54">
        <v>2</v>
      </c>
      <c r="F370" s="53"/>
      <c r="G370" s="53"/>
      <c r="H370" s="38">
        <f t="shared" si="2"/>
        <v>5</v>
      </c>
      <c r="I370" s="38">
        <f t="shared" si="3"/>
        <v>5</v>
      </c>
      <c r="J370" s="55"/>
    </row>
    <row r="371" spans="1:10" ht="12.75" customHeight="1" x14ac:dyDescent="0.2">
      <c r="A371" s="50">
        <f t="array" ref="A371">+INDEX(Partidas!$A:$J,MATCH('Resultados dashboard'!$B371,Partidas!$C:$C,0),2)</f>
        <v>45408</v>
      </c>
      <c r="B371" s="56">
        <f>+IF(COUNTIF($B$2:B370,B370)=VLOOKUP(B370,Partidas!$C:$J,8,0),B370+1,B370)</f>
        <v>80</v>
      </c>
      <c r="C371" s="41" t="str">
        <f t="array" ref="C371">+INDEX(Partidas!$A:$J,MATCH('Resultados dashboard'!$B371,Partidas!$C:$C,0),3+COUNTIF($B$2:B371,'Resultados dashboard'!$B371))</f>
        <v>Gaspa</v>
      </c>
      <c r="D371" s="54">
        <v>6</v>
      </c>
      <c r="E371" s="54">
        <v>2</v>
      </c>
      <c r="F371" s="53"/>
      <c r="G371" s="53"/>
      <c r="H371" s="38">
        <f t="shared" si="2"/>
        <v>8</v>
      </c>
      <c r="I371" s="38">
        <f t="shared" si="3"/>
        <v>3</v>
      </c>
      <c r="J371" s="55"/>
    </row>
    <row r="372" spans="1:10" ht="12.75" customHeight="1" x14ac:dyDescent="0.2">
      <c r="A372" s="50">
        <f t="array" ref="A372">+INDEX(Partidas!$A:$J,MATCH('Resultados dashboard'!$B372,Partidas!$C:$C,0),2)</f>
        <v>45408</v>
      </c>
      <c r="B372" s="56">
        <f>+IF(COUNTIF($B$2:B371,B371)=VLOOKUP(B371,Partidas!$C:$J,8,0),B371+1,B371)</f>
        <v>80</v>
      </c>
      <c r="C372" s="41" t="str">
        <f t="array" ref="C372">+INDEX(Partidas!$A:$J,MATCH('Resultados dashboard'!$B372,Partidas!$C:$C,0),3+COUNTIF($B$2:B372,'Resultados dashboard'!$B372))</f>
        <v>Rodri</v>
      </c>
      <c r="D372" s="54">
        <v>5</v>
      </c>
      <c r="E372" s="53"/>
      <c r="F372" s="53"/>
      <c r="G372" s="54">
        <v>1</v>
      </c>
      <c r="H372" s="38">
        <f t="shared" si="2"/>
        <v>7</v>
      </c>
      <c r="I372" s="38">
        <f t="shared" si="3"/>
        <v>4</v>
      </c>
      <c r="J372" s="55"/>
    </row>
    <row r="373" spans="1:10" ht="12.75" customHeight="1" x14ac:dyDescent="0.2">
      <c r="A373" s="50">
        <f t="array" ref="A373">+INDEX(Partidas!$A:$J,MATCH('Resultados dashboard'!$B373,Partidas!$C:$C,0),2)</f>
        <v>45408</v>
      </c>
      <c r="B373" s="56">
        <f>+IF(COUNTIF($B$2:B372,B372)=VLOOKUP(B372,Partidas!$C:$J,8,0),B372+1,B372)</f>
        <v>81</v>
      </c>
      <c r="C373" s="41" t="str">
        <f t="array" ref="C373">+INDEX(Partidas!$A:$J,MATCH('Resultados dashboard'!$B373,Partidas!$C:$C,0),3+COUNTIF($B$2:B373,'Resultados dashboard'!$B373))</f>
        <v>Gallo</v>
      </c>
      <c r="D373" s="54">
        <v>4</v>
      </c>
      <c r="E373" s="53"/>
      <c r="F373" s="53"/>
      <c r="G373" s="53"/>
      <c r="H373" s="38">
        <f t="shared" si="2"/>
        <v>4</v>
      </c>
      <c r="I373" s="38">
        <f t="shared" si="3"/>
        <v>4</v>
      </c>
      <c r="J373" s="55"/>
    </row>
    <row r="374" spans="1:10" ht="12.75" customHeight="1" x14ac:dyDescent="0.2">
      <c r="A374" s="50">
        <f t="array" ref="A374">+INDEX(Partidas!$A:$J,MATCH('Resultados dashboard'!$B374,Partidas!$C:$C,0),2)</f>
        <v>45408</v>
      </c>
      <c r="B374" s="56">
        <f>+IF(COUNTIF($B$2:B373,B373)=VLOOKUP(B373,Partidas!$C:$J,8,0),B373+1,B373)</f>
        <v>81</v>
      </c>
      <c r="C374" s="41" t="str">
        <f t="array" ref="C374">+INDEX(Partidas!$A:$J,MATCH('Resultados dashboard'!$B374,Partidas!$C:$C,0),3+COUNTIF($B$2:B374,'Resultados dashboard'!$B374))</f>
        <v>Max</v>
      </c>
      <c r="D374" s="54">
        <v>5</v>
      </c>
      <c r="E374" s="53"/>
      <c r="F374" s="53"/>
      <c r="G374" s="53"/>
      <c r="H374" s="38">
        <f t="shared" si="2"/>
        <v>5</v>
      </c>
      <c r="I374" s="38">
        <f t="shared" si="3"/>
        <v>3</v>
      </c>
      <c r="J374" s="55"/>
    </row>
    <row r="375" spans="1:10" ht="12.75" customHeight="1" x14ac:dyDescent="0.2">
      <c r="A375" s="50">
        <f t="array" ref="A375">+INDEX(Partidas!$A:$J,MATCH('Resultados dashboard'!$B375,Partidas!$C:$C,0),2)</f>
        <v>45408</v>
      </c>
      <c r="B375" s="56">
        <f>+IF(COUNTIF($B$2:B374,B374)=VLOOKUP(B374,Partidas!$C:$J,8,0),B374+1,B374)</f>
        <v>81</v>
      </c>
      <c r="C375" s="41" t="str">
        <f t="array" ref="C375">+INDEX(Partidas!$A:$J,MATCH('Resultados dashboard'!$B375,Partidas!$C:$C,0),3+COUNTIF($B$2:B375,'Resultados dashboard'!$B375))</f>
        <v>Ivo</v>
      </c>
      <c r="D375" s="54">
        <v>4</v>
      </c>
      <c r="E375" s="53"/>
      <c r="F375" s="53"/>
      <c r="G375" s="53"/>
      <c r="H375" s="38">
        <f t="shared" si="2"/>
        <v>4</v>
      </c>
      <c r="I375" s="38">
        <f t="shared" si="3"/>
        <v>4</v>
      </c>
      <c r="J375" s="55"/>
    </row>
    <row r="376" spans="1:10" ht="12.75" customHeight="1" x14ac:dyDescent="0.2">
      <c r="A376" s="50">
        <f t="array" ref="A376">+INDEX(Partidas!$A:$J,MATCH('Resultados dashboard'!$B376,Partidas!$C:$C,0),2)</f>
        <v>45408</v>
      </c>
      <c r="B376" s="56">
        <f>+IF(COUNTIF($B$2:B375,B375)=VLOOKUP(B375,Partidas!$C:$J,8,0),B375+1,B375)</f>
        <v>81</v>
      </c>
      <c r="C376" s="41" t="str">
        <f t="array" ref="C376">+INDEX(Partidas!$A:$J,MATCH('Resultados dashboard'!$B376,Partidas!$C:$C,0),3+COUNTIF($B$2:B376,'Resultados dashboard'!$B376))</f>
        <v>Gaspa</v>
      </c>
      <c r="D376" s="54">
        <v>6</v>
      </c>
      <c r="E376" s="53"/>
      <c r="F376" s="53"/>
      <c r="G376" s="53"/>
      <c r="H376" s="38">
        <f t="shared" si="2"/>
        <v>6</v>
      </c>
      <c r="I376" s="38">
        <f t="shared" si="3"/>
        <v>2</v>
      </c>
      <c r="J376" s="55"/>
    </row>
    <row r="377" spans="1:10" ht="12.75" customHeight="1" x14ac:dyDescent="0.2">
      <c r="A377" s="50">
        <f t="array" ref="A377">+INDEX(Partidas!$A:$J,MATCH('Resultados dashboard'!$B377,Partidas!$C:$C,0),2)</f>
        <v>45408</v>
      </c>
      <c r="B377" s="56">
        <f>+IF(COUNTIF($B$2:B376,B376)=VLOOKUP(B376,Partidas!$C:$J,8,0),B376+1,B376)</f>
        <v>81</v>
      </c>
      <c r="C377" s="41" t="str">
        <f t="array" ref="C377">+INDEX(Partidas!$A:$J,MATCH('Resultados dashboard'!$B377,Partidas!$C:$C,0),3+COUNTIF($B$2:B377,'Resultados dashboard'!$B377))</f>
        <v>Rodri</v>
      </c>
      <c r="D377" s="54">
        <v>5</v>
      </c>
      <c r="E377" s="54">
        <v>1</v>
      </c>
      <c r="F377" s="54">
        <v>1</v>
      </c>
      <c r="G377" s="54">
        <v>1</v>
      </c>
      <c r="H377" s="38">
        <f t="shared" si="2"/>
        <v>10</v>
      </c>
      <c r="I377" s="38">
        <f t="shared" si="3"/>
        <v>1</v>
      </c>
      <c r="J377" s="55"/>
    </row>
    <row r="378" spans="1:10" ht="12.75" customHeight="1" x14ac:dyDescent="0.2">
      <c r="A378" s="50">
        <f t="array" ref="A378">+INDEX(Partidas!$A:$J,MATCH('Resultados dashboard'!$B378,Partidas!$C:$C,0),2)</f>
        <v>45408</v>
      </c>
      <c r="B378" s="56">
        <f>+IF(COUNTIF($B$2:B377,B377)=VLOOKUP(B377,Partidas!$C:$J,8,0),B377+1,B377)</f>
        <v>82</v>
      </c>
      <c r="C378" s="41" t="str">
        <f t="array" ref="C378">+INDEX(Partidas!$A:$J,MATCH('Resultados dashboard'!$B378,Partidas!$C:$C,0),3+COUNTIF($B$2:B378,'Resultados dashboard'!$B378))</f>
        <v>Gallo</v>
      </c>
      <c r="D378" s="54">
        <v>7</v>
      </c>
      <c r="E378" s="53"/>
      <c r="F378" s="53"/>
      <c r="G378" s="53"/>
      <c r="H378" s="38">
        <f t="shared" si="2"/>
        <v>7</v>
      </c>
      <c r="I378" s="38">
        <f t="shared" si="3"/>
        <v>3</v>
      </c>
      <c r="J378" s="55"/>
    </row>
    <row r="379" spans="1:10" ht="12.75" customHeight="1" x14ac:dyDescent="0.2">
      <c r="A379" s="50">
        <f t="array" ref="A379">+INDEX(Partidas!$A:$J,MATCH('Resultados dashboard'!$B379,Partidas!$C:$C,0),2)</f>
        <v>45408</v>
      </c>
      <c r="B379" s="56">
        <f>+IF(COUNTIF($B$2:B378,B378)=VLOOKUP(B378,Partidas!$C:$J,8,0),B378+1,B378)</f>
        <v>82</v>
      </c>
      <c r="C379" s="41" t="str">
        <f t="array" ref="C379">+INDEX(Partidas!$A:$J,MATCH('Resultados dashboard'!$B379,Partidas!$C:$C,0),3+COUNTIF($B$2:B379,'Resultados dashboard'!$B379))</f>
        <v>Max</v>
      </c>
      <c r="D379" s="54">
        <v>6</v>
      </c>
      <c r="E379" s="53"/>
      <c r="F379" s="53"/>
      <c r="G379" s="53"/>
      <c r="H379" s="38">
        <f t="shared" si="2"/>
        <v>6</v>
      </c>
      <c r="I379" s="38">
        <f t="shared" si="3"/>
        <v>4</v>
      </c>
      <c r="J379" s="55"/>
    </row>
    <row r="380" spans="1:10" ht="12.75" customHeight="1" x14ac:dyDescent="0.2">
      <c r="A380" s="50">
        <f t="array" ref="A380">+INDEX(Partidas!$A:$J,MATCH('Resultados dashboard'!$B380,Partidas!$C:$C,0),2)</f>
        <v>45408</v>
      </c>
      <c r="B380" s="56">
        <f>+IF(COUNTIF($B$2:B379,B379)=VLOOKUP(B379,Partidas!$C:$J,8,0),B379+1,B379)</f>
        <v>82</v>
      </c>
      <c r="C380" s="41" t="str">
        <f t="array" ref="C380">+INDEX(Partidas!$A:$J,MATCH('Resultados dashboard'!$B380,Partidas!$C:$C,0),3+COUNTIF($B$2:B380,'Resultados dashboard'!$B380))</f>
        <v>Ivo</v>
      </c>
      <c r="D380" s="54">
        <v>5</v>
      </c>
      <c r="E380" s="54">
        <v>1</v>
      </c>
      <c r="F380" s="53"/>
      <c r="G380" s="53"/>
      <c r="H380" s="38">
        <f t="shared" si="2"/>
        <v>6</v>
      </c>
      <c r="I380" s="38">
        <f t="shared" si="3"/>
        <v>4</v>
      </c>
      <c r="J380" s="55"/>
    </row>
    <row r="381" spans="1:10" ht="12.75" customHeight="1" x14ac:dyDescent="0.2">
      <c r="A381" s="50">
        <f t="array" ref="A381">+INDEX(Partidas!$A:$J,MATCH('Resultados dashboard'!$B381,Partidas!$C:$C,0),2)</f>
        <v>45408</v>
      </c>
      <c r="B381" s="56">
        <f>+IF(COUNTIF($B$2:B380,B380)=VLOOKUP(B380,Partidas!$C:$J,8,0),B380+1,B380)</f>
        <v>82</v>
      </c>
      <c r="C381" s="41" t="str">
        <f t="array" ref="C381">+INDEX(Partidas!$A:$J,MATCH('Resultados dashboard'!$B381,Partidas!$C:$C,0),3+COUNTIF($B$2:B381,'Resultados dashboard'!$B381))</f>
        <v>Gaspa</v>
      </c>
      <c r="D381" s="54">
        <v>5</v>
      </c>
      <c r="E381" s="54">
        <v>1</v>
      </c>
      <c r="F381" s="53"/>
      <c r="G381" s="54">
        <v>1</v>
      </c>
      <c r="H381" s="38">
        <f t="shared" si="2"/>
        <v>8</v>
      </c>
      <c r="I381" s="38">
        <f t="shared" si="3"/>
        <v>2</v>
      </c>
      <c r="J381" s="55"/>
    </row>
    <row r="382" spans="1:10" ht="12.75" customHeight="1" x14ac:dyDescent="0.2">
      <c r="A382" s="50">
        <f t="array" ref="A382">+INDEX(Partidas!$A:$J,MATCH('Resultados dashboard'!$B382,Partidas!$C:$C,0),2)</f>
        <v>45408</v>
      </c>
      <c r="B382" s="56">
        <f>+IF(COUNTIF($B$2:B381,B381)=VLOOKUP(B381,Partidas!$C:$J,8,0),B381+1,B381)</f>
        <v>82</v>
      </c>
      <c r="C382" s="41" t="str">
        <f t="array" ref="C382">+INDEX(Partidas!$A:$J,MATCH('Resultados dashboard'!$B382,Partidas!$C:$C,0),3+COUNTIF($B$2:B382,'Resultados dashboard'!$B382))</f>
        <v>Rodri</v>
      </c>
      <c r="D382" s="54">
        <v>6</v>
      </c>
      <c r="E382" s="54">
        <v>2</v>
      </c>
      <c r="F382" s="54">
        <v>1</v>
      </c>
      <c r="G382" s="53"/>
      <c r="H382" s="38">
        <f t="shared" si="2"/>
        <v>10</v>
      </c>
      <c r="I382" s="38">
        <f t="shared" si="3"/>
        <v>1</v>
      </c>
      <c r="J382" s="55"/>
    </row>
    <row r="383" spans="1:10" ht="12.75" customHeight="1" x14ac:dyDescent="0.2">
      <c r="A383" s="50">
        <f t="array" ref="A383">+INDEX(Partidas!$A:$J,MATCH('Resultados dashboard'!$B383,Partidas!$C:$C,0),2)</f>
        <v>45408</v>
      </c>
      <c r="B383" s="56">
        <f>+IF(COUNTIF($B$2:B382,B382)=VLOOKUP(B382,Partidas!$C:$J,8,0),B382+1,B382)</f>
        <v>83</v>
      </c>
      <c r="C383" s="41" t="str">
        <f t="array" ref="C383">+INDEX(Partidas!$A:$J,MATCH('Resultados dashboard'!$B383,Partidas!$C:$C,0),3+COUNTIF($B$2:B383,'Resultados dashboard'!$B383))</f>
        <v>Gallo</v>
      </c>
      <c r="D383" s="54">
        <v>7</v>
      </c>
      <c r="E383" s="54">
        <v>1</v>
      </c>
      <c r="F383" s="53"/>
      <c r="G383" s="54">
        <v>1</v>
      </c>
      <c r="H383" s="38">
        <f t="shared" si="2"/>
        <v>10</v>
      </c>
      <c r="I383" s="38">
        <f t="shared" si="3"/>
        <v>1</v>
      </c>
      <c r="J383" s="55"/>
    </row>
    <row r="384" spans="1:10" ht="12.75" customHeight="1" x14ac:dyDescent="0.2">
      <c r="A384" s="50">
        <f t="array" ref="A384">+INDEX(Partidas!$A:$J,MATCH('Resultados dashboard'!$B384,Partidas!$C:$C,0),2)</f>
        <v>45408</v>
      </c>
      <c r="B384" s="56">
        <f>+IF(COUNTIF($B$2:B383,B383)=VLOOKUP(B383,Partidas!$C:$J,8,0),B383+1,B383)</f>
        <v>83</v>
      </c>
      <c r="C384" s="41" t="str">
        <f t="array" ref="C384">+INDEX(Partidas!$A:$J,MATCH('Resultados dashboard'!$B384,Partidas!$C:$C,0),3+COUNTIF($B$2:B384,'Resultados dashboard'!$B384))</f>
        <v>Max</v>
      </c>
      <c r="D384" s="54">
        <v>7</v>
      </c>
      <c r="E384" s="53"/>
      <c r="F384" s="53"/>
      <c r="G384" s="53"/>
      <c r="H384" s="38">
        <f t="shared" si="2"/>
        <v>7</v>
      </c>
      <c r="I384" s="38">
        <f t="shared" si="3"/>
        <v>2</v>
      </c>
      <c r="J384" s="55"/>
    </row>
    <row r="385" spans="1:10" ht="12.75" customHeight="1" x14ac:dyDescent="0.2">
      <c r="A385" s="50">
        <f t="array" ref="A385">+INDEX(Partidas!$A:$J,MATCH('Resultados dashboard'!$B385,Partidas!$C:$C,0),2)</f>
        <v>45408</v>
      </c>
      <c r="B385" s="56">
        <f>+IF(COUNTIF($B$2:B384,B384)=VLOOKUP(B384,Partidas!$C:$J,8,0),B384+1,B384)</f>
        <v>83</v>
      </c>
      <c r="C385" s="41" t="str">
        <f t="array" ref="C385">+INDEX(Partidas!$A:$J,MATCH('Resultados dashboard'!$B385,Partidas!$C:$C,0),3+COUNTIF($B$2:B385,'Resultados dashboard'!$B385))</f>
        <v>Ivo</v>
      </c>
      <c r="D385" s="54">
        <v>5</v>
      </c>
      <c r="E385" s="53"/>
      <c r="F385" s="54">
        <v>1</v>
      </c>
      <c r="G385" s="53"/>
      <c r="H385" s="38">
        <f t="shared" si="2"/>
        <v>7</v>
      </c>
      <c r="I385" s="38">
        <f t="shared" si="3"/>
        <v>2</v>
      </c>
      <c r="J385" s="55"/>
    </row>
    <row r="386" spans="1:10" ht="12.75" customHeight="1" x14ac:dyDescent="0.2">
      <c r="A386" s="50">
        <f t="array" ref="A386">+INDEX(Partidas!$A:$J,MATCH('Resultados dashboard'!$B386,Partidas!$C:$C,0),2)</f>
        <v>45408</v>
      </c>
      <c r="B386" s="56">
        <f>+IF(COUNTIF($B$2:B385,B385)=VLOOKUP(B385,Partidas!$C:$J,8,0),B385+1,B385)</f>
        <v>83</v>
      </c>
      <c r="C386" s="41" t="str">
        <f t="array" ref="C386">+INDEX(Partidas!$A:$J,MATCH('Resultados dashboard'!$B386,Partidas!$C:$C,0),3+COUNTIF($B$2:B386,'Resultados dashboard'!$B386))</f>
        <v>Gaspa</v>
      </c>
      <c r="D386" s="54">
        <v>6</v>
      </c>
      <c r="E386" s="54">
        <v>1</v>
      </c>
      <c r="F386" s="53"/>
      <c r="G386" s="53"/>
      <c r="H386" s="38">
        <f t="shared" si="2"/>
        <v>7</v>
      </c>
      <c r="I386" s="38">
        <f t="shared" si="3"/>
        <v>2</v>
      </c>
      <c r="J386" s="55"/>
    </row>
    <row r="387" spans="1:10" ht="12.75" customHeight="1" x14ac:dyDescent="0.2">
      <c r="A387" s="50">
        <f t="array" ref="A387">+INDEX(Partidas!$A:$J,MATCH('Resultados dashboard'!$B387,Partidas!$C:$C,0),2)</f>
        <v>45408</v>
      </c>
      <c r="B387" s="56">
        <f>+IF(COUNTIF($B$2:B386,B386)=VLOOKUP(B386,Partidas!$C:$J,8,0),B386+1,B386)</f>
        <v>84</v>
      </c>
      <c r="C387" s="41" t="str">
        <f t="array" ref="C387">+INDEX(Partidas!$A:$J,MATCH('Resultados dashboard'!$B387,Partidas!$C:$C,0),3+COUNTIF($B$2:B387,'Resultados dashboard'!$B387))</f>
        <v>Gallo</v>
      </c>
      <c r="D387" s="54">
        <v>5</v>
      </c>
      <c r="E387" s="54">
        <v>1</v>
      </c>
      <c r="F387" s="54">
        <v>1</v>
      </c>
      <c r="G387" s="53"/>
      <c r="H387" s="38">
        <f t="shared" si="2"/>
        <v>8</v>
      </c>
      <c r="I387" s="38">
        <f t="shared" si="3"/>
        <v>3</v>
      </c>
      <c r="J387" s="55"/>
    </row>
    <row r="388" spans="1:10" ht="12.75" customHeight="1" x14ac:dyDescent="0.2">
      <c r="A388" s="50">
        <f t="array" ref="A388">+INDEX(Partidas!$A:$J,MATCH('Resultados dashboard'!$B388,Partidas!$C:$C,0),2)</f>
        <v>45408</v>
      </c>
      <c r="B388" s="56">
        <f>+IF(COUNTIF($B$2:B387,B387)=VLOOKUP(B387,Partidas!$C:$J,8,0),B387+1,B387)</f>
        <v>84</v>
      </c>
      <c r="C388" s="41" t="str">
        <f t="array" ref="C388">+INDEX(Partidas!$A:$J,MATCH('Resultados dashboard'!$B388,Partidas!$C:$C,0),3+COUNTIF($B$2:B388,'Resultados dashboard'!$B388))</f>
        <v>Max</v>
      </c>
      <c r="D388" s="54">
        <v>6</v>
      </c>
      <c r="E388" s="53"/>
      <c r="F388" s="53"/>
      <c r="G388" s="54">
        <v>1</v>
      </c>
      <c r="H388" s="38">
        <f t="shared" si="2"/>
        <v>8</v>
      </c>
      <c r="I388" s="38">
        <f t="shared" si="3"/>
        <v>3</v>
      </c>
      <c r="J388" s="55"/>
    </row>
    <row r="389" spans="1:10" ht="12.75" customHeight="1" x14ac:dyDescent="0.2">
      <c r="A389" s="50">
        <f t="array" ref="A389">+INDEX(Partidas!$A:$J,MATCH('Resultados dashboard'!$B389,Partidas!$C:$C,0),2)</f>
        <v>45408</v>
      </c>
      <c r="B389" s="56">
        <f>+IF(COUNTIF($B$2:B388,B388)=VLOOKUP(B388,Partidas!$C:$J,8,0),B388+1,B388)</f>
        <v>84</v>
      </c>
      <c r="C389" s="41" t="str">
        <f t="array" ref="C389">+INDEX(Partidas!$A:$J,MATCH('Resultados dashboard'!$B389,Partidas!$C:$C,0),3+COUNTIF($B$2:B389,'Resultados dashboard'!$B389))</f>
        <v>Ivo</v>
      </c>
      <c r="D389" s="54">
        <v>8</v>
      </c>
      <c r="E389" s="54">
        <v>1</v>
      </c>
      <c r="F389" s="53"/>
      <c r="G389" s="53"/>
      <c r="H389" s="38">
        <f t="shared" si="2"/>
        <v>9</v>
      </c>
      <c r="I389" s="38">
        <f t="shared" si="3"/>
        <v>2</v>
      </c>
      <c r="J389" s="55"/>
    </row>
    <row r="390" spans="1:10" ht="12.75" customHeight="1" x14ac:dyDescent="0.2">
      <c r="A390" s="50">
        <f t="array" ref="A390">+INDEX(Partidas!$A:$J,MATCH('Resultados dashboard'!$B390,Partidas!$C:$C,0),2)</f>
        <v>45408</v>
      </c>
      <c r="B390" s="56">
        <f>+IF(COUNTIF($B$2:B389,B389)=VLOOKUP(B389,Partidas!$C:$J,8,0),B389+1,B389)</f>
        <v>84</v>
      </c>
      <c r="C390" s="41" t="str">
        <f t="array" ref="C390">+INDEX(Partidas!$A:$J,MATCH('Resultados dashboard'!$B390,Partidas!$C:$C,0),3+COUNTIF($B$2:B390,'Resultados dashboard'!$B390))</f>
        <v>Gaspa</v>
      </c>
      <c r="D390" s="54">
        <v>8</v>
      </c>
      <c r="E390" s="54">
        <v>2</v>
      </c>
      <c r="F390" s="53"/>
      <c r="G390" s="53"/>
      <c r="H390" s="38">
        <f t="shared" si="2"/>
        <v>10</v>
      </c>
      <c r="I390" s="38">
        <f t="shared" si="3"/>
        <v>1</v>
      </c>
      <c r="J390" s="55"/>
    </row>
    <row r="391" spans="1:10" ht="12.75" customHeight="1" x14ac:dyDescent="0.2">
      <c r="A391" s="50">
        <f t="array" ref="A391">+INDEX(Partidas!$A:$J,MATCH('Resultados dashboard'!$B391,Partidas!$C:$C,0),2)</f>
        <v>45412</v>
      </c>
      <c r="B391" s="56">
        <f>+IF(COUNTIF($B$2:B390,B390)=VLOOKUP(B390,Partidas!$C:$J,8,0),B390+1,B390)</f>
        <v>85</v>
      </c>
      <c r="C391" s="41" t="str">
        <f t="array" ref="C391">+INDEX(Partidas!$A:$J,MATCH('Resultados dashboard'!$B391,Partidas!$C:$C,0),3+COUNTIF($B$2:B391,'Resultados dashboard'!$B391))</f>
        <v>Gallo</v>
      </c>
      <c r="D391" s="54">
        <v>6</v>
      </c>
      <c r="E391" s="54">
        <v>1</v>
      </c>
      <c r="F391" s="53"/>
      <c r="G391" s="53"/>
      <c r="H391" s="38">
        <f t="shared" si="2"/>
        <v>7</v>
      </c>
      <c r="I391" s="38">
        <f t="shared" si="3"/>
        <v>3</v>
      </c>
      <c r="J391" s="55"/>
    </row>
    <row r="392" spans="1:10" ht="12.75" customHeight="1" x14ac:dyDescent="0.2">
      <c r="A392" s="50">
        <f t="array" ref="A392">+INDEX(Partidas!$A:$J,MATCH('Resultados dashboard'!$B392,Partidas!$C:$C,0),2)</f>
        <v>45412</v>
      </c>
      <c r="B392" s="56">
        <f>+IF(COUNTIF($B$2:B391,B391)=VLOOKUP(B391,Partidas!$C:$J,8,0),B391+1,B391)</f>
        <v>85</v>
      </c>
      <c r="C392" s="41" t="str">
        <f t="array" ref="C392">+INDEX(Partidas!$A:$J,MATCH('Resultados dashboard'!$B392,Partidas!$C:$C,0),3+COUNTIF($B$2:B392,'Resultados dashboard'!$B392))</f>
        <v>Ivo</v>
      </c>
      <c r="D392" s="54">
        <v>6</v>
      </c>
      <c r="E392" s="53"/>
      <c r="F392" s="53"/>
      <c r="G392" s="53"/>
      <c r="H392" s="38">
        <f t="shared" si="2"/>
        <v>6</v>
      </c>
      <c r="I392" s="38">
        <f t="shared" si="3"/>
        <v>4</v>
      </c>
      <c r="J392" s="55"/>
    </row>
    <row r="393" spans="1:10" ht="12.75" customHeight="1" x14ac:dyDescent="0.2">
      <c r="A393" s="50">
        <f t="array" ref="A393">+INDEX(Partidas!$A:$J,MATCH('Resultados dashboard'!$B393,Partidas!$C:$C,0),2)</f>
        <v>45412</v>
      </c>
      <c r="B393" s="56">
        <f>+IF(COUNTIF($B$2:B392,B392)=VLOOKUP(B392,Partidas!$C:$J,8,0),B392+1,B392)</f>
        <v>85</v>
      </c>
      <c r="C393" s="41" t="str">
        <f t="array" ref="C393">+INDEX(Partidas!$A:$J,MATCH('Resultados dashboard'!$B393,Partidas!$C:$C,0),3+COUNTIF($B$2:B393,'Resultados dashboard'!$B393))</f>
        <v>Gaspa</v>
      </c>
      <c r="D393" s="54">
        <v>7</v>
      </c>
      <c r="E393" s="54">
        <v>1</v>
      </c>
      <c r="F393" s="53"/>
      <c r="G393" s="53"/>
      <c r="H393" s="38">
        <f t="shared" si="2"/>
        <v>8</v>
      </c>
      <c r="I393" s="38">
        <f t="shared" si="3"/>
        <v>2</v>
      </c>
      <c r="J393" s="55"/>
    </row>
    <row r="394" spans="1:10" ht="12.75" customHeight="1" x14ac:dyDescent="0.2">
      <c r="A394" s="50">
        <f t="array" ref="A394">+INDEX(Partidas!$A:$J,MATCH('Resultados dashboard'!$B394,Partidas!$C:$C,0),2)</f>
        <v>45412</v>
      </c>
      <c r="B394" s="56">
        <f>+IF(COUNTIF($B$2:B393,B393)=VLOOKUP(B393,Partidas!$C:$J,8,0),B393+1,B393)</f>
        <v>85</v>
      </c>
      <c r="C394" s="41" t="str">
        <f t="array" ref="C394">+INDEX(Partidas!$A:$J,MATCH('Resultados dashboard'!$B394,Partidas!$C:$C,0),3+COUNTIF($B$2:B394,'Resultados dashboard'!$B394))</f>
        <v>Hugo</v>
      </c>
      <c r="D394" s="54">
        <v>4</v>
      </c>
      <c r="E394" s="54">
        <v>2</v>
      </c>
      <c r="F394" s="53"/>
      <c r="G394" s="53"/>
      <c r="H394" s="38">
        <f t="shared" si="2"/>
        <v>6</v>
      </c>
      <c r="I394" s="38">
        <f t="shared" si="3"/>
        <v>4</v>
      </c>
      <c r="J394" s="55"/>
    </row>
    <row r="395" spans="1:10" ht="12.75" customHeight="1" x14ac:dyDescent="0.2">
      <c r="A395" s="50">
        <f t="array" ref="A395">+INDEX(Partidas!$A:$J,MATCH('Resultados dashboard'!$B395,Partidas!$C:$C,0),2)</f>
        <v>45412</v>
      </c>
      <c r="B395" s="56">
        <f>+IF(COUNTIF($B$2:B394,B394)=VLOOKUP(B394,Partidas!$C:$J,8,0),B394+1,B394)</f>
        <v>85</v>
      </c>
      <c r="C395" s="41" t="str">
        <f t="array" ref="C395">+INDEX(Partidas!$A:$J,MATCH('Resultados dashboard'!$B395,Partidas!$C:$C,0),3+COUNTIF($B$2:B395,'Resultados dashboard'!$B395))</f>
        <v>Rodri</v>
      </c>
      <c r="D395" s="54">
        <v>6</v>
      </c>
      <c r="E395" s="53"/>
      <c r="F395" s="54">
        <v>1</v>
      </c>
      <c r="G395" s="54">
        <v>1</v>
      </c>
      <c r="H395" s="38">
        <f t="shared" si="2"/>
        <v>10</v>
      </c>
      <c r="I395" s="38">
        <f t="shared" si="3"/>
        <v>1</v>
      </c>
      <c r="J395" s="55"/>
    </row>
    <row r="396" spans="1:10" ht="12.75" customHeight="1" x14ac:dyDescent="0.2">
      <c r="A396" s="50">
        <f t="array" ref="A396">+INDEX(Partidas!$A:$J,MATCH('Resultados dashboard'!$B396,Partidas!$C:$C,0),2)</f>
        <v>45412</v>
      </c>
      <c r="B396" s="56">
        <f>+IF(COUNTIF($B$2:B395,B395)=VLOOKUP(B395,Partidas!$C:$J,8,0),B395+1,B395)</f>
        <v>86</v>
      </c>
      <c r="C396" s="41" t="str">
        <f t="array" ref="C396">+INDEX(Partidas!$A:$J,MATCH('Resultados dashboard'!$B396,Partidas!$C:$C,0),3+COUNTIF($B$2:B396,'Resultados dashboard'!$B396))</f>
        <v>Gallo</v>
      </c>
      <c r="D396" s="54">
        <v>8</v>
      </c>
      <c r="E396" s="53"/>
      <c r="F396" s="54"/>
      <c r="G396" s="53"/>
      <c r="H396" s="38">
        <f t="shared" si="2"/>
        <v>8</v>
      </c>
      <c r="I396" s="38">
        <f t="shared" si="3"/>
        <v>2</v>
      </c>
      <c r="J396" s="55"/>
    </row>
    <row r="397" spans="1:10" ht="12.75" customHeight="1" x14ac:dyDescent="0.2">
      <c r="A397" s="50">
        <f t="array" ref="A397">+INDEX(Partidas!$A:$J,MATCH('Resultados dashboard'!$B397,Partidas!$C:$C,0),2)</f>
        <v>45412</v>
      </c>
      <c r="B397" s="56">
        <f>+IF(COUNTIF($B$2:B396,B396)=VLOOKUP(B396,Partidas!$C:$J,8,0),B396+1,B396)</f>
        <v>86</v>
      </c>
      <c r="C397" s="41" t="str">
        <f t="array" ref="C397">+INDEX(Partidas!$A:$J,MATCH('Resultados dashboard'!$B397,Partidas!$C:$C,0),3+COUNTIF($B$2:B397,'Resultados dashboard'!$B397))</f>
        <v>Ivo</v>
      </c>
      <c r="D397" s="54">
        <v>8</v>
      </c>
      <c r="E397" s="53"/>
      <c r="F397" s="54">
        <v>1</v>
      </c>
      <c r="G397" s="53"/>
      <c r="H397" s="38">
        <f t="shared" si="2"/>
        <v>10</v>
      </c>
      <c r="I397" s="38">
        <f t="shared" si="3"/>
        <v>1</v>
      </c>
      <c r="J397" s="55"/>
    </row>
    <row r="398" spans="1:10" ht="12.75" customHeight="1" x14ac:dyDescent="0.2">
      <c r="A398" s="50">
        <f t="array" ref="A398">+INDEX(Partidas!$A:$J,MATCH('Resultados dashboard'!$B398,Partidas!$C:$C,0),2)</f>
        <v>45412</v>
      </c>
      <c r="B398" s="56">
        <f>+IF(COUNTIF($B$2:B397,B397)=VLOOKUP(B397,Partidas!$C:$J,8,0),B397+1,B397)</f>
        <v>86</v>
      </c>
      <c r="C398" s="41" t="str">
        <f t="array" ref="C398">+INDEX(Partidas!$A:$J,MATCH('Resultados dashboard'!$B398,Partidas!$C:$C,0),3+COUNTIF($B$2:B398,'Resultados dashboard'!$B398))</f>
        <v>Gaspa</v>
      </c>
      <c r="D398" s="54">
        <v>8</v>
      </c>
      <c r="E398" s="53"/>
      <c r="F398" s="53"/>
      <c r="G398" s="53"/>
      <c r="H398" s="38">
        <f t="shared" si="2"/>
        <v>8</v>
      </c>
      <c r="I398" s="38">
        <f t="shared" si="3"/>
        <v>2</v>
      </c>
      <c r="J398" s="55"/>
    </row>
    <row r="399" spans="1:10" ht="12.75" customHeight="1" x14ac:dyDescent="0.2">
      <c r="A399" s="50">
        <f t="array" ref="A399">+INDEX(Partidas!$A:$J,MATCH('Resultados dashboard'!$B399,Partidas!$C:$C,0),2)</f>
        <v>45412</v>
      </c>
      <c r="B399" s="56">
        <f>+IF(COUNTIF($B$2:B398,B398)=VLOOKUP(B398,Partidas!$C:$J,8,0),B398+1,B398)</f>
        <v>86</v>
      </c>
      <c r="C399" s="41" t="str">
        <f t="array" ref="C399">+INDEX(Partidas!$A:$J,MATCH('Resultados dashboard'!$B399,Partidas!$C:$C,0),3+COUNTIF($B$2:B399,'Resultados dashboard'!$B399))</f>
        <v>Hugo</v>
      </c>
      <c r="D399" s="54">
        <v>7</v>
      </c>
      <c r="E399" s="54">
        <v>1</v>
      </c>
      <c r="F399" s="53"/>
      <c r="G399" s="53"/>
      <c r="H399" s="38">
        <f t="shared" si="2"/>
        <v>8</v>
      </c>
      <c r="I399" s="38">
        <f t="shared" si="3"/>
        <v>2</v>
      </c>
      <c r="J399" s="55"/>
    </row>
    <row r="400" spans="1:10" ht="12.75" customHeight="1" x14ac:dyDescent="0.2">
      <c r="A400" s="50">
        <f t="array" ref="A400">+INDEX(Partidas!$A:$J,MATCH('Resultados dashboard'!$B400,Partidas!$C:$C,0),2)</f>
        <v>45412</v>
      </c>
      <c r="B400" s="56">
        <f>+IF(COUNTIF($B$2:B399,B399)=VLOOKUP(B399,Partidas!$C:$J,8,0),B399+1,B399)</f>
        <v>86</v>
      </c>
      <c r="C400" s="41" t="str">
        <f t="array" ref="C400">+INDEX(Partidas!$A:$J,MATCH('Resultados dashboard'!$B400,Partidas!$C:$C,0),3+COUNTIF($B$2:B400,'Resultados dashboard'!$B400))</f>
        <v>Rodri</v>
      </c>
      <c r="D400" s="54">
        <v>5</v>
      </c>
      <c r="E400" s="54">
        <v>1</v>
      </c>
      <c r="F400" s="53"/>
      <c r="G400" s="54">
        <v>1</v>
      </c>
      <c r="H400" s="38">
        <f t="shared" si="2"/>
        <v>8</v>
      </c>
      <c r="I400" s="38">
        <f t="shared" si="3"/>
        <v>2</v>
      </c>
      <c r="J400" s="55"/>
    </row>
    <row r="401" spans="1:10" ht="12.75" customHeight="1" x14ac:dyDescent="0.2">
      <c r="A401" s="50">
        <f t="array" ref="A401">+INDEX(Partidas!$A:$J,MATCH('Resultados dashboard'!$B401,Partidas!$C:$C,0),2)</f>
        <v>45412</v>
      </c>
      <c r="B401" s="56">
        <f>+IF(COUNTIF($B$2:B400,B400)=VLOOKUP(B400,Partidas!$C:$J,8,0),B400+1,B400)</f>
        <v>87</v>
      </c>
      <c r="C401" s="41" t="str">
        <f t="array" ref="C401">+INDEX(Partidas!$A:$J,MATCH('Resultados dashboard'!$B401,Partidas!$C:$C,0),3+COUNTIF($B$2:B401,'Resultados dashboard'!$B401))</f>
        <v>Gallo</v>
      </c>
      <c r="D401" s="54">
        <v>3</v>
      </c>
      <c r="E401" s="54">
        <v>1</v>
      </c>
      <c r="F401" s="53"/>
      <c r="G401" s="53"/>
      <c r="H401" s="38">
        <f t="shared" si="2"/>
        <v>4</v>
      </c>
      <c r="I401" s="38">
        <f t="shared" si="3"/>
        <v>5</v>
      </c>
      <c r="J401" s="55"/>
    </row>
    <row r="402" spans="1:10" ht="12.75" customHeight="1" x14ac:dyDescent="0.2">
      <c r="A402" s="50">
        <f t="array" ref="A402">+INDEX(Partidas!$A:$J,MATCH('Resultados dashboard'!$B402,Partidas!$C:$C,0),2)</f>
        <v>45412</v>
      </c>
      <c r="B402" s="56">
        <f>+IF(COUNTIF($B$2:B401,B401)=VLOOKUP(B401,Partidas!$C:$J,8,0),B401+1,B401)</f>
        <v>87</v>
      </c>
      <c r="C402" s="41" t="str">
        <f t="array" ref="C402">+INDEX(Partidas!$A:$J,MATCH('Resultados dashboard'!$B402,Partidas!$C:$C,0),3+COUNTIF($B$2:B402,'Resultados dashboard'!$B402))</f>
        <v>Ivo</v>
      </c>
      <c r="D402" s="54">
        <v>6</v>
      </c>
      <c r="E402" s="53"/>
      <c r="F402" s="54">
        <v>1</v>
      </c>
      <c r="G402" s="54">
        <v>1</v>
      </c>
      <c r="H402" s="38">
        <f t="shared" si="2"/>
        <v>10</v>
      </c>
      <c r="I402" s="38">
        <f t="shared" si="3"/>
        <v>1</v>
      </c>
      <c r="J402" s="55"/>
    </row>
    <row r="403" spans="1:10" ht="12.75" customHeight="1" x14ac:dyDescent="0.2">
      <c r="A403" s="50">
        <f t="array" ref="A403">+INDEX(Partidas!$A:$J,MATCH('Resultados dashboard'!$B403,Partidas!$C:$C,0),2)</f>
        <v>45412</v>
      </c>
      <c r="B403" s="56">
        <f>+IF(COUNTIF($B$2:B402,B402)=VLOOKUP(B402,Partidas!$C:$J,8,0),B402+1,B402)</f>
        <v>87</v>
      </c>
      <c r="C403" s="41" t="str">
        <f t="array" ref="C403">+INDEX(Partidas!$A:$J,MATCH('Resultados dashboard'!$B403,Partidas!$C:$C,0),3+COUNTIF($B$2:B403,'Resultados dashboard'!$B403))</f>
        <v>Gaspa</v>
      </c>
      <c r="D403" s="54">
        <v>5</v>
      </c>
      <c r="E403" s="54">
        <v>1</v>
      </c>
      <c r="F403" s="53"/>
      <c r="G403" s="53"/>
      <c r="H403" s="38">
        <f t="shared" si="2"/>
        <v>6</v>
      </c>
      <c r="I403" s="38">
        <f t="shared" si="3"/>
        <v>2</v>
      </c>
      <c r="J403" s="55"/>
    </row>
    <row r="404" spans="1:10" ht="12.75" customHeight="1" x14ac:dyDescent="0.2">
      <c r="A404" s="50">
        <f t="array" ref="A404">+INDEX(Partidas!$A:$J,MATCH('Resultados dashboard'!$B404,Partidas!$C:$C,0),2)</f>
        <v>45412</v>
      </c>
      <c r="B404" s="56">
        <f>+IF(COUNTIF($B$2:B403,B403)=VLOOKUP(B403,Partidas!$C:$J,8,0),B403+1,B403)</f>
        <v>87</v>
      </c>
      <c r="C404" s="41" t="str">
        <f t="array" ref="C404">+INDEX(Partidas!$A:$J,MATCH('Resultados dashboard'!$B404,Partidas!$C:$C,0),3+COUNTIF($B$2:B404,'Resultados dashboard'!$B404))</f>
        <v>Hugo</v>
      </c>
      <c r="D404" s="54">
        <v>5</v>
      </c>
      <c r="E404" s="54">
        <v>1</v>
      </c>
      <c r="F404" s="53"/>
      <c r="G404" s="53"/>
      <c r="H404" s="38">
        <f t="shared" si="2"/>
        <v>6</v>
      </c>
      <c r="I404" s="38">
        <f t="shared" si="3"/>
        <v>2</v>
      </c>
      <c r="J404" s="55"/>
    </row>
    <row r="405" spans="1:10" ht="12.75" customHeight="1" x14ac:dyDescent="0.2">
      <c r="A405" s="50">
        <f t="array" ref="A405">+INDEX(Partidas!$A:$J,MATCH('Resultados dashboard'!$B405,Partidas!$C:$C,0),2)</f>
        <v>45412</v>
      </c>
      <c r="B405" s="56">
        <f>+IF(COUNTIF($B$2:B404,B404)=VLOOKUP(B404,Partidas!$C:$J,8,0),B404+1,B404)</f>
        <v>87</v>
      </c>
      <c r="C405" s="41" t="str">
        <f t="array" ref="C405">+INDEX(Partidas!$A:$J,MATCH('Resultados dashboard'!$B405,Partidas!$C:$C,0),3+COUNTIF($B$2:B405,'Resultados dashboard'!$B405))</f>
        <v>Rodri</v>
      </c>
      <c r="D405" s="54">
        <v>5</v>
      </c>
      <c r="E405" s="53"/>
      <c r="F405" s="53"/>
      <c r="G405" s="53"/>
      <c r="H405" s="38">
        <f t="shared" si="2"/>
        <v>5</v>
      </c>
      <c r="I405" s="38">
        <f t="shared" si="3"/>
        <v>4</v>
      </c>
      <c r="J405" s="55"/>
    </row>
    <row r="406" spans="1:10" ht="12.75" customHeight="1" x14ac:dyDescent="0.2">
      <c r="A406" s="50">
        <f t="array" ref="A406">+INDEX(Partidas!$A:$J,MATCH('Resultados dashboard'!$B406,Partidas!$C:$C,0),2)</f>
        <v>45415</v>
      </c>
      <c r="B406" s="56">
        <f>+IF(COUNTIF($B$2:B405,B405)=VLOOKUP(B405,Partidas!$C:$J,8,0),B405+1,B405)</f>
        <v>88</v>
      </c>
      <c r="C406" s="41" t="str">
        <f t="array" ref="C406">+INDEX(Partidas!$A:$J,MATCH('Resultados dashboard'!$B406,Partidas!$C:$C,0),3+COUNTIF($B$2:B406,'Resultados dashboard'!$B406))</f>
        <v>Ivo</v>
      </c>
      <c r="D406" s="54">
        <v>6</v>
      </c>
      <c r="E406" s="54">
        <v>1</v>
      </c>
      <c r="F406" s="53"/>
      <c r="G406" s="53"/>
      <c r="H406" s="38">
        <f t="shared" si="2"/>
        <v>7</v>
      </c>
      <c r="I406" s="38">
        <f t="shared" si="3"/>
        <v>4</v>
      </c>
      <c r="J406" s="55"/>
    </row>
    <row r="407" spans="1:10" ht="12.75" customHeight="1" x14ac:dyDescent="0.2">
      <c r="A407" s="50">
        <f t="array" ref="A407">+INDEX(Partidas!$A:$J,MATCH('Resultados dashboard'!$B407,Partidas!$C:$C,0),2)</f>
        <v>45415</v>
      </c>
      <c r="B407" s="56">
        <f>+IF(COUNTIF($B$2:B406,B406)=VLOOKUP(B406,Partidas!$C:$J,8,0),B406+1,B406)</f>
        <v>88</v>
      </c>
      <c r="C407" s="41" t="str">
        <f t="array" ref="C407">+INDEX(Partidas!$A:$J,MATCH('Resultados dashboard'!$B407,Partidas!$C:$C,0),3+COUNTIF($B$2:B407,'Resultados dashboard'!$B407))</f>
        <v>Max</v>
      </c>
      <c r="D407" s="54">
        <v>7</v>
      </c>
      <c r="E407" s="54">
        <v>1</v>
      </c>
      <c r="F407" s="53"/>
      <c r="G407" s="53"/>
      <c r="H407" s="38">
        <f t="shared" si="2"/>
        <v>8</v>
      </c>
      <c r="I407" s="38">
        <f t="shared" si="3"/>
        <v>2</v>
      </c>
      <c r="J407" s="55"/>
    </row>
    <row r="408" spans="1:10" ht="12.75" customHeight="1" x14ac:dyDescent="0.2">
      <c r="A408" s="50">
        <f t="array" ref="A408">+INDEX(Partidas!$A:$J,MATCH('Resultados dashboard'!$B408,Partidas!$C:$C,0),2)</f>
        <v>45415</v>
      </c>
      <c r="B408" s="56">
        <f>+IF(COUNTIF($B$2:B407,B407)=VLOOKUP(B407,Partidas!$C:$J,8,0),B407+1,B407)</f>
        <v>88</v>
      </c>
      <c r="C408" s="41" t="str">
        <f t="array" ref="C408">+INDEX(Partidas!$A:$J,MATCH('Resultados dashboard'!$B408,Partidas!$C:$C,0),3+COUNTIF($B$2:B408,'Resultados dashboard'!$B408))</f>
        <v>Gaspa</v>
      </c>
      <c r="D408" s="54">
        <v>5</v>
      </c>
      <c r="E408" s="54">
        <v>1</v>
      </c>
      <c r="F408" s="53"/>
      <c r="G408" s="54">
        <v>1</v>
      </c>
      <c r="H408" s="38">
        <f t="shared" si="2"/>
        <v>8</v>
      </c>
      <c r="I408" s="38">
        <f t="shared" si="3"/>
        <v>2</v>
      </c>
      <c r="J408" s="55"/>
    </row>
    <row r="409" spans="1:10" ht="12.75" customHeight="1" x14ac:dyDescent="0.2">
      <c r="A409" s="50">
        <f t="array" ref="A409">+INDEX(Partidas!$A:$J,MATCH('Resultados dashboard'!$B409,Partidas!$C:$C,0),2)</f>
        <v>45415</v>
      </c>
      <c r="B409" s="56">
        <f>+IF(COUNTIF($B$2:B408,B408)=VLOOKUP(B408,Partidas!$C:$J,8,0),B408+1,B408)</f>
        <v>88</v>
      </c>
      <c r="C409" s="41" t="str">
        <f t="array" ref="C409">+INDEX(Partidas!$A:$J,MATCH('Resultados dashboard'!$B409,Partidas!$C:$C,0),3+COUNTIF($B$2:B409,'Resultados dashboard'!$B409))</f>
        <v>Hugo</v>
      </c>
      <c r="D409" s="54">
        <v>9</v>
      </c>
      <c r="E409" s="54">
        <v>1</v>
      </c>
      <c r="F409" s="53"/>
      <c r="G409" s="53"/>
      <c r="H409" s="38">
        <f t="shared" si="2"/>
        <v>10</v>
      </c>
      <c r="I409" s="38">
        <f t="shared" si="3"/>
        <v>1</v>
      </c>
      <c r="J409" s="55"/>
    </row>
    <row r="410" spans="1:10" ht="12.75" customHeight="1" x14ac:dyDescent="0.2">
      <c r="A410" s="50">
        <f t="array" ref="A410">+INDEX(Partidas!$A:$J,MATCH('Resultados dashboard'!$B410,Partidas!$C:$C,0),2)</f>
        <v>45415</v>
      </c>
      <c r="B410" s="56">
        <f>+IF(COUNTIF($B$2:B409,B409)=VLOOKUP(B409,Partidas!$C:$J,8,0),B409+1,B409)</f>
        <v>89</v>
      </c>
      <c r="C410" s="41" t="str">
        <f t="array" ref="C410">+INDEX(Partidas!$A:$J,MATCH('Resultados dashboard'!$B410,Partidas!$C:$C,0),3+COUNTIF($B$2:B410,'Resultados dashboard'!$B410))</f>
        <v>Ivo</v>
      </c>
      <c r="D410" s="54">
        <v>5</v>
      </c>
      <c r="E410" s="53"/>
      <c r="F410" s="53"/>
      <c r="G410" s="53"/>
      <c r="H410" s="38">
        <f t="shared" si="2"/>
        <v>5</v>
      </c>
      <c r="I410" s="38">
        <f t="shared" si="3"/>
        <v>3</v>
      </c>
      <c r="J410" s="55"/>
    </row>
    <row r="411" spans="1:10" ht="12.75" customHeight="1" x14ac:dyDescent="0.2">
      <c r="A411" s="50">
        <f t="array" ref="A411">+INDEX(Partidas!$A:$J,MATCH('Resultados dashboard'!$B411,Partidas!$C:$C,0),2)</f>
        <v>45415</v>
      </c>
      <c r="B411" s="56">
        <f>+IF(COUNTIF($B$2:B410,B410)=VLOOKUP(B410,Partidas!$C:$J,8,0),B410+1,B410)</f>
        <v>89</v>
      </c>
      <c r="C411" s="41" t="str">
        <f t="array" ref="C411">+INDEX(Partidas!$A:$J,MATCH('Resultados dashboard'!$B411,Partidas!$C:$C,0),3+COUNTIF($B$2:B411,'Resultados dashboard'!$B411))</f>
        <v>Max</v>
      </c>
      <c r="D411" s="54">
        <v>8</v>
      </c>
      <c r="E411" s="53"/>
      <c r="F411" s="53"/>
      <c r="G411" s="54">
        <v>1</v>
      </c>
      <c r="H411" s="38">
        <f t="shared" si="2"/>
        <v>10</v>
      </c>
      <c r="I411" s="38">
        <f t="shared" si="3"/>
        <v>1</v>
      </c>
      <c r="J411" s="55"/>
    </row>
    <row r="412" spans="1:10" ht="12.75" customHeight="1" x14ac:dyDescent="0.2">
      <c r="A412" s="50">
        <f t="array" ref="A412">+INDEX(Partidas!$A:$J,MATCH('Resultados dashboard'!$B412,Partidas!$C:$C,0),2)</f>
        <v>45415</v>
      </c>
      <c r="B412" s="56">
        <f>+IF(COUNTIF($B$2:B411,B411)=VLOOKUP(B411,Partidas!$C:$J,8,0),B411+1,B411)</f>
        <v>89</v>
      </c>
      <c r="C412" s="41" t="str">
        <f t="array" ref="C412">+INDEX(Partidas!$A:$J,MATCH('Resultados dashboard'!$B412,Partidas!$C:$C,0),3+COUNTIF($B$2:B412,'Resultados dashboard'!$B412))</f>
        <v>Gaspa</v>
      </c>
      <c r="D412" s="54">
        <v>7</v>
      </c>
      <c r="E412" s="53"/>
      <c r="F412" s="53"/>
      <c r="G412" s="53"/>
      <c r="H412" s="38">
        <f t="shared" si="2"/>
        <v>7</v>
      </c>
      <c r="I412" s="38">
        <f t="shared" si="3"/>
        <v>2</v>
      </c>
      <c r="J412" s="55"/>
    </row>
    <row r="413" spans="1:10" ht="12.75" customHeight="1" x14ac:dyDescent="0.2">
      <c r="A413" s="50">
        <f t="array" ref="A413">+INDEX(Partidas!$A:$J,MATCH('Resultados dashboard'!$B413,Partidas!$C:$C,0),2)</f>
        <v>45415</v>
      </c>
      <c r="B413" s="56">
        <f>+IF(COUNTIF($B$2:B412,B412)=VLOOKUP(B412,Partidas!$C:$J,8,0),B412+1,B412)</f>
        <v>89</v>
      </c>
      <c r="C413" s="41" t="str">
        <f t="array" ref="C413">+INDEX(Partidas!$A:$J,MATCH('Resultados dashboard'!$B413,Partidas!$C:$C,0),3+COUNTIF($B$2:B413,'Resultados dashboard'!$B413))</f>
        <v>Hugo</v>
      </c>
      <c r="D413" s="54">
        <v>3</v>
      </c>
      <c r="E413" s="53"/>
      <c r="F413" s="53"/>
      <c r="G413" s="53"/>
      <c r="H413" s="38">
        <f t="shared" si="2"/>
        <v>3</v>
      </c>
      <c r="I413" s="38">
        <f t="shared" si="3"/>
        <v>4</v>
      </c>
      <c r="J413" s="55"/>
    </row>
    <row r="414" spans="1:10" ht="12.75" customHeight="1" x14ac:dyDescent="0.2">
      <c r="A414" s="50">
        <f t="array" ref="A414">+INDEX(Partidas!$A:$J,MATCH('Resultados dashboard'!$B414,Partidas!$C:$C,0),2)</f>
        <v>45415</v>
      </c>
      <c r="B414" s="56">
        <f>+IF(COUNTIF($B$2:B413,B413)=VLOOKUP(B413,Partidas!$C:$J,8,0),B413+1,B413)</f>
        <v>90</v>
      </c>
      <c r="C414" s="41" t="str">
        <f t="array" ref="C414">+INDEX(Partidas!$A:$J,MATCH('Resultados dashboard'!$B414,Partidas!$C:$C,0),3+COUNTIF($B$2:B414,'Resultados dashboard'!$B414))</f>
        <v>Ivo</v>
      </c>
      <c r="D414" s="54">
        <v>5</v>
      </c>
      <c r="E414" s="54">
        <v>1</v>
      </c>
      <c r="F414" s="53"/>
      <c r="G414" s="54">
        <v>1</v>
      </c>
      <c r="H414" s="38">
        <f t="shared" si="2"/>
        <v>8</v>
      </c>
      <c r="I414" s="38">
        <f t="shared" si="3"/>
        <v>2</v>
      </c>
      <c r="J414" s="55"/>
    </row>
    <row r="415" spans="1:10" ht="12.75" customHeight="1" x14ac:dyDescent="0.2">
      <c r="A415" s="50">
        <f t="array" ref="A415">+INDEX(Partidas!$A:$J,MATCH('Resultados dashboard'!$B415,Partidas!$C:$C,0),2)</f>
        <v>45415</v>
      </c>
      <c r="B415" s="56">
        <f>+IF(COUNTIF($B$2:B414,B414)=VLOOKUP(B414,Partidas!$C:$J,8,0),B414+1,B414)</f>
        <v>90</v>
      </c>
      <c r="C415" s="41" t="str">
        <f t="array" ref="C415">+INDEX(Partidas!$A:$J,MATCH('Resultados dashboard'!$B415,Partidas!$C:$C,0),3+COUNTIF($B$2:B415,'Resultados dashboard'!$B415))</f>
        <v>Max</v>
      </c>
      <c r="D415" s="54">
        <v>9</v>
      </c>
      <c r="E415" s="54">
        <v>1</v>
      </c>
      <c r="F415" s="53"/>
      <c r="G415" s="53"/>
      <c r="H415" s="38">
        <f t="shared" si="2"/>
        <v>10</v>
      </c>
      <c r="I415" s="38">
        <f t="shared" si="3"/>
        <v>1</v>
      </c>
      <c r="J415" s="55"/>
    </row>
    <row r="416" spans="1:10" ht="12.75" customHeight="1" x14ac:dyDescent="0.2">
      <c r="A416" s="50">
        <f t="array" ref="A416">+INDEX(Partidas!$A:$J,MATCH('Resultados dashboard'!$B416,Partidas!$C:$C,0),2)</f>
        <v>45415</v>
      </c>
      <c r="B416" s="56">
        <f>+IF(COUNTIF($B$2:B415,B415)=VLOOKUP(B415,Partidas!$C:$J,8,0),B415+1,B415)</f>
        <v>90</v>
      </c>
      <c r="C416" s="41" t="str">
        <f t="array" ref="C416">+INDEX(Partidas!$A:$J,MATCH('Resultados dashboard'!$B416,Partidas!$C:$C,0),3+COUNTIF($B$2:B416,'Resultados dashboard'!$B416))</f>
        <v>Gaspa</v>
      </c>
      <c r="D416" s="54">
        <v>3</v>
      </c>
      <c r="E416" s="54">
        <v>3</v>
      </c>
      <c r="F416" s="53"/>
      <c r="G416" s="53"/>
      <c r="H416" s="38">
        <f t="shared" si="2"/>
        <v>6</v>
      </c>
      <c r="I416" s="38">
        <f t="shared" si="3"/>
        <v>4</v>
      </c>
      <c r="J416" s="55"/>
    </row>
    <row r="417" spans="1:10" ht="12.75" customHeight="1" x14ac:dyDescent="0.2">
      <c r="A417" s="50">
        <f t="array" ref="A417">+INDEX(Partidas!$A:$J,MATCH('Resultados dashboard'!$B417,Partidas!$C:$C,0),2)</f>
        <v>45415</v>
      </c>
      <c r="B417" s="56">
        <f>+IF(COUNTIF($B$2:B416,B416)=VLOOKUP(B416,Partidas!$C:$J,8,0),B416+1,B416)</f>
        <v>90</v>
      </c>
      <c r="C417" s="41" t="str">
        <f t="array" ref="C417">+INDEX(Partidas!$A:$J,MATCH('Resultados dashboard'!$B417,Partidas!$C:$C,0),3+COUNTIF($B$2:B417,'Resultados dashboard'!$B417))</f>
        <v>Hugo</v>
      </c>
      <c r="D417" s="54">
        <v>6</v>
      </c>
      <c r="E417" s="53"/>
      <c r="F417" s="54">
        <v>1</v>
      </c>
      <c r="G417" s="53"/>
      <c r="H417" s="38">
        <f t="shared" si="2"/>
        <v>8</v>
      </c>
      <c r="I417" s="38">
        <f t="shared" si="3"/>
        <v>2</v>
      </c>
      <c r="J417" s="55"/>
    </row>
    <row r="418" spans="1:10" ht="12.75" customHeight="1" x14ac:dyDescent="0.2">
      <c r="A418" s="50">
        <f t="array" ref="A418">+INDEX(Partidas!$A:$J,MATCH('Resultados dashboard'!$B418,Partidas!$C:$C,0),2)</f>
        <v>45419</v>
      </c>
      <c r="B418" s="56">
        <f>+IF(COUNTIF($B$2:B417,B417)=VLOOKUP(B417,Partidas!$C:$J,8,0),B417+1,B417)</f>
        <v>91</v>
      </c>
      <c r="C418" s="41" t="str">
        <f t="array" ref="C418">+INDEX(Partidas!$A:$J,MATCH('Resultados dashboard'!$B418,Partidas!$C:$C,0),3+COUNTIF($B$2:B418,'Resultados dashboard'!$B418))</f>
        <v>Ivo</v>
      </c>
      <c r="D418" s="54">
        <v>3</v>
      </c>
      <c r="E418" s="54">
        <v>2</v>
      </c>
      <c r="F418" s="53"/>
      <c r="G418" s="53"/>
      <c r="H418" s="38">
        <f t="shared" si="2"/>
        <v>5</v>
      </c>
      <c r="I418" s="38">
        <f t="shared" si="3"/>
        <v>4</v>
      </c>
      <c r="J418" s="55"/>
    </row>
    <row r="419" spans="1:10" ht="12.75" customHeight="1" x14ac:dyDescent="0.2">
      <c r="A419" s="50">
        <f t="array" ref="A419">+INDEX(Partidas!$A:$J,MATCH('Resultados dashboard'!$B419,Partidas!$C:$C,0),2)</f>
        <v>45419</v>
      </c>
      <c r="B419" s="56">
        <f>+IF(COUNTIF($B$2:B418,B418)=VLOOKUP(B418,Partidas!$C:$J,8,0),B418+1,B418)</f>
        <v>91</v>
      </c>
      <c r="C419" s="41" t="str">
        <f t="array" ref="C419">+INDEX(Partidas!$A:$J,MATCH('Resultados dashboard'!$B419,Partidas!$C:$C,0),3+COUNTIF($B$2:B419,'Resultados dashboard'!$B419))</f>
        <v>Max</v>
      </c>
      <c r="D419" s="54">
        <v>6</v>
      </c>
      <c r="E419" s="53"/>
      <c r="F419" s="53"/>
      <c r="G419" s="53"/>
      <c r="H419" s="38">
        <f t="shared" si="2"/>
        <v>6</v>
      </c>
      <c r="I419" s="38">
        <f t="shared" si="3"/>
        <v>3</v>
      </c>
      <c r="J419" s="55"/>
    </row>
    <row r="420" spans="1:10" ht="12.75" customHeight="1" x14ac:dyDescent="0.2">
      <c r="A420" s="50">
        <f t="array" ref="A420">+INDEX(Partidas!$A:$J,MATCH('Resultados dashboard'!$B420,Partidas!$C:$C,0),2)</f>
        <v>45419</v>
      </c>
      <c r="B420" s="56">
        <f>+IF(COUNTIF($B$2:B419,B419)=VLOOKUP(B419,Partidas!$C:$J,8,0),B419+1,B419)</f>
        <v>91</v>
      </c>
      <c r="C420" s="41" t="str">
        <f t="array" ref="C420">+INDEX(Partidas!$A:$J,MATCH('Resultados dashboard'!$B420,Partidas!$C:$C,0),3+COUNTIF($B$2:B420,'Resultados dashboard'!$B420))</f>
        <v>Hugo</v>
      </c>
      <c r="D420" s="54">
        <v>6</v>
      </c>
      <c r="E420" s="53"/>
      <c r="F420" s="54">
        <v>1</v>
      </c>
      <c r="G420" s="54">
        <v>1</v>
      </c>
      <c r="H420" s="38">
        <f t="shared" si="2"/>
        <v>10</v>
      </c>
      <c r="I420" s="38">
        <f t="shared" si="3"/>
        <v>1</v>
      </c>
      <c r="J420" s="55"/>
    </row>
    <row r="421" spans="1:10" ht="12.75" customHeight="1" x14ac:dyDescent="0.2">
      <c r="A421" s="50">
        <f t="array" ref="A421">+INDEX(Partidas!$A:$J,MATCH('Resultados dashboard'!$B421,Partidas!$C:$C,0),2)</f>
        <v>45419</v>
      </c>
      <c r="B421" s="56">
        <f>+IF(COUNTIF($B$2:B420,B420)=VLOOKUP(B420,Partidas!$C:$J,8,0),B420+1,B420)</f>
        <v>91</v>
      </c>
      <c r="C421" s="41" t="str">
        <f t="array" ref="C421">+INDEX(Partidas!$A:$J,MATCH('Resultados dashboard'!$B421,Partidas!$C:$C,0),3+COUNTIF($B$2:B421,'Resultados dashboard'!$B421))</f>
        <v>Rodri</v>
      </c>
      <c r="D421" s="54">
        <v>6</v>
      </c>
      <c r="E421" s="54">
        <v>3</v>
      </c>
      <c r="F421" s="53"/>
      <c r="G421" s="53"/>
      <c r="H421" s="38">
        <f t="shared" si="2"/>
        <v>9</v>
      </c>
      <c r="I421" s="38">
        <f t="shared" si="3"/>
        <v>2</v>
      </c>
      <c r="J421" s="55"/>
    </row>
    <row r="422" spans="1:10" ht="12.75" customHeight="1" x14ac:dyDescent="0.2">
      <c r="A422" s="50">
        <f t="array" ref="A422">+INDEX(Partidas!$A:$J,MATCH('Resultados dashboard'!$B422,Partidas!$C:$C,0),2)</f>
        <v>45419</v>
      </c>
      <c r="B422" s="56">
        <f>+IF(COUNTIF($B$2:B421,B421)=VLOOKUP(B421,Partidas!$C:$J,8,0),B421+1,B421)</f>
        <v>92</v>
      </c>
      <c r="C422" s="41" t="str">
        <f t="array" ref="C422">+INDEX(Partidas!$A:$J,MATCH('Resultados dashboard'!$B422,Partidas!$C:$C,0),3+COUNTIF($B$2:B422,'Resultados dashboard'!$B422))</f>
        <v>Ivo</v>
      </c>
      <c r="D422" s="54">
        <v>5</v>
      </c>
      <c r="E422" s="53"/>
      <c r="F422" s="53"/>
      <c r="G422" s="53"/>
      <c r="H422" s="38">
        <f t="shared" si="2"/>
        <v>5</v>
      </c>
      <c r="I422" s="38">
        <f t="shared" si="3"/>
        <v>4</v>
      </c>
      <c r="J422" s="55"/>
    </row>
    <row r="423" spans="1:10" ht="12.75" customHeight="1" x14ac:dyDescent="0.2">
      <c r="A423" s="50">
        <f t="array" ref="A423">+INDEX(Partidas!$A:$J,MATCH('Resultados dashboard'!$B423,Partidas!$C:$C,0),2)</f>
        <v>45419</v>
      </c>
      <c r="B423" s="56">
        <f>+IF(COUNTIF($B$2:B422,B422)=VLOOKUP(B422,Partidas!$C:$J,8,0),B422+1,B422)</f>
        <v>92</v>
      </c>
      <c r="C423" s="41" t="str">
        <f t="array" ref="C423">+INDEX(Partidas!$A:$J,MATCH('Resultados dashboard'!$B423,Partidas!$C:$C,0),3+COUNTIF($B$2:B423,'Resultados dashboard'!$B423))</f>
        <v>Max</v>
      </c>
      <c r="D423" s="54">
        <v>7</v>
      </c>
      <c r="E423" s="53"/>
      <c r="F423" s="54">
        <v>1</v>
      </c>
      <c r="G423" s="53"/>
      <c r="H423" s="38">
        <f t="shared" si="2"/>
        <v>9</v>
      </c>
      <c r="I423" s="38">
        <f t="shared" si="3"/>
        <v>2</v>
      </c>
      <c r="J423" s="55"/>
    </row>
    <row r="424" spans="1:10" ht="12.75" customHeight="1" x14ac:dyDescent="0.2">
      <c r="A424" s="50">
        <f t="array" ref="A424">+INDEX(Partidas!$A:$J,MATCH('Resultados dashboard'!$B424,Partidas!$C:$C,0),2)</f>
        <v>45419</v>
      </c>
      <c r="B424" s="56">
        <f>+IF(COUNTIF($B$2:B423,B423)=VLOOKUP(B423,Partidas!$C:$J,8,0),B423+1,B423)</f>
        <v>92</v>
      </c>
      <c r="C424" s="41" t="str">
        <f t="array" ref="C424">+INDEX(Partidas!$A:$J,MATCH('Resultados dashboard'!$B424,Partidas!$C:$C,0),3+COUNTIF($B$2:B424,'Resultados dashboard'!$B424))</f>
        <v>Hugo</v>
      </c>
      <c r="D424" s="54">
        <v>6</v>
      </c>
      <c r="E424" s="54">
        <v>2</v>
      </c>
      <c r="F424" s="53"/>
      <c r="G424" s="53"/>
      <c r="H424" s="38">
        <f t="shared" si="2"/>
        <v>8</v>
      </c>
      <c r="I424" s="38">
        <f t="shared" si="3"/>
        <v>3</v>
      </c>
      <c r="J424" s="55"/>
    </row>
    <row r="425" spans="1:10" ht="12.75" customHeight="1" x14ac:dyDescent="0.2">
      <c r="A425" s="50">
        <f t="array" ref="A425">+INDEX(Partidas!$A:$J,MATCH('Resultados dashboard'!$B425,Partidas!$C:$C,0),2)</f>
        <v>45419</v>
      </c>
      <c r="B425" s="56">
        <f>+IF(COUNTIF($B$2:B424,B424)=VLOOKUP(B424,Partidas!$C:$J,8,0),B424+1,B424)</f>
        <v>92</v>
      </c>
      <c r="C425" s="41" t="str">
        <f t="array" ref="C425">+INDEX(Partidas!$A:$J,MATCH('Resultados dashboard'!$B425,Partidas!$C:$C,0),3+COUNTIF($B$2:B425,'Resultados dashboard'!$B425))</f>
        <v>Rodri</v>
      </c>
      <c r="D425" s="54">
        <v>7</v>
      </c>
      <c r="E425" s="54">
        <v>1</v>
      </c>
      <c r="F425" s="53"/>
      <c r="G425" s="54">
        <v>1</v>
      </c>
      <c r="H425" s="38">
        <f t="shared" si="2"/>
        <v>10</v>
      </c>
      <c r="I425" s="38">
        <f t="shared" si="3"/>
        <v>1</v>
      </c>
      <c r="J425" s="55"/>
    </row>
    <row r="426" spans="1:10" ht="12.75" customHeight="1" x14ac:dyDescent="0.2">
      <c r="A426" s="50">
        <f t="array" ref="A426">+INDEX(Partidas!$A:$J,MATCH('Resultados dashboard'!$B426,Partidas!$C:$C,0),2)</f>
        <v>45419</v>
      </c>
      <c r="B426" s="56">
        <f>+IF(COUNTIF($B$2:B425,B425)=VLOOKUP(B425,Partidas!$C:$J,8,0),B425+1,B425)</f>
        <v>93</v>
      </c>
      <c r="C426" s="41" t="str">
        <f t="array" ref="C426">+INDEX(Partidas!$A:$J,MATCH('Resultados dashboard'!$B426,Partidas!$C:$C,0),3+COUNTIF($B$2:B426,'Resultados dashboard'!$B426))</f>
        <v>Ivo</v>
      </c>
      <c r="D426" s="54">
        <v>5</v>
      </c>
      <c r="E426" s="54">
        <v>1</v>
      </c>
      <c r="F426" s="53"/>
      <c r="G426" s="53"/>
      <c r="H426" s="38">
        <f t="shared" si="2"/>
        <v>6</v>
      </c>
      <c r="I426" s="38">
        <f t="shared" si="3"/>
        <v>2</v>
      </c>
      <c r="J426" s="55"/>
    </row>
    <row r="427" spans="1:10" ht="12.75" customHeight="1" x14ac:dyDescent="0.2">
      <c r="A427" s="50">
        <f t="array" ref="A427">+INDEX(Partidas!$A:$J,MATCH('Resultados dashboard'!$B427,Partidas!$C:$C,0),2)</f>
        <v>45419</v>
      </c>
      <c r="B427" s="56">
        <f>+IF(COUNTIF($B$2:B426,B426)=VLOOKUP(B426,Partidas!$C:$J,8,0),B426+1,B426)</f>
        <v>93</v>
      </c>
      <c r="C427" s="41" t="str">
        <f t="array" ref="C427">+INDEX(Partidas!$A:$J,MATCH('Resultados dashboard'!$B427,Partidas!$C:$C,0),3+COUNTIF($B$2:B427,'Resultados dashboard'!$B427))</f>
        <v>Max</v>
      </c>
      <c r="D427" s="54">
        <v>4</v>
      </c>
      <c r="E427" s="53"/>
      <c r="F427" s="53"/>
      <c r="G427" s="53"/>
      <c r="H427" s="38">
        <f t="shared" si="2"/>
        <v>4</v>
      </c>
      <c r="I427" s="38">
        <f t="shared" si="3"/>
        <v>3</v>
      </c>
      <c r="J427" s="55"/>
    </row>
    <row r="428" spans="1:10" ht="12.75" customHeight="1" x14ac:dyDescent="0.2">
      <c r="A428" s="50">
        <f t="array" ref="A428">+INDEX(Partidas!$A:$J,MATCH('Resultados dashboard'!$B428,Partidas!$C:$C,0),2)</f>
        <v>45419</v>
      </c>
      <c r="B428" s="56">
        <f>+IF(COUNTIF($B$2:B427,B427)=VLOOKUP(B427,Partidas!$C:$J,8,0),B427+1,B427)</f>
        <v>93</v>
      </c>
      <c r="C428" s="41" t="str">
        <f t="array" ref="C428">+INDEX(Partidas!$A:$J,MATCH('Resultados dashboard'!$B428,Partidas!$C:$C,0),3+COUNTIF($B$2:B428,'Resultados dashboard'!$B428))</f>
        <v>Hugo</v>
      </c>
      <c r="D428" s="54">
        <v>3</v>
      </c>
      <c r="E428" s="54">
        <v>1</v>
      </c>
      <c r="F428" s="53"/>
      <c r="G428" s="53"/>
      <c r="H428" s="38">
        <f t="shared" si="2"/>
        <v>4</v>
      </c>
      <c r="I428" s="38">
        <f t="shared" si="3"/>
        <v>3</v>
      </c>
      <c r="J428" s="55"/>
    </row>
    <row r="429" spans="1:10" ht="12.75" customHeight="1" x14ac:dyDescent="0.2">
      <c r="A429" s="50">
        <f t="array" ref="A429">+INDEX(Partidas!$A:$J,MATCH('Resultados dashboard'!$B429,Partidas!$C:$C,0),2)</f>
        <v>45419</v>
      </c>
      <c r="B429" s="56">
        <f>+IF(COUNTIF($B$2:B428,B428)=VLOOKUP(B428,Partidas!$C:$J,8,0),B428+1,B428)</f>
        <v>93</v>
      </c>
      <c r="C429" s="41" t="str">
        <f t="array" ref="C429">+INDEX(Partidas!$A:$J,MATCH('Resultados dashboard'!$B429,Partidas!$C:$C,0),3+COUNTIF($B$2:B429,'Resultados dashboard'!$B429))</f>
        <v>Rodri</v>
      </c>
      <c r="D429" s="54">
        <v>5</v>
      </c>
      <c r="E429" s="54">
        <v>1</v>
      </c>
      <c r="F429" s="54">
        <v>1</v>
      </c>
      <c r="G429" s="54">
        <v>1</v>
      </c>
      <c r="H429" s="38">
        <f t="shared" si="2"/>
        <v>10</v>
      </c>
      <c r="I429" s="38">
        <f t="shared" si="3"/>
        <v>1</v>
      </c>
      <c r="J429" s="55"/>
    </row>
    <row r="430" spans="1:10" ht="12.75" customHeight="1" x14ac:dyDescent="0.2">
      <c r="A430" s="50">
        <f t="array" ref="A430">+INDEX(Partidas!$A:$J,MATCH('Resultados dashboard'!$B430,Partidas!$C:$C,0),2)</f>
        <v>45427</v>
      </c>
      <c r="B430" s="56">
        <f>+IF(COUNTIF($B$2:B429,B429)=VLOOKUP(B429,Partidas!$C:$J,8,0),B429+1,B429)</f>
        <v>94</v>
      </c>
      <c r="C430" s="41" t="str">
        <f t="array" ref="C430">+INDEX(Partidas!$A:$J,MATCH('Resultados dashboard'!$B430,Partidas!$C:$C,0),3+COUNTIF($B$2:B430,'Resultados dashboard'!$B430))</f>
        <v>Ivo</v>
      </c>
      <c r="D430" s="54">
        <v>6</v>
      </c>
      <c r="E430" s="53"/>
      <c r="F430" s="53"/>
      <c r="G430" s="54">
        <v>1</v>
      </c>
      <c r="H430" s="38">
        <f t="shared" si="2"/>
        <v>8</v>
      </c>
      <c r="I430" s="38">
        <f t="shared" si="3"/>
        <v>2</v>
      </c>
      <c r="J430" s="55"/>
    </row>
    <row r="431" spans="1:10" ht="12.75" customHeight="1" x14ac:dyDescent="0.2">
      <c r="A431" s="50">
        <f t="array" ref="A431">+INDEX(Partidas!$A:$J,MATCH('Resultados dashboard'!$B431,Partidas!$C:$C,0),2)</f>
        <v>45427</v>
      </c>
      <c r="B431" s="56">
        <f>+IF(COUNTIF($B$2:B430,B430)=VLOOKUP(B430,Partidas!$C:$J,8,0),B430+1,B430)</f>
        <v>94</v>
      </c>
      <c r="C431" s="41" t="str">
        <f t="array" ref="C431">+INDEX(Partidas!$A:$J,MATCH('Resultados dashboard'!$B431,Partidas!$C:$C,0),3+COUNTIF($B$2:B431,'Resultados dashboard'!$B431))</f>
        <v>Max</v>
      </c>
      <c r="D431" s="54">
        <v>9</v>
      </c>
      <c r="E431" s="54">
        <v>1</v>
      </c>
      <c r="F431" s="53"/>
      <c r="G431" s="53"/>
      <c r="H431" s="38">
        <f t="shared" si="2"/>
        <v>10</v>
      </c>
      <c r="I431" s="38">
        <f t="shared" si="3"/>
        <v>1</v>
      </c>
      <c r="J431" s="55"/>
    </row>
    <row r="432" spans="1:10" ht="12.75" customHeight="1" x14ac:dyDescent="0.2">
      <c r="A432" s="50">
        <f t="array" ref="A432">+INDEX(Partidas!$A:$J,MATCH('Resultados dashboard'!$B432,Partidas!$C:$C,0),2)</f>
        <v>45427</v>
      </c>
      <c r="B432" s="56">
        <f>+IF(COUNTIF($B$2:B431,B431)=VLOOKUP(B431,Partidas!$C:$J,8,0),B431+1,B431)</f>
        <v>94</v>
      </c>
      <c r="C432" s="41" t="str">
        <f t="array" ref="C432">+INDEX(Partidas!$A:$J,MATCH('Resultados dashboard'!$B432,Partidas!$C:$C,0),3+COUNTIF($B$2:B432,'Resultados dashboard'!$B432))</f>
        <v>Hugo</v>
      </c>
      <c r="D432" s="54">
        <v>6</v>
      </c>
      <c r="E432" s="53"/>
      <c r="F432" s="53"/>
      <c r="G432" s="53"/>
      <c r="H432" s="38">
        <f t="shared" si="2"/>
        <v>6</v>
      </c>
      <c r="I432" s="38">
        <f t="shared" si="3"/>
        <v>4</v>
      </c>
      <c r="J432" s="55"/>
    </row>
    <row r="433" spans="1:10" ht="12.75" customHeight="1" x14ac:dyDescent="0.2">
      <c r="A433" s="50">
        <f t="array" ref="A433">+INDEX(Partidas!$A:$J,MATCH('Resultados dashboard'!$B433,Partidas!$C:$C,0),2)</f>
        <v>45427</v>
      </c>
      <c r="B433" s="56">
        <f>+IF(COUNTIF($B$2:B432,B432)=VLOOKUP(B432,Partidas!$C:$J,8,0),B432+1,B432)</f>
        <v>94</v>
      </c>
      <c r="C433" s="41" t="str">
        <f t="array" ref="C433">+INDEX(Partidas!$A:$J,MATCH('Resultados dashboard'!$B433,Partidas!$C:$C,0),3+COUNTIF($B$2:B433,'Resultados dashboard'!$B433))</f>
        <v>Gaspa</v>
      </c>
      <c r="D433" s="54">
        <v>4</v>
      </c>
      <c r="E433" s="53"/>
      <c r="F433" s="53"/>
      <c r="G433" s="53"/>
      <c r="H433" s="38">
        <f t="shared" si="2"/>
        <v>4</v>
      </c>
      <c r="I433" s="38">
        <f t="shared" si="3"/>
        <v>5</v>
      </c>
      <c r="J433" s="55"/>
    </row>
    <row r="434" spans="1:10" ht="12.75" customHeight="1" x14ac:dyDescent="0.2">
      <c r="A434" s="50">
        <f t="array" ref="A434">+INDEX(Partidas!$A:$J,MATCH('Resultados dashboard'!$B434,Partidas!$C:$C,0),2)</f>
        <v>45427</v>
      </c>
      <c r="B434" s="56">
        <f>+IF(COUNTIF($B$2:B433,B433)=VLOOKUP(B433,Partidas!$C:$J,8,0),B433+1,B433)</f>
        <v>94</v>
      </c>
      <c r="C434" s="41" t="str">
        <f t="array" ref="C434">+INDEX(Partidas!$A:$J,MATCH('Resultados dashboard'!$B434,Partidas!$C:$C,0),3+COUNTIF($B$2:B434,'Resultados dashboard'!$B434))</f>
        <v>Rodri</v>
      </c>
      <c r="D434" s="54">
        <v>5</v>
      </c>
      <c r="E434" s="54">
        <v>1</v>
      </c>
      <c r="F434" s="54">
        <v>1</v>
      </c>
      <c r="G434" s="53"/>
      <c r="H434" s="38">
        <f t="shared" si="2"/>
        <v>8</v>
      </c>
      <c r="I434" s="38">
        <f t="shared" si="3"/>
        <v>2</v>
      </c>
      <c r="J434" s="55"/>
    </row>
    <row r="435" spans="1:10" ht="12.75" customHeight="1" x14ac:dyDescent="0.2">
      <c r="A435" s="50">
        <f t="array" ref="A435">+INDEX(Partidas!$A:$J,MATCH('Resultados dashboard'!$B435,Partidas!$C:$C,0),2)</f>
        <v>45427</v>
      </c>
      <c r="B435" s="56">
        <f>+IF(COUNTIF($B$2:B434,B434)=VLOOKUP(B434,Partidas!$C:$J,8,0),B434+1,B434)</f>
        <v>95</v>
      </c>
      <c r="C435" s="41" t="str">
        <f t="array" ref="C435">+INDEX(Partidas!$A:$J,MATCH('Resultados dashboard'!$B435,Partidas!$C:$C,0),3+COUNTIF($B$2:B435,'Resultados dashboard'!$B435))</f>
        <v>Ivo</v>
      </c>
      <c r="D435" s="54">
        <v>4</v>
      </c>
      <c r="E435" s="53"/>
      <c r="F435" s="53"/>
      <c r="G435" s="53"/>
      <c r="H435" s="38">
        <f t="shared" si="2"/>
        <v>4</v>
      </c>
      <c r="I435" s="38">
        <f t="shared" si="3"/>
        <v>2</v>
      </c>
      <c r="J435" s="55"/>
    </row>
    <row r="436" spans="1:10" ht="12.75" customHeight="1" x14ac:dyDescent="0.2">
      <c r="A436" s="50">
        <f t="array" ref="A436">+INDEX(Partidas!$A:$J,MATCH('Resultados dashboard'!$B436,Partidas!$C:$C,0),2)</f>
        <v>45427</v>
      </c>
      <c r="B436" s="56">
        <f>+IF(COUNTIF($B$2:B435,B435)=VLOOKUP(B435,Partidas!$C:$J,8,0),B435+1,B435)</f>
        <v>95</v>
      </c>
      <c r="C436" s="41" t="str">
        <f t="array" ref="C436">+INDEX(Partidas!$A:$J,MATCH('Resultados dashboard'!$B436,Partidas!$C:$C,0),3+COUNTIF($B$2:B436,'Resultados dashboard'!$B436))</f>
        <v>Max</v>
      </c>
      <c r="D436" s="54">
        <v>4</v>
      </c>
      <c r="E436" s="53"/>
      <c r="F436" s="53"/>
      <c r="G436" s="53"/>
      <c r="H436" s="38">
        <f t="shared" si="2"/>
        <v>4</v>
      </c>
      <c r="I436" s="38">
        <f t="shared" si="3"/>
        <v>2</v>
      </c>
      <c r="J436" s="55"/>
    </row>
    <row r="437" spans="1:10" ht="12.75" customHeight="1" x14ac:dyDescent="0.2">
      <c r="A437" s="50">
        <f t="array" ref="A437">+INDEX(Partidas!$A:$J,MATCH('Resultados dashboard'!$B437,Partidas!$C:$C,0),2)</f>
        <v>45427</v>
      </c>
      <c r="B437" s="56">
        <f>+IF(COUNTIF($B$2:B436,B436)=VLOOKUP(B436,Partidas!$C:$J,8,0),B436+1,B436)</f>
        <v>95</v>
      </c>
      <c r="C437" s="41" t="str">
        <f t="array" ref="C437">+INDEX(Partidas!$A:$J,MATCH('Resultados dashboard'!$B437,Partidas!$C:$C,0),3+COUNTIF($B$2:B437,'Resultados dashboard'!$B437))</f>
        <v>Hugo</v>
      </c>
      <c r="D437" s="54">
        <v>4</v>
      </c>
      <c r="E437" s="54">
        <v>2</v>
      </c>
      <c r="F437" s="54">
        <v>1</v>
      </c>
      <c r="G437" s="54">
        <v>1</v>
      </c>
      <c r="H437" s="38">
        <f t="shared" si="2"/>
        <v>10</v>
      </c>
      <c r="I437" s="38">
        <f t="shared" si="3"/>
        <v>1</v>
      </c>
      <c r="J437" s="55"/>
    </row>
    <row r="438" spans="1:10" ht="12.75" customHeight="1" x14ac:dyDescent="0.2">
      <c r="A438" s="50">
        <f t="array" ref="A438">+INDEX(Partidas!$A:$J,MATCH('Resultados dashboard'!$B438,Partidas!$C:$C,0),2)</f>
        <v>45427</v>
      </c>
      <c r="B438" s="56">
        <f>+IF(COUNTIF($B$2:B437,B437)=VLOOKUP(B437,Partidas!$C:$J,8,0),B437+1,B437)</f>
        <v>95</v>
      </c>
      <c r="C438" s="41" t="str">
        <f t="array" ref="C438">+INDEX(Partidas!$A:$J,MATCH('Resultados dashboard'!$B438,Partidas!$C:$C,0),3+COUNTIF($B$2:B438,'Resultados dashboard'!$B438))</f>
        <v>Gaspa</v>
      </c>
      <c r="D438" s="54">
        <v>3</v>
      </c>
      <c r="E438" s="53"/>
      <c r="F438" s="53"/>
      <c r="G438" s="53"/>
      <c r="H438" s="38">
        <f t="shared" si="2"/>
        <v>3</v>
      </c>
      <c r="I438" s="38">
        <f t="shared" si="3"/>
        <v>5</v>
      </c>
      <c r="J438" s="55"/>
    </row>
    <row r="439" spans="1:10" ht="12.75" customHeight="1" x14ac:dyDescent="0.2">
      <c r="A439" s="50">
        <f t="array" ref="A439">+INDEX(Partidas!$A:$J,MATCH('Resultados dashboard'!$B439,Partidas!$C:$C,0),2)</f>
        <v>45427</v>
      </c>
      <c r="B439" s="56">
        <f>+IF(COUNTIF($B$2:B438,B438)=VLOOKUP(B438,Partidas!$C:$J,8,0),B438+1,B438)</f>
        <v>95</v>
      </c>
      <c r="C439" s="41" t="str">
        <f t="array" ref="C439">+INDEX(Partidas!$A:$J,MATCH('Resultados dashboard'!$B439,Partidas!$C:$C,0),3+COUNTIF($B$2:B439,'Resultados dashboard'!$B439))</f>
        <v>Rodri</v>
      </c>
      <c r="D439" s="54">
        <v>4</v>
      </c>
      <c r="E439" s="53"/>
      <c r="F439" s="53"/>
      <c r="G439" s="53"/>
      <c r="H439" s="38">
        <f t="shared" si="2"/>
        <v>4</v>
      </c>
      <c r="I439" s="38">
        <f t="shared" si="3"/>
        <v>2</v>
      </c>
      <c r="J439" s="55"/>
    </row>
    <row r="440" spans="1:10" ht="12.75" customHeight="1" x14ac:dyDescent="0.2">
      <c r="A440" s="50">
        <f t="array" ref="A440">+INDEX(Partidas!$A:$J,MATCH('Resultados dashboard'!$B440,Partidas!$C:$C,0),2)</f>
        <v>45427</v>
      </c>
      <c r="B440" s="56">
        <f>+IF(COUNTIF($B$2:B439,B439)=VLOOKUP(B439,Partidas!$C:$J,8,0),B439+1,B439)</f>
        <v>96</v>
      </c>
      <c r="C440" s="41" t="str">
        <f t="array" ref="C440">+INDEX(Partidas!$A:$J,MATCH('Resultados dashboard'!$B440,Partidas!$C:$C,0),3+COUNTIF($B$2:B440,'Resultados dashboard'!$B440))</f>
        <v>Ivo</v>
      </c>
      <c r="D440" s="54">
        <v>4</v>
      </c>
      <c r="E440" s="53"/>
      <c r="F440" s="53"/>
      <c r="G440" s="53"/>
      <c r="H440" s="38">
        <f t="shared" si="2"/>
        <v>4</v>
      </c>
      <c r="I440" s="38">
        <f t="shared" si="3"/>
        <v>4</v>
      </c>
      <c r="J440" s="55"/>
    </row>
    <row r="441" spans="1:10" ht="12.75" customHeight="1" x14ac:dyDescent="0.2">
      <c r="A441" s="50">
        <f t="array" ref="A441">+INDEX(Partidas!$A:$J,MATCH('Resultados dashboard'!$B441,Partidas!$C:$C,0),2)</f>
        <v>45427</v>
      </c>
      <c r="B441" s="56">
        <f>+IF(COUNTIF($B$2:B440,B440)=VLOOKUP(B440,Partidas!$C:$J,8,0),B440+1,B440)</f>
        <v>96</v>
      </c>
      <c r="C441" s="41" t="str">
        <f t="array" ref="C441">+INDEX(Partidas!$A:$J,MATCH('Resultados dashboard'!$B441,Partidas!$C:$C,0),3+COUNTIF($B$2:B441,'Resultados dashboard'!$B441))</f>
        <v>Max</v>
      </c>
      <c r="D441" s="54">
        <v>7</v>
      </c>
      <c r="E441" s="53"/>
      <c r="F441" s="53"/>
      <c r="G441" s="53"/>
      <c r="H441" s="38">
        <f t="shared" si="2"/>
        <v>7</v>
      </c>
      <c r="I441" s="38">
        <f t="shared" si="3"/>
        <v>2</v>
      </c>
      <c r="J441" s="55"/>
    </row>
    <row r="442" spans="1:10" ht="12.75" customHeight="1" x14ac:dyDescent="0.2">
      <c r="A442" s="50">
        <f t="array" ref="A442">+INDEX(Partidas!$A:$J,MATCH('Resultados dashboard'!$B442,Partidas!$C:$C,0),2)</f>
        <v>45427</v>
      </c>
      <c r="B442" s="56">
        <f>+IF(COUNTIF($B$2:B441,B441)=VLOOKUP(B441,Partidas!$C:$J,8,0),B441+1,B441)</f>
        <v>96</v>
      </c>
      <c r="C442" s="41" t="str">
        <f t="array" ref="C442">+INDEX(Partidas!$A:$J,MATCH('Resultados dashboard'!$B442,Partidas!$C:$C,0),3+COUNTIF($B$2:B442,'Resultados dashboard'!$B442))</f>
        <v>Hugo</v>
      </c>
      <c r="D442" s="54">
        <v>4</v>
      </c>
      <c r="E442" s="53"/>
      <c r="F442" s="53"/>
      <c r="G442" s="53"/>
      <c r="H442" s="38">
        <f t="shared" si="2"/>
        <v>4</v>
      </c>
      <c r="I442" s="38">
        <f t="shared" si="3"/>
        <v>4</v>
      </c>
      <c r="J442" s="55"/>
    </row>
    <row r="443" spans="1:10" ht="12.75" customHeight="1" x14ac:dyDescent="0.2">
      <c r="A443" s="50">
        <f t="array" ref="A443">+INDEX(Partidas!$A:$J,MATCH('Resultados dashboard'!$B443,Partidas!$C:$C,0),2)</f>
        <v>45427</v>
      </c>
      <c r="B443" s="56">
        <f>+IF(COUNTIF($B$2:B442,B442)=VLOOKUP(B442,Partidas!$C:$J,8,0),B442+1,B442)</f>
        <v>96</v>
      </c>
      <c r="C443" s="41" t="str">
        <f t="array" ref="C443">+INDEX(Partidas!$A:$J,MATCH('Resultados dashboard'!$B443,Partidas!$C:$C,0),3+COUNTIF($B$2:B443,'Resultados dashboard'!$B443))</f>
        <v>Gaspa</v>
      </c>
      <c r="D443" s="54">
        <v>4</v>
      </c>
      <c r="E443" s="54">
        <v>1</v>
      </c>
      <c r="F443" s="53"/>
      <c r="G443" s="53"/>
      <c r="H443" s="38">
        <f t="shared" si="2"/>
        <v>5</v>
      </c>
      <c r="I443" s="38">
        <f t="shared" si="3"/>
        <v>3</v>
      </c>
      <c r="J443" s="55"/>
    </row>
    <row r="444" spans="1:10" ht="12.75" customHeight="1" x14ac:dyDescent="0.2">
      <c r="A444" s="50">
        <f t="array" ref="A444">+INDEX(Partidas!$A:$J,MATCH('Resultados dashboard'!$B444,Partidas!$C:$C,0),2)</f>
        <v>45427</v>
      </c>
      <c r="B444" s="56">
        <f>+IF(COUNTIF($B$2:B443,B443)=VLOOKUP(B443,Partidas!$C:$J,8,0),B443+1,B443)</f>
        <v>96</v>
      </c>
      <c r="C444" s="41" t="str">
        <f t="array" ref="C444">+INDEX(Partidas!$A:$J,MATCH('Resultados dashboard'!$B444,Partidas!$C:$C,0),3+COUNTIF($B$2:B444,'Resultados dashboard'!$B444))</f>
        <v>Rodri</v>
      </c>
      <c r="D444" s="54">
        <v>8</v>
      </c>
      <c r="E444" s="53"/>
      <c r="F444" s="53"/>
      <c r="G444" s="54">
        <v>1</v>
      </c>
      <c r="H444" s="38">
        <f t="shared" si="2"/>
        <v>10</v>
      </c>
      <c r="I444" s="38">
        <f t="shared" si="3"/>
        <v>1</v>
      </c>
      <c r="J444" s="55"/>
    </row>
    <row r="445" spans="1:10" ht="12.75" customHeight="1" x14ac:dyDescent="0.2">
      <c r="A445" s="50">
        <f t="array" ref="A445">+INDEX(Partidas!$A:$J,MATCH('Resultados dashboard'!$B445,Partidas!$C:$C,0),2)</f>
        <v>45435</v>
      </c>
      <c r="B445" s="56">
        <f>+IF(COUNTIF($B$2:B444,B444)=VLOOKUP(B444,Partidas!$C:$J,8,0),B444+1,B444)</f>
        <v>97</v>
      </c>
      <c r="C445" s="41" t="str">
        <f t="array" ref="C445">+INDEX(Partidas!$A:$J,MATCH('Resultados dashboard'!$B445,Partidas!$C:$C,0),3+COUNTIF($B$2:B445,'Resultados dashboard'!$B445))</f>
        <v>Gallo</v>
      </c>
      <c r="D445" s="54">
        <v>7</v>
      </c>
      <c r="E445" s="54">
        <v>1</v>
      </c>
      <c r="F445" s="54">
        <v>1</v>
      </c>
      <c r="G445" s="53"/>
      <c r="H445" s="38">
        <f t="shared" si="2"/>
        <v>10</v>
      </c>
      <c r="I445" s="38">
        <f t="shared" si="3"/>
        <v>1</v>
      </c>
      <c r="J445" s="55"/>
    </row>
    <row r="446" spans="1:10" ht="12.75" customHeight="1" x14ac:dyDescent="0.2">
      <c r="A446" s="50">
        <f t="array" ref="A446">+INDEX(Partidas!$A:$J,MATCH('Resultados dashboard'!$B446,Partidas!$C:$C,0),2)</f>
        <v>45435</v>
      </c>
      <c r="B446" s="56">
        <f>+IF(COUNTIF($B$2:B445,B445)=VLOOKUP(B445,Partidas!$C:$J,8,0),B445+1,B445)</f>
        <v>97</v>
      </c>
      <c r="C446" s="41" t="str">
        <f t="array" ref="C446">+INDEX(Partidas!$A:$J,MATCH('Resultados dashboard'!$B446,Partidas!$C:$C,0),3+COUNTIF($B$2:B446,'Resultados dashboard'!$B446))</f>
        <v>Ivo</v>
      </c>
      <c r="D446" s="54">
        <v>5</v>
      </c>
      <c r="E446" s="54">
        <v>1</v>
      </c>
      <c r="F446" s="53"/>
      <c r="G446" s="54">
        <v>1</v>
      </c>
      <c r="H446" s="38">
        <f t="shared" si="2"/>
        <v>8</v>
      </c>
      <c r="I446" s="38">
        <f t="shared" si="3"/>
        <v>3</v>
      </c>
      <c r="J446" s="55"/>
    </row>
    <row r="447" spans="1:10" ht="12.75" customHeight="1" x14ac:dyDescent="0.2">
      <c r="A447" s="50">
        <f t="array" ref="A447">+INDEX(Partidas!$A:$J,MATCH('Resultados dashboard'!$B447,Partidas!$C:$C,0),2)</f>
        <v>45435</v>
      </c>
      <c r="B447" s="56">
        <f>+IF(COUNTIF($B$2:B446,B446)=VLOOKUP(B446,Partidas!$C:$J,8,0),B446+1,B446)</f>
        <v>97</v>
      </c>
      <c r="C447" s="41" t="str">
        <f t="array" ref="C447">+INDEX(Partidas!$A:$J,MATCH('Resultados dashboard'!$B447,Partidas!$C:$C,0),3+COUNTIF($B$2:B447,'Resultados dashboard'!$B447))</f>
        <v>Hugo</v>
      </c>
      <c r="D447" s="54">
        <v>4</v>
      </c>
      <c r="E447" s="54">
        <v>1</v>
      </c>
      <c r="F447" s="53"/>
      <c r="G447" s="53"/>
      <c r="H447" s="38">
        <f t="shared" si="2"/>
        <v>5</v>
      </c>
      <c r="I447" s="38">
        <f t="shared" si="3"/>
        <v>4</v>
      </c>
      <c r="J447" s="55"/>
    </row>
    <row r="448" spans="1:10" ht="12.75" customHeight="1" x14ac:dyDescent="0.2">
      <c r="A448" s="50">
        <f t="array" ref="A448">+INDEX(Partidas!$A:$J,MATCH('Resultados dashboard'!$B448,Partidas!$C:$C,0),2)</f>
        <v>45435</v>
      </c>
      <c r="B448" s="56">
        <f>+IF(COUNTIF($B$2:B447,B447)=VLOOKUP(B447,Partidas!$C:$J,8,0),B447+1,B447)</f>
        <v>97</v>
      </c>
      <c r="C448" s="41" t="str">
        <f t="array" ref="C448">+INDEX(Partidas!$A:$J,MATCH('Resultados dashboard'!$B448,Partidas!$C:$C,0),3+COUNTIF($B$2:B448,'Resultados dashboard'!$B448))</f>
        <v>Rodri</v>
      </c>
      <c r="D448" s="54">
        <v>8</v>
      </c>
      <c r="E448" s="54">
        <v>1</v>
      </c>
      <c r="F448" s="53"/>
      <c r="G448" s="53"/>
      <c r="H448" s="38">
        <f t="shared" si="2"/>
        <v>9</v>
      </c>
      <c r="I448" s="38">
        <f t="shared" si="3"/>
        <v>2</v>
      </c>
      <c r="J448" s="55"/>
    </row>
    <row r="449" spans="1:10" ht="12.75" customHeight="1" x14ac:dyDescent="0.2">
      <c r="A449" s="50">
        <f t="array" ref="A449">+INDEX(Partidas!$A:$J,MATCH('Resultados dashboard'!$B449,Partidas!$C:$C,0),2)</f>
        <v>45435</v>
      </c>
      <c r="B449" s="56">
        <f>+IF(COUNTIF($B$2:B448,B448)=VLOOKUP(B448,Partidas!$C:$J,8,0),B448+1,B448)</f>
        <v>98</v>
      </c>
      <c r="C449" s="41" t="str">
        <f t="array" ref="C449">+INDEX(Partidas!$A:$J,MATCH('Resultados dashboard'!$B449,Partidas!$C:$C,0),3+COUNTIF($B$2:B449,'Resultados dashboard'!$B449))</f>
        <v>Gallo</v>
      </c>
      <c r="D449" s="54">
        <v>6</v>
      </c>
      <c r="E449" s="53"/>
      <c r="F449" s="53"/>
      <c r="G449" s="53"/>
      <c r="H449" s="38">
        <f t="shared" si="2"/>
        <v>6</v>
      </c>
      <c r="I449" s="38">
        <f t="shared" si="3"/>
        <v>3</v>
      </c>
      <c r="J449" s="55"/>
    </row>
    <row r="450" spans="1:10" ht="12.75" customHeight="1" x14ac:dyDescent="0.2">
      <c r="A450" s="50">
        <f t="array" ref="A450">+INDEX(Partidas!$A:$J,MATCH('Resultados dashboard'!$B450,Partidas!$C:$C,0),2)</f>
        <v>45435</v>
      </c>
      <c r="B450" s="56">
        <f>+IF(COUNTIF($B$2:B449,B449)=VLOOKUP(B449,Partidas!$C:$J,8,0),B449+1,B449)</f>
        <v>98</v>
      </c>
      <c r="C450" s="41" t="str">
        <f t="array" ref="C450">+INDEX(Partidas!$A:$J,MATCH('Resultados dashboard'!$B450,Partidas!$C:$C,0),3+COUNTIF($B$2:B450,'Resultados dashboard'!$B450))</f>
        <v>Ivo</v>
      </c>
      <c r="D450" s="54">
        <v>7</v>
      </c>
      <c r="E450" s="54">
        <v>1</v>
      </c>
      <c r="F450" s="53"/>
      <c r="G450" s="54">
        <v>1</v>
      </c>
      <c r="H450" s="38">
        <f t="shared" si="2"/>
        <v>10</v>
      </c>
      <c r="I450" s="38">
        <f t="shared" si="3"/>
        <v>1</v>
      </c>
      <c r="J450" s="55"/>
    </row>
    <row r="451" spans="1:10" ht="12.75" customHeight="1" x14ac:dyDescent="0.2">
      <c r="A451" s="50">
        <f t="array" ref="A451">+INDEX(Partidas!$A:$J,MATCH('Resultados dashboard'!$B451,Partidas!$C:$C,0),2)</f>
        <v>45435</v>
      </c>
      <c r="B451" s="56">
        <f>+IF(COUNTIF($B$2:B450,B450)=VLOOKUP(B450,Partidas!$C:$J,8,0),B450+1,B450)</f>
        <v>98</v>
      </c>
      <c r="C451" s="41" t="str">
        <f t="array" ref="C451">+INDEX(Partidas!$A:$J,MATCH('Resultados dashboard'!$B451,Partidas!$C:$C,0),3+COUNTIF($B$2:B451,'Resultados dashboard'!$B451))</f>
        <v>Hugo</v>
      </c>
      <c r="D451" s="54">
        <v>6</v>
      </c>
      <c r="E451" s="53"/>
      <c r="F451" s="54">
        <v>1</v>
      </c>
      <c r="G451" s="53"/>
      <c r="H451" s="38">
        <f t="shared" si="2"/>
        <v>8</v>
      </c>
      <c r="I451" s="38">
        <f t="shared" si="3"/>
        <v>2</v>
      </c>
      <c r="J451" s="55"/>
    </row>
    <row r="452" spans="1:10" ht="12.75" customHeight="1" x14ac:dyDescent="0.2">
      <c r="A452" s="50">
        <f t="array" ref="A452">+INDEX(Partidas!$A:$J,MATCH('Resultados dashboard'!$B452,Partidas!$C:$C,0),2)</f>
        <v>45435</v>
      </c>
      <c r="B452" s="56">
        <f>+IF(COUNTIF($B$2:B451,B451)=VLOOKUP(B451,Partidas!$C:$J,8,0),B451+1,B451)</f>
        <v>98</v>
      </c>
      <c r="C452" s="41" t="str">
        <f t="array" ref="C452">+INDEX(Partidas!$A:$J,MATCH('Resultados dashboard'!$B452,Partidas!$C:$C,0),3+COUNTIF($B$2:B452,'Resultados dashboard'!$B452))</f>
        <v>Rodri</v>
      </c>
      <c r="D452" s="54">
        <v>6</v>
      </c>
      <c r="E452" s="53"/>
      <c r="F452" s="53"/>
      <c r="G452" s="53"/>
      <c r="H452" s="38">
        <f t="shared" si="2"/>
        <v>6</v>
      </c>
      <c r="I452" s="38">
        <f t="shared" si="3"/>
        <v>3</v>
      </c>
      <c r="J452" s="55"/>
    </row>
    <row r="453" spans="1:10" ht="12.75" customHeight="1" x14ac:dyDescent="0.2">
      <c r="A453" s="50">
        <f t="array" ref="A453">+INDEX(Partidas!$A:$J,MATCH('Resultados dashboard'!$B453,Partidas!$C:$C,0),2)</f>
        <v>45435</v>
      </c>
      <c r="B453" s="56">
        <f>+IF(COUNTIF($B$2:B452,B452)=VLOOKUP(B452,Partidas!$C:$J,8,0),B452+1,B452)</f>
        <v>99</v>
      </c>
      <c r="C453" s="41" t="str">
        <f t="array" ref="C453">+INDEX(Partidas!$A:$J,MATCH('Resultados dashboard'!$B453,Partidas!$C:$C,0),3+COUNTIF($B$2:B453,'Resultados dashboard'!$B453))</f>
        <v>Gallo</v>
      </c>
      <c r="D453" s="54">
        <v>7</v>
      </c>
      <c r="E453" s="54">
        <v>1</v>
      </c>
      <c r="F453" s="54">
        <v>1</v>
      </c>
      <c r="G453" s="53"/>
      <c r="H453" s="38">
        <f t="shared" si="2"/>
        <v>10</v>
      </c>
      <c r="I453" s="38">
        <f t="shared" si="3"/>
        <v>1</v>
      </c>
      <c r="J453" s="55"/>
    </row>
    <row r="454" spans="1:10" ht="12.75" customHeight="1" x14ac:dyDescent="0.2">
      <c r="A454" s="50">
        <f t="array" ref="A454">+INDEX(Partidas!$A:$J,MATCH('Resultados dashboard'!$B454,Partidas!$C:$C,0),2)</f>
        <v>45435</v>
      </c>
      <c r="B454" s="56">
        <f>+IF(COUNTIF($B$2:B453,B453)=VLOOKUP(B453,Partidas!$C:$J,8,0),B453+1,B453)</f>
        <v>99</v>
      </c>
      <c r="C454" s="41" t="str">
        <f t="array" ref="C454">+INDEX(Partidas!$A:$J,MATCH('Resultados dashboard'!$B454,Partidas!$C:$C,0),3+COUNTIF($B$2:B454,'Resultados dashboard'!$B454))</f>
        <v>Ivo</v>
      </c>
      <c r="D454" s="54">
        <v>5</v>
      </c>
      <c r="E454" s="53"/>
      <c r="F454" s="53"/>
      <c r="G454" s="53"/>
      <c r="H454" s="38">
        <f t="shared" si="2"/>
        <v>5</v>
      </c>
      <c r="I454" s="38">
        <f t="shared" si="3"/>
        <v>4</v>
      </c>
      <c r="J454" s="55"/>
    </row>
    <row r="455" spans="1:10" ht="12.75" customHeight="1" x14ac:dyDescent="0.2">
      <c r="A455" s="50">
        <f t="array" ref="A455">+INDEX(Partidas!$A:$J,MATCH('Resultados dashboard'!$B455,Partidas!$C:$C,0),2)</f>
        <v>45435</v>
      </c>
      <c r="B455" s="56">
        <f>+IF(COUNTIF($B$2:B454,B454)=VLOOKUP(B454,Partidas!$C:$J,8,0),B454+1,B454)</f>
        <v>99</v>
      </c>
      <c r="C455" s="41" t="str">
        <f t="array" ref="C455">+INDEX(Partidas!$A:$J,MATCH('Resultados dashboard'!$B455,Partidas!$C:$C,0),3+COUNTIF($B$2:B455,'Resultados dashboard'!$B455))</f>
        <v>Hugo</v>
      </c>
      <c r="D455" s="54">
        <v>6</v>
      </c>
      <c r="E455" s="53"/>
      <c r="F455" s="53"/>
      <c r="G455" s="53"/>
      <c r="H455" s="38">
        <f t="shared" si="2"/>
        <v>6</v>
      </c>
      <c r="I455" s="38">
        <f t="shared" si="3"/>
        <v>3</v>
      </c>
      <c r="J455" s="55"/>
    </row>
    <row r="456" spans="1:10" ht="12.75" customHeight="1" x14ac:dyDescent="0.2">
      <c r="A456" s="50">
        <f t="array" ref="A456">+INDEX(Partidas!$A:$J,MATCH('Resultados dashboard'!$B456,Partidas!$C:$C,0),2)</f>
        <v>45435</v>
      </c>
      <c r="B456" s="56">
        <f>+IF(COUNTIF($B$2:B455,B455)=VLOOKUP(B455,Partidas!$C:$J,8,0),B455+1,B455)</f>
        <v>99</v>
      </c>
      <c r="C456" s="41" t="str">
        <f t="array" ref="C456">+INDEX(Partidas!$A:$J,MATCH('Resultados dashboard'!$B456,Partidas!$C:$C,0),3+COUNTIF($B$2:B456,'Resultados dashboard'!$B456))</f>
        <v>Rodri</v>
      </c>
      <c r="D456" s="54">
        <v>5</v>
      </c>
      <c r="E456" s="53"/>
      <c r="F456" s="53"/>
      <c r="G456" s="54">
        <v>1</v>
      </c>
      <c r="H456" s="38">
        <f t="shared" si="2"/>
        <v>7</v>
      </c>
      <c r="I456" s="38">
        <f t="shared" si="3"/>
        <v>2</v>
      </c>
      <c r="J456" s="55"/>
    </row>
    <row r="457" spans="1:10" ht="12.75" customHeight="1" x14ac:dyDescent="0.2">
      <c r="A457" s="50">
        <f t="array" ref="A457">+INDEX(Partidas!$A:$J,MATCH('Resultados dashboard'!$B457,Partidas!$C:$C,0),2)</f>
        <v>45438</v>
      </c>
      <c r="B457" s="56">
        <f>+IF(COUNTIF($B$2:B456,B456)=VLOOKUP(B456,Partidas!$C:$J,8,0),B456+1,B456)</f>
        <v>100</v>
      </c>
      <c r="C457" s="41" t="str">
        <f t="array" ref="C457">+INDEX(Partidas!$A:$J,MATCH('Resultados dashboard'!$B457,Partidas!$C:$C,0),3+COUNTIF($B$2:B457,'Resultados dashboard'!$B457))</f>
        <v>Gallo</v>
      </c>
      <c r="D457" s="54">
        <v>5</v>
      </c>
      <c r="E457" s="54">
        <v>1</v>
      </c>
      <c r="F457" s="53"/>
      <c r="G457" s="53"/>
      <c r="H457" s="38">
        <f t="shared" si="2"/>
        <v>6</v>
      </c>
      <c r="I457" s="38">
        <f t="shared" si="3"/>
        <v>4</v>
      </c>
      <c r="J457" s="55"/>
    </row>
    <row r="458" spans="1:10" ht="12.75" customHeight="1" x14ac:dyDescent="0.2">
      <c r="A458" s="50">
        <f t="array" ref="A458">+INDEX(Partidas!$A:$J,MATCH('Resultados dashboard'!$B458,Partidas!$C:$C,0),2)</f>
        <v>45438</v>
      </c>
      <c r="B458" s="56">
        <f>+IF(COUNTIF($B$2:B457,B457)=VLOOKUP(B457,Partidas!$C:$J,8,0),B457+1,B457)</f>
        <v>100</v>
      </c>
      <c r="C458" s="41" t="str">
        <f t="array" ref="C458">+INDEX(Partidas!$A:$J,MATCH('Resultados dashboard'!$B458,Partidas!$C:$C,0),3+COUNTIF($B$2:B458,'Resultados dashboard'!$B458))</f>
        <v>Ivo</v>
      </c>
      <c r="D458" s="54">
        <v>5</v>
      </c>
      <c r="E458" s="54">
        <v>3</v>
      </c>
      <c r="F458" s="54">
        <v>1</v>
      </c>
      <c r="G458" s="53"/>
      <c r="H458" s="38">
        <f t="shared" si="2"/>
        <v>10</v>
      </c>
      <c r="I458" s="38">
        <f t="shared" si="3"/>
        <v>1</v>
      </c>
      <c r="J458" s="55"/>
    </row>
    <row r="459" spans="1:10" ht="12.75" customHeight="1" x14ac:dyDescent="0.2">
      <c r="A459" s="50">
        <f t="array" ref="A459">+INDEX(Partidas!$A:$J,MATCH('Resultados dashboard'!$B459,Partidas!$C:$C,0),2)</f>
        <v>45438</v>
      </c>
      <c r="B459" s="56">
        <f>+IF(COUNTIF($B$2:B458,B458)=VLOOKUP(B458,Partidas!$C:$J,8,0),B458+1,B458)</f>
        <v>100</v>
      </c>
      <c r="C459" s="41" t="str">
        <f t="array" ref="C459">+INDEX(Partidas!$A:$J,MATCH('Resultados dashboard'!$B459,Partidas!$C:$C,0),3+COUNTIF($B$2:B459,'Resultados dashboard'!$B459))</f>
        <v>Gaspa</v>
      </c>
      <c r="D459" s="54">
        <v>7</v>
      </c>
      <c r="E459" s="53"/>
      <c r="F459" s="53"/>
      <c r="G459" s="53"/>
      <c r="H459" s="38">
        <f t="shared" si="2"/>
        <v>7</v>
      </c>
      <c r="I459" s="38">
        <f t="shared" si="3"/>
        <v>3</v>
      </c>
      <c r="J459" s="55"/>
    </row>
    <row r="460" spans="1:10" ht="12.75" customHeight="1" x14ac:dyDescent="0.2">
      <c r="A460" s="50">
        <f t="array" ref="A460">+INDEX(Partidas!$A:$J,MATCH('Resultados dashboard'!$B460,Partidas!$C:$C,0),2)</f>
        <v>45438</v>
      </c>
      <c r="B460" s="56">
        <f>+IF(COUNTIF($B$2:B459,B459)=VLOOKUP(B459,Partidas!$C:$J,8,0),B459+1,B459)</f>
        <v>100</v>
      </c>
      <c r="C460" s="41" t="str">
        <f t="array" ref="C460">+INDEX(Partidas!$A:$J,MATCH('Resultados dashboard'!$B460,Partidas!$C:$C,0),3+COUNTIF($B$2:B460,'Resultados dashboard'!$B460))</f>
        <v>Max</v>
      </c>
      <c r="D460" s="54">
        <v>6</v>
      </c>
      <c r="E460" s="53"/>
      <c r="F460" s="53"/>
      <c r="G460" s="54">
        <v>1</v>
      </c>
      <c r="H460" s="38">
        <f t="shared" si="2"/>
        <v>8</v>
      </c>
      <c r="I460" s="38">
        <f t="shared" si="3"/>
        <v>2</v>
      </c>
      <c r="J460" s="55"/>
    </row>
    <row r="461" spans="1:10" ht="12.75" customHeight="1" x14ac:dyDescent="0.2">
      <c r="A461" s="50">
        <f t="array" ref="A461">+INDEX(Partidas!$A:$J,MATCH('Resultados dashboard'!$B461,Partidas!$C:$C,0),2)</f>
        <v>45438</v>
      </c>
      <c r="B461" s="56">
        <f>+IF(COUNTIF($B$2:B460,B460)=VLOOKUP(B460,Partidas!$C:$J,8,0),B460+1,B460)</f>
        <v>101</v>
      </c>
      <c r="C461" s="41" t="str">
        <f t="array" ref="C461">+INDEX(Partidas!$A:$J,MATCH('Resultados dashboard'!$B461,Partidas!$C:$C,0),3+COUNTIF($B$2:B461,'Resultados dashboard'!$B461))</f>
        <v>Gallo</v>
      </c>
      <c r="D461" s="54">
        <v>8</v>
      </c>
      <c r="E461" s="54">
        <v>1</v>
      </c>
      <c r="F461" s="53"/>
      <c r="G461" s="53"/>
      <c r="H461" s="38">
        <f t="shared" si="2"/>
        <v>9</v>
      </c>
      <c r="I461" s="38">
        <f t="shared" si="3"/>
        <v>2</v>
      </c>
      <c r="J461" s="55"/>
    </row>
    <row r="462" spans="1:10" ht="12.75" customHeight="1" x14ac:dyDescent="0.2">
      <c r="A462" s="50">
        <f t="array" ref="A462">+INDEX(Partidas!$A:$J,MATCH('Resultados dashboard'!$B462,Partidas!$C:$C,0),2)</f>
        <v>45438</v>
      </c>
      <c r="B462" s="56">
        <f>+IF(COUNTIF($B$2:B461,B461)=VLOOKUP(B461,Partidas!$C:$J,8,0),B461+1,B461)</f>
        <v>101</v>
      </c>
      <c r="C462" s="41" t="str">
        <f t="array" ref="C462">+INDEX(Partidas!$A:$J,MATCH('Resultados dashboard'!$B462,Partidas!$C:$C,0),3+COUNTIF($B$2:B462,'Resultados dashboard'!$B462))</f>
        <v>Ivo</v>
      </c>
      <c r="D462" s="54">
        <v>6</v>
      </c>
      <c r="E462" s="54">
        <v>1</v>
      </c>
      <c r="F462" s="53"/>
      <c r="G462" s="53"/>
      <c r="H462" s="38">
        <f t="shared" si="2"/>
        <v>7</v>
      </c>
      <c r="I462" s="38">
        <f t="shared" si="3"/>
        <v>4</v>
      </c>
      <c r="J462" s="55"/>
    </row>
    <row r="463" spans="1:10" ht="12.75" customHeight="1" x14ac:dyDescent="0.2">
      <c r="A463" s="50">
        <f t="array" ref="A463">+INDEX(Partidas!$A:$J,MATCH('Resultados dashboard'!$B463,Partidas!$C:$C,0),2)</f>
        <v>45438</v>
      </c>
      <c r="B463" s="56">
        <f>+IF(COUNTIF($B$2:B462,B462)=VLOOKUP(B462,Partidas!$C:$J,8,0),B462+1,B462)</f>
        <v>101</v>
      </c>
      <c r="C463" s="41" t="str">
        <f t="array" ref="C463">+INDEX(Partidas!$A:$J,MATCH('Resultados dashboard'!$B463,Partidas!$C:$C,0),3+COUNTIF($B$2:B463,'Resultados dashboard'!$B463))</f>
        <v>Gaspa</v>
      </c>
      <c r="D463" s="54">
        <v>7</v>
      </c>
      <c r="E463" s="54">
        <v>1</v>
      </c>
      <c r="F463" s="54">
        <v>1</v>
      </c>
      <c r="G463" s="53"/>
      <c r="H463" s="38">
        <f t="shared" si="2"/>
        <v>10</v>
      </c>
      <c r="I463" s="38">
        <f t="shared" si="3"/>
        <v>1</v>
      </c>
      <c r="J463" s="55"/>
    </row>
    <row r="464" spans="1:10" ht="12.75" customHeight="1" x14ac:dyDescent="0.2">
      <c r="A464" s="50">
        <f t="array" ref="A464">+INDEX(Partidas!$A:$J,MATCH('Resultados dashboard'!$B464,Partidas!$C:$C,0),2)</f>
        <v>45438</v>
      </c>
      <c r="B464" s="56">
        <f>+IF(COUNTIF($B$2:B463,B463)=VLOOKUP(B463,Partidas!$C:$J,8,0),B463+1,B463)</f>
        <v>101</v>
      </c>
      <c r="C464" s="41" t="str">
        <f t="array" ref="C464">+INDEX(Partidas!$A:$J,MATCH('Resultados dashboard'!$B464,Partidas!$C:$C,0),3+COUNTIF($B$2:B464,'Resultados dashboard'!$B464))</f>
        <v>Max</v>
      </c>
      <c r="D464" s="54">
        <v>6</v>
      </c>
      <c r="E464" s="53"/>
      <c r="F464" s="53"/>
      <c r="G464" s="54">
        <v>1</v>
      </c>
      <c r="H464" s="38">
        <f t="shared" si="2"/>
        <v>8</v>
      </c>
      <c r="I464" s="38">
        <f t="shared" si="3"/>
        <v>3</v>
      </c>
      <c r="J464" s="55"/>
    </row>
    <row r="465" spans="1:10" ht="12.75" customHeight="1" x14ac:dyDescent="0.2">
      <c r="A465" s="50">
        <f t="array" ref="A465">+INDEX(Partidas!$A:$J,MATCH('Resultados dashboard'!$B465,Partidas!$C:$C,0),2)</f>
        <v>45438</v>
      </c>
      <c r="B465" s="56">
        <f>+IF(COUNTIF($B$2:B464,B464)=VLOOKUP(B464,Partidas!$C:$J,8,0),B464+1,B464)</f>
        <v>102</v>
      </c>
      <c r="C465" s="41" t="str">
        <f t="array" ref="C465">+INDEX(Partidas!$A:$J,MATCH('Resultados dashboard'!$B465,Partidas!$C:$C,0),3+COUNTIF($B$2:B465,'Resultados dashboard'!$B465))</f>
        <v>Gallo</v>
      </c>
      <c r="D465" s="54">
        <v>5</v>
      </c>
      <c r="E465" s="53"/>
      <c r="F465" s="54">
        <v>1</v>
      </c>
      <c r="G465" s="53"/>
      <c r="H465" s="38">
        <f t="shared" si="2"/>
        <v>7</v>
      </c>
      <c r="I465" s="38">
        <f t="shared" si="3"/>
        <v>2</v>
      </c>
      <c r="J465" s="55"/>
    </row>
    <row r="466" spans="1:10" ht="12.75" customHeight="1" x14ac:dyDescent="0.2">
      <c r="A466" s="50">
        <f t="array" ref="A466">+INDEX(Partidas!$A:$J,MATCH('Resultados dashboard'!$B466,Partidas!$C:$C,0),2)</f>
        <v>45438</v>
      </c>
      <c r="B466" s="56">
        <f>+IF(COUNTIF($B$2:B465,B465)=VLOOKUP(B465,Partidas!$C:$J,8,0),B465+1,B465)</f>
        <v>102</v>
      </c>
      <c r="C466" s="41" t="str">
        <f t="array" ref="C466">+INDEX(Partidas!$A:$J,MATCH('Resultados dashboard'!$B466,Partidas!$C:$C,0),3+COUNTIF($B$2:B466,'Resultados dashboard'!$B466))</f>
        <v>Ivo</v>
      </c>
      <c r="D466" s="54">
        <v>4</v>
      </c>
      <c r="E466" s="54">
        <v>3</v>
      </c>
      <c r="F466" s="53"/>
      <c r="G466" s="53"/>
      <c r="H466" s="38">
        <f t="shared" si="2"/>
        <v>7</v>
      </c>
      <c r="I466" s="38">
        <f t="shared" si="3"/>
        <v>2</v>
      </c>
      <c r="J466" s="55"/>
    </row>
    <row r="467" spans="1:10" ht="12.75" customHeight="1" x14ac:dyDescent="0.2">
      <c r="A467" s="50">
        <f t="array" ref="A467">+INDEX(Partidas!$A:$J,MATCH('Resultados dashboard'!$B467,Partidas!$C:$C,0),2)</f>
        <v>45438</v>
      </c>
      <c r="B467" s="56">
        <f>+IF(COUNTIF($B$2:B466,B466)=VLOOKUP(B466,Partidas!$C:$J,8,0),B466+1,B466)</f>
        <v>102</v>
      </c>
      <c r="C467" s="41" t="str">
        <f t="array" ref="C467">+INDEX(Partidas!$A:$J,MATCH('Resultados dashboard'!$B467,Partidas!$C:$C,0),3+COUNTIF($B$2:B467,'Resultados dashboard'!$B467))</f>
        <v>Gaspa</v>
      </c>
      <c r="D467" s="54">
        <v>8</v>
      </c>
      <c r="E467" s="53"/>
      <c r="F467" s="53"/>
      <c r="G467" s="54">
        <v>1</v>
      </c>
      <c r="H467" s="38">
        <f t="shared" si="2"/>
        <v>10</v>
      </c>
      <c r="I467" s="38">
        <f t="shared" si="3"/>
        <v>1</v>
      </c>
      <c r="J467" s="55"/>
    </row>
    <row r="468" spans="1:10" ht="12.75" customHeight="1" x14ac:dyDescent="0.2">
      <c r="A468" s="50">
        <f t="array" ref="A468">+INDEX(Partidas!$A:$J,MATCH('Resultados dashboard'!$B468,Partidas!$C:$C,0),2)</f>
        <v>45438</v>
      </c>
      <c r="B468" s="56">
        <f>+IF(COUNTIF($B$2:B467,B467)=VLOOKUP(B467,Partidas!$C:$J,8,0),B467+1,B467)</f>
        <v>102</v>
      </c>
      <c r="C468" s="41" t="str">
        <f t="array" ref="C468">+INDEX(Partidas!$A:$J,MATCH('Resultados dashboard'!$B468,Partidas!$C:$C,0),3+COUNTIF($B$2:B468,'Resultados dashboard'!$B468))</f>
        <v>Max</v>
      </c>
      <c r="D468" s="54">
        <v>7</v>
      </c>
      <c r="E468" s="53"/>
      <c r="F468" s="53"/>
      <c r="G468" s="53"/>
      <c r="H468" s="38">
        <f t="shared" si="2"/>
        <v>7</v>
      </c>
      <c r="I468" s="38">
        <f t="shared" si="3"/>
        <v>2</v>
      </c>
      <c r="J468" s="55"/>
    </row>
    <row r="469" spans="1:10" ht="12.75" customHeight="1" x14ac:dyDescent="0.2">
      <c r="A469" s="50">
        <f t="array" ref="A469">+INDEX(Partidas!$A:$J,MATCH('Resultados dashboard'!$B469,Partidas!$C:$C,0),2)</f>
        <v>45438</v>
      </c>
      <c r="B469" s="56">
        <f>+IF(COUNTIF($B$2:B468,B468)=VLOOKUP(B468,Partidas!$C:$J,8,0),B468+1,B468)</f>
        <v>103</v>
      </c>
      <c r="C469" s="41" t="str">
        <f t="array" ref="C469">+INDEX(Partidas!$A:$J,MATCH('Resultados dashboard'!$B469,Partidas!$C:$C,0),3+COUNTIF($B$2:B469,'Resultados dashboard'!$B469))</f>
        <v>Gallo</v>
      </c>
      <c r="D469" s="54">
        <v>6</v>
      </c>
      <c r="E469" s="53"/>
      <c r="F469" s="54">
        <v>1</v>
      </c>
      <c r="G469" s="53"/>
      <c r="H469" s="38">
        <f t="shared" si="2"/>
        <v>8</v>
      </c>
      <c r="I469" s="38">
        <f t="shared" si="3"/>
        <v>2</v>
      </c>
      <c r="J469" s="55"/>
    </row>
    <row r="470" spans="1:10" ht="12.75" customHeight="1" x14ac:dyDescent="0.2">
      <c r="A470" s="50">
        <f t="array" ref="A470">+INDEX(Partidas!$A:$J,MATCH('Resultados dashboard'!$B470,Partidas!$C:$C,0),2)</f>
        <v>45438</v>
      </c>
      <c r="B470" s="56">
        <f>+IF(COUNTIF($B$2:B469,B469)=VLOOKUP(B469,Partidas!$C:$J,8,0),B469+1,B469)</f>
        <v>103</v>
      </c>
      <c r="C470" s="41" t="str">
        <f t="array" ref="C470">+INDEX(Partidas!$A:$J,MATCH('Resultados dashboard'!$B470,Partidas!$C:$C,0),3+COUNTIF($B$2:B470,'Resultados dashboard'!$B470))</f>
        <v>Ivo</v>
      </c>
      <c r="D470" s="54">
        <v>2</v>
      </c>
      <c r="E470" s="54">
        <v>1</v>
      </c>
      <c r="F470" s="53"/>
      <c r="G470" s="53"/>
      <c r="H470" s="38">
        <f t="shared" si="2"/>
        <v>3</v>
      </c>
      <c r="I470" s="38">
        <f t="shared" si="3"/>
        <v>4</v>
      </c>
      <c r="J470" s="55"/>
    </row>
    <row r="471" spans="1:10" ht="12.75" customHeight="1" x14ac:dyDescent="0.2">
      <c r="A471" s="50">
        <f t="array" ref="A471">+INDEX(Partidas!$A:$J,MATCH('Resultados dashboard'!$B471,Partidas!$C:$C,0),2)</f>
        <v>45438</v>
      </c>
      <c r="B471" s="56">
        <f>+IF(COUNTIF($B$2:B470,B470)=VLOOKUP(B470,Partidas!$C:$J,8,0),B470+1,B470)</f>
        <v>103</v>
      </c>
      <c r="C471" s="41" t="str">
        <f t="array" ref="C471">+INDEX(Partidas!$A:$J,MATCH('Resultados dashboard'!$B471,Partidas!$C:$C,0),3+COUNTIF($B$2:B471,'Resultados dashboard'!$B471))</f>
        <v>Gaspa</v>
      </c>
      <c r="D471" s="54">
        <v>7</v>
      </c>
      <c r="E471" s="54">
        <v>1</v>
      </c>
      <c r="F471" s="53"/>
      <c r="G471" s="54">
        <v>1</v>
      </c>
      <c r="H471" s="38">
        <f t="shared" si="2"/>
        <v>10</v>
      </c>
      <c r="I471" s="38">
        <f t="shared" si="3"/>
        <v>1</v>
      </c>
      <c r="J471" s="55"/>
    </row>
    <row r="472" spans="1:10" ht="12.75" customHeight="1" x14ac:dyDescent="0.2">
      <c r="A472" s="50">
        <f t="array" ref="A472">+INDEX(Partidas!$A:$J,MATCH('Resultados dashboard'!$B472,Partidas!$C:$C,0),2)</f>
        <v>45438</v>
      </c>
      <c r="B472" s="56">
        <f>+IF(COUNTIF($B$2:B471,B471)=VLOOKUP(B471,Partidas!$C:$J,8,0),B471+1,B471)</f>
        <v>103</v>
      </c>
      <c r="C472" s="41" t="str">
        <f t="array" ref="C472">+INDEX(Partidas!$A:$J,MATCH('Resultados dashboard'!$B472,Partidas!$C:$C,0),3+COUNTIF($B$2:B472,'Resultados dashboard'!$B472))</f>
        <v>Max</v>
      </c>
      <c r="D472" s="54">
        <v>7</v>
      </c>
      <c r="E472" s="53"/>
      <c r="F472" s="53"/>
      <c r="G472" s="53"/>
      <c r="H472" s="38">
        <f t="shared" si="2"/>
        <v>7</v>
      </c>
      <c r="I472" s="38">
        <f t="shared" si="3"/>
        <v>3</v>
      </c>
      <c r="J472" s="55"/>
    </row>
    <row r="473" spans="1:10" ht="12.75" customHeight="1" x14ac:dyDescent="0.2">
      <c r="A473" s="50">
        <f t="array" ref="A473">+INDEX(Partidas!$A:$J,MATCH('Resultados dashboard'!$B473,Partidas!$C:$C,0),2)</f>
        <v>45449</v>
      </c>
      <c r="B473" s="56">
        <f>+IF(COUNTIF($B$2:B472,B472)=VLOOKUP(B472,Partidas!$C:$J,8,0),B472+1,B472)</f>
        <v>104</v>
      </c>
      <c r="C473" s="41" t="str">
        <f t="array" ref="C473">+INDEX(Partidas!$A:$J,MATCH('Resultados dashboard'!$B473,Partidas!$C:$C,0),3+COUNTIF($B$2:B473,'Resultados dashboard'!$B473))</f>
        <v>Gallo</v>
      </c>
      <c r="D473" s="54">
        <v>6</v>
      </c>
      <c r="E473" s="53"/>
      <c r="F473" s="53"/>
      <c r="G473" s="54">
        <v>1</v>
      </c>
      <c r="H473" s="38">
        <f t="shared" si="2"/>
        <v>8</v>
      </c>
      <c r="I473" s="38">
        <f t="shared" si="3"/>
        <v>2</v>
      </c>
      <c r="J473" s="55"/>
    </row>
    <row r="474" spans="1:10" ht="12.75" customHeight="1" x14ac:dyDescent="0.2">
      <c r="A474" s="50">
        <f t="array" ref="A474">+INDEX(Partidas!$A:$J,MATCH('Resultados dashboard'!$B474,Partidas!$C:$C,0),2)</f>
        <v>45449</v>
      </c>
      <c r="B474" s="56">
        <f>+IF(COUNTIF($B$2:B473,B473)=VLOOKUP(B473,Partidas!$C:$J,8,0),B473+1,B473)</f>
        <v>104</v>
      </c>
      <c r="C474" s="41" t="str">
        <f t="array" ref="C474">+INDEX(Partidas!$A:$J,MATCH('Resultados dashboard'!$B474,Partidas!$C:$C,0),3+COUNTIF($B$2:B474,'Resultados dashboard'!$B474))</f>
        <v>Ivo</v>
      </c>
      <c r="D474" s="54">
        <v>4</v>
      </c>
      <c r="E474" s="53"/>
      <c r="F474" s="53"/>
      <c r="G474" s="53"/>
      <c r="H474" s="38">
        <f t="shared" si="2"/>
        <v>4</v>
      </c>
      <c r="I474" s="38">
        <f t="shared" si="3"/>
        <v>4</v>
      </c>
      <c r="J474" s="55"/>
    </row>
    <row r="475" spans="1:10" ht="12.75" customHeight="1" x14ac:dyDescent="0.2">
      <c r="A475" s="50">
        <f t="array" ref="A475">+INDEX(Partidas!$A:$J,MATCH('Resultados dashboard'!$B475,Partidas!$C:$C,0),2)</f>
        <v>45449</v>
      </c>
      <c r="B475" s="56">
        <f>+IF(COUNTIF($B$2:B474,B474)=VLOOKUP(B474,Partidas!$C:$J,8,0),B474+1,B474)</f>
        <v>104</v>
      </c>
      <c r="C475" s="41" t="str">
        <f t="array" ref="C475">+INDEX(Partidas!$A:$J,MATCH('Resultados dashboard'!$B475,Partidas!$C:$C,0),3+COUNTIF($B$2:B475,'Resultados dashboard'!$B475))</f>
        <v>Hugo</v>
      </c>
      <c r="D475" s="54">
        <v>6</v>
      </c>
      <c r="E475" s="54">
        <v>2</v>
      </c>
      <c r="F475" s="54">
        <v>1</v>
      </c>
      <c r="G475" s="53"/>
      <c r="H475" s="38">
        <f t="shared" si="2"/>
        <v>10</v>
      </c>
      <c r="I475" s="38">
        <f t="shared" si="3"/>
        <v>1</v>
      </c>
      <c r="J475" s="55"/>
    </row>
    <row r="476" spans="1:10" ht="12.75" customHeight="1" x14ac:dyDescent="0.2">
      <c r="A476" s="50">
        <f t="array" ref="A476">+INDEX(Partidas!$A:$J,MATCH('Resultados dashboard'!$B476,Partidas!$C:$C,0),2)</f>
        <v>45449</v>
      </c>
      <c r="B476" s="56">
        <f>+IF(COUNTIF($B$2:B475,B475)=VLOOKUP(B475,Partidas!$C:$J,8,0),B475+1,B475)</f>
        <v>104</v>
      </c>
      <c r="C476" s="41" t="str">
        <f t="array" ref="C476">+INDEX(Partidas!$A:$J,MATCH('Resultados dashboard'!$B476,Partidas!$C:$C,0),3+COUNTIF($B$2:B476,'Resultados dashboard'!$B476))</f>
        <v>Max</v>
      </c>
      <c r="D476" s="54">
        <v>6</v>
      </c>
      <c r="E476" s="53"/>
      <c r="F476" s="53"/>
      <c r="G476" s="53"/>
      <c r="H476" s="38">
        <f t="shared" si="2"/>
        <v>6</v>
      </c>
      <c r="I476" s="38">
        <f t="shared" si="3"/>
        <v>3</v>
      </c>
      <c r="J476" s="55"/>
    </row>
    <row r="477" spans="1:10" ht="12.75" customHeight="1" x14ac:dyDescent="0.2">
      <c r="A477" s="50">
        <f t="array" ref="A477">+INDEX(Partidas!$A:$J,MATCH('Resultados dashboard'!$B477,Partidas!$C:$C,0),2)</f>
        <v>45449</v>
      </c>
      <c r="B477" s="56">
        <f>+IF(COUNTIF($B$2:B476,B476)=VLOOKUP(B476,Partidas!$C:$J,8,0),B476+1,B476)</f>
        <v>105</v>
      </c>
      <c r="C477" s="41" t="str">
        <f t="array" ref="C477">+INDEX(Partidas!$A:$J,MATCH('Resultados dashboard'!$B477,Partidas!$C:$C,0),3+COUNTIF($B$2:B477,'Resultados dashboard'!$B477))</f>
        <v>Gallo</v>
      </c>
      <c r="D477" s="54">
        <v>6</v>
      </c>
      <c r="E477" s="53"/>
      <c r="F477" s="53"/>
      <c r="G477" s="53"/>
      <c r="H477" s="38">
        <f t="shared" si="2"/>
        <v>6</v>
      </c>
      <c r="I477" s="38">
        <f t="shared" si="3"/>
        <v>4</v>
      </c>
      <c r="J477" s="55"/>
    </row>
    <row r="478" spans="1:10" ht="12.75" customHeight="1" x14ac:dyDescent="0.2">
      <c r="A478" s="50">
        <f t="array" ref="A478">+INDEX(Partidas!$A:$J,MATCH('Resultados dashboard'!$B478,Partidas!$C:$C,0),2)</f>
        <v>45449</v>
      </c>
      <c r="B478" s="56">
        <f>+IF(COUNTIF($B$2:B477,B477)=VLOOKUP(B477,Partidas!$C:$J,8,0),B477+1,B477)</f>
        <v>105</v>
      </c>
      <c r="C478" s="41" t="str">
        <f t="array" ref="C478">+INDEX(Partidas!$A:$J,MATCH('Resultados dashboard'!$B478,Partidas!$C:$C,0),3+COUNTIF($B$2:B478,'Resultados dashboard'!$B478))</f>
        <v>Ivo</v>
      </c>
      <c r="D478" s="54">
        <v>5</v>
      </c>
      <c r="E478" s="54">
        <v>2</v>
      </c>
      <c r="F478" s="54">
        <v>1</v>
      </c>
      <c r="G478" s="53"/>
      <c r="H478" s="38">
        <f t="shared" si="2"/>
        <v>9</v>
      </c>
      <c r="I478" s="38">
        <f t="shared" si="3"/>
        <v>2</v>
      </c>
      <c r="J478" s="55"/>
    </row>
    <row r="479" spans="1:10" ht="12.75" customHeight="1" x14ac:dyDescent="0.2">
      <c r="A479" s="50">
        <f t="array" ref="A479">+INDEX(Partidas!$A:$J,MATCH('Resultados dashboard'!$B479,Partidas!$C:$C,0),2)</f>
        <v>45449</v>
      </c>
      <c r="B479" s="56">
        <f>+IF(COUNTIF($B$2:B478,B478)=VLOOKUP(B478,Partidas!$C:$J,8,0),B478+1,B478)</f>
        <v>105</v>
      </c>
      <c r="C479" s="41" t="str">
        <f t="array" ref="C479">+INDEX(Partidas!$A:$J,MATCH('Resultados dashboard'!$B479,Partidas!$C:$C,0),3+COUNTIF($B$2:B479,'Resultados dashboard'!$B479))</f>
        <v>Hugo</v>
      </c>
      <c r="D479" s="54">
        <v>8</v>
      </c>
      <c r="E479" s="53"/>
      <c r="F479" s="53"/>
      <c r="G479" s="54">
        <v>1</v>
      </c>
      <c r="H479" s="38">
        <f t="shared" si="2"/>
        <v>10</v>
      </c>
      <c r="I479" s="38">
        <f t="shared" si="3"/>
        <v>1</v>
      </c>
      <c r="J479" s="55"/>
    </row>
    <row r="480" spans="1:10" ht="12.75" customHeight="1" x14ac:dyDescent="0.2">
      <c r="A480" s="50">
        <f t="array" ref="A480">+INDEX(Partidas!$A:$J,MATCH('Resultados dashboard'!$B480,Partidas!$C:$C,0),2)</f>
        <v>45449</v>
      </c>
      <c r="B480" s="56">
        <f>+IF(COUNTIF($B$2:B479,B479)=VLOOKUP(B479,Partidas!$C:$J,8,0),B479+1,B479)</f>
        <v>105</v>
      </c>
      <c r="C480" s="41" t="str">
        <f t="array" ref="C480">+INDEX(Partidas!$A:$J,MATCH('Resultados dashboard'!$B480,Partidas!$C:$C,0),3+COUNTIF($B$2:B480,'Resultados dashboard'!$B480))</f>
        <v>Max</v>
      </c>
      <c r="D480" s="54">
        <v>7</v>
      </c>
      <c r="E480" s="53"/>
      <c r="F480" s="53"/>
      <c r="G480" s="53"/>
      <c r="H480" s="38">
        <f t="shared" si="2"/>
        <v>7</v>
      </c>
      <c r="I480" s="38">
        <f t="shared" si="3"/>
        <v>3</v>
      </c>
      <c r="J480" s="55"/>
    </row>
    <row r="481" spans="1:10" ht="12.75" customHeight="1" x14ac:dyDescent="0.2">
      <c r="A481" s="50">
        <f t="array" ref="A481">+INDEX(Partidas!$A:$J,MATCH('Resultados dashboard'!$B481,Partidas!$C:$C,0),2)</f>
        <v>45449</v>
      </c>
      <c r="B481" s="56">
        <f>+IF(COUNTIF($B$2:B480,B480)=VLOOKUP(B480,Partidas!$C:$J,8,0),B480+1,B480)</f>
        <v>106</v>
      </c>
      <c r="C481" s="41" t="str">
        <f t="array" ref="C481">+INDEX(Partidas!$A:$J,MATCH('Resultados dashboard'!$B481,Partidas!$C:$C,0),3+COUNTIF($B$2:B481,'Resultados dashboard'!$B481))</f>
        <v>Gallo</v>
      </c>
      <c r="D481" s="54">
        <v>6</v>
      </c>
      <c r="E481" s="54">
        <v>1</v>
      </c>
      <c r="F481" s="53"/>
      <c r="G481" s="53"/>
      <c r="H481" s="38">
        <f t="shared" si="2"/>
        <v>7</v>
      </c>
      <c r="I481" s="38">
        <f t="shared" si="3"/>
        <v>3</v>
      </c>
      <c r="J481" s="55"/>
    </row>
    <row r="482" spans="1:10" ht="12.75" customHeight="1" x14ac:dyDescent="0.2">
      <c r="A482" s="50">
        <f t="array" ref="A482">+INDEX(Partidas!$A:$J,MATCH('Resultados dashboard'!$B482,Partidas!$C:$C,0),2)</f>
        <v>45449</v>
      </c>
      <c r="B482" s="56">
        <f>+IF(COUNTIF($B$2:B481,B481)=VLOOKUP(B481,Partidas!$C:$J,8,0),B481+1,B481)</f>
        <v>106</v>
      </c>
      <c r="C482" s="41" t="str">
        <f t="array" ref="C482">+INDEX(Partidas!$A:$J,MATCH('Resultados dashboard'!$B482,Partidas!$C:$C,0),3+COUNTIF($B$2:B482,'Resultados dashboard'!$B482))</f>
        <v>Ivo</v>
      </c>
      <c r="D482" s="54">
        <v>4</v>
      </c>
      <c r="E482" s="54">
        <v>1</v>
      </c>
      <c r="F482" s="53"/>
      <c r="G482" s="54">
        <v>1</v>
      </c>
      <c r="H482" s="38">
        <f t="shared" si="2"/>
        <v>7</v>
      </c>
      <c r="I482" s="38">
        <f t="shared" si="3"/>
        <v>3</v>
      </c>
      <c r="J482" s="55"/>
    </row>
    <row r="483" spans="1:10" ht="12.75" customHeight="1" x14ac:dyDescent="0.2">
      <c r="A483" s="50">
        <f t="array" ref="A483">+INDEX(Partidas!$A:$J,MATCH('Resultados dashboard'!$B483,Partidas!$C:$C,0),2)</f>
        <v>45449</v>
      </c>
      <c r="B483" s="56">
        <f>+IF(COUNTIF($B$2:B482,B482)=VLOOKUP(B482,Partidas!$C:$J,8,0),B482+1,B482)</f>
        <v>106</v>
      </c>
      <c r="C483" s="41" t="str">
        <f t="array" ref="C483">+INDEX(Partidas!$A:$J,MATCH('Resultados dashboard'!$B483,Partidas!$C:$C,0),3+COUNTIF($B$2:B483,'Resultados dashboard'!$B483))</f>
        <v>Hugo</v>
      </c>
      <c r="D483" s="54">
        <v>6</v>
      </c>
      <c r="E483" s="54">
        <v>1</v>
      </c>
      <c r="F483" s="54">
        <v>1</v>
      </c>
      <c r="G483" s="53"/>
      <c r="H483" s="38">
        <f t="shared" si="2"/>
        <v>9</v>
      </c>
      <c r="I483" s="38">
        <f t="shared" si="3"/>
        <v>2</v>
      </c>
      <c r="J483" s="55"/>
    </row>
    <row r="484" spans="1:10" ht="12.75" customHeight="1" x14ac:dyDescent="0.2">
      <c r="A484" s="50">
        <f t="array" ref="A484">+INDEX(Partidas!$A:$J,MATCH('Resultados dashboard'!$B484,Partidas!$C:$C,0),2)</f>
        <v>45449</v>
      </c>
      <c r="B484" s="56">
        <f>+IF(COUNTIF($B$2:B483,B483)=VLOOKUP(B483,Partidas!$C:$J,8,0),B483+1,B483)</f>
        <v>106</v>
      </c>
      <c r="C484" s="41" t="str">
        <f t="array" ref="C484">+INDEX(Partidas!$A:$J,MATCH('Resultados dashboard'!$B484,Partidas!$C:$C,0),3+COUNTIF($B$2:B484,'Resultados dashboard'!$B484))</f>
        <v>Max</v>
      </c>
      <c r="D484" s="54">
        <v>9</v>
      </c>
      <c r="E484" s="54">
        <v>1</v>
      </c>
      <c r="F484" s="53"/>
      <c r="G484" s="53"/>
      <c r="H484" s="38">
        <f t="shared" si="2"/>
        <v>10</v>
      </c>
      <c r="I484" s="38">
        <f t="shared" si="3"/>
        <v>1</v>
      </c>
      <c r="J484" s="55"/>
    </row>
    <row r="485" spans="1:10" ht="12.75" customHeight="1" x14ac:dyDescent="0.2">
      <c r="A485" s="50">
        <f t="array" ref="A485">+INDEX(Partidas!$A:$J,MATCH('Resultados dashboard'!$B485,Partidas!$C:$C,0),2)</f>
        <v>45455</v>
      </c>
      <c r="B485" s="56">
        <f>+IF(COUNTIF($B$2:B484,B484)=VLOOKUP(B484,Partidas!$C:$J,8,0),B484+1,B484)</f>
        <v>107</v>
      </c>
      <c r="C485" s="41" t="str">
        <f t="array" ref="C485">+INDEX(Partidas!$A:$J,MATCH('Resultados dashboard'!$B485,Partidas!$C:$C,0),3+COUNTIF($B$2:B485,'Resultados dashboard'!$B485))</f>
        <v>Gallo</v>
      </c>
      <c r="D485" s="54">
        <v>3</v>
      </c>
      <c r="E485" s="53"/>
      <c r="F485" s="53"/>
      <c r="G485" s="53"/>
      <c r="H485" s="38">
        <f t="shared" si="2"/>
        <v>3</v>
      </c>
      <c r="I485" s="38">
        <f t="shared" si="3"/>
        <v>4</v>
      </c>
      <c r="J485" s="55"/>
    </row>
    <row r="486" spans="1:10" ht="12.75" customHeight="1" x14ac:dyDescent="0.2">
      <c r="A486" s="50">
        <f t="array" ref="A486">+INDEX(Partidas!$A:$J,MATCH('Resultados dashboard'!$B486,Partidas!$C:$C,0),2)</f>
        <v>45455</v>
      </c>
      <c r="B486" s="56">
        <f>+IF(COUNTIF($B$2:B485,B485)=VLOOKUP(B485,Partidas!$C:$J,8,0),B485+1,B485)</f>
        <v>107</v>
      </c>
      <c r="C486" s="41" t="str">
        <f t="array" ref="C486">+INDEX(Partidas!$A:$J,MATCH('Resultados dashboard'!$B486,Partidas!$C:$C,0),3+COUNTIF($B$2:B486,'Resultados dashboard'!$B486))</f>
        <v>Max</v>
      </c>
      <c r="D486" s="54">
        <v>6</v>
      </c>
      <c r="E486" s="53"/>
      <c r="F486" s="53"/>
      <c r="G486" s="53"/>
      <c r="H486" s="38">
        <f t="shared" si="2"/>
        <v>6</v>
      </c>
      <c r="I486" s="38">
        <f t="shared" si="3"/>
        <v>2</v>
      </c>
      <c r="J486" s="55"/>
    </row>
    <row r="487" spans="1:10" ht="12.75" customHeight="1" x14ac:dyDescent="0.2">
      <c r="A487" s="50">
        <f t="array" ref="A487">+INDEX(Partidas!$A:$J,MATCH('Resultados dashboard'!$B487,Partidas!$C:$C,0),2)</f>
        <v>45455</v>
      </c>
      <c r="B487" s="56">
        <f>+IF(COUNTIF($B$2:B486,B486)=VLOOKUP(B486,Partidas!$C:$J,8,0),B486+1,B486)</f>
        <v>107</v>
      </c>
      <c r="C487" s="41" t="str">
        <f t="array" ref="C487">+INDEX(Partidas!$A:$J,MATCH('Resultados dashboard'!$B487,Partidas!$C:$C,0),3+COUNTIF($B$2:B487,'Resultados dashboard'!$B487))</f>
        <v>Hugo</v>
      </c>
      <c r="D487" s="54">
        <v>5</v>
      </c>
      <c r="E487" s="53"/>
      <c r="F487" s="53"/>
      <c r="G487" s="53"/>
      <c r="H487" s="38">
        <f t="shared" si="2"/>
        <v>5</v>
      </c>
      <c r="I487" s="38">
        <f t="shared" si="3"/>
        <v>3</v>
      </c>
      <c r="J487" s="55"/>
    </row>
    <row r="488" spans="1:10" ht="12.75" customHeight="1" x14ac:dyDescent="0.2">
      <c r="A488" s="50">
        <f t="array" ref="A488">+INDEX(Partidas!$A:$J,MATCH('Resultados dashboard'!$B488,Partidas!$C:$C,0),2)</f>
        <v>45455</v>
      </c>
      <c r="B488" s="56">
        <f>+IF(COUNTIF($B$2:B487,B487)=VLOOKUP(B487,Partidas!$C:$J,8,0),B487+1,B487)</f>
        <v>107</v>
      </c>
      <c r="C488" s="41" t="str">
        <f t="array" ref="C488">+INDEX(Partidas!$A:$J,MATCH('Resultados dashboard'!$B488,Partidas!$C:$C,0),3+COUNTIF($B$2:B488,'Resultados dashboard'!$B488))</f>
        <v>Rodri</v>
      </c>
      <c r="D488" s="54">
        <v>6</v>
      </c>
      <c r="E488" s="53"/>
      <c r="F488" s="54">
        <v>1</v>
      </c>
      <c r="G488" s="54">
        <v>1</v>
      </c>
      <c r="H488" s="38">
        <f t="shared" si="2"/>
        <v>10</v>
      </c>
      <c r="I488" s="38">
        <f t="shared" si="3"/>
        <v>1</v>
      </c>
      <c r="J488" s="55"/>
    </row>
    <row r="489" spans="1:10" ht="12.75" customHeight="1" x14ac:dyDescent="0.2">
      <c r="A489" s="50">
        <f t="array" ref="A489">+INDEX(Partidas!$A:$J,MATCH('Resultados dashboard'!$B489,Partidas!$C:$C,0),2)</f>
        <v>45455</v>
      </c>
      <c r="B489" s="56">
        <f>+IF(COUNTIF($B$2:B488,B488)=VLOOKUP(B488,Partidas!$C:$J,8,0),B488+1,B488)</f>
        <v>108</v>
      </c>
      <c r="C489" s="41" t="str">
        <f t="array" ref="C489">+INDEX(Partidas!$A:$J,MATCH('Resultados dashboard'!$B489,Partidas!$C:$C,0),3+COUNTIF($B$2:B489,'Resultados dashboard'!$B489))</f>
        <v>Gallo</v>
      </c>
      <c r="D489" s="54">
        <v>7</v>
      </c>
      <c r="E489" s="53"/>
      <c r="F489" s="53"/>
      <c r="G489" s="53"/>
      <c r="H489" s="38">
        <f t="shared" si="2"/>
        <v>7</v>
      </c>
      <c r="I489" s="38">
        <f t="shared" si="3"/>
        <v>3</v>
      </c>
      <c r="J489" s="55"/>
    </row>
    <row r="490" spans="1:10" ht="12.75" customHeight="1" x14ac:dyDescent="0.2">
      <c r="A490" s="50">
        <f t="array" ref="A490">+INDEX(Partidas!$A:$J,MATCH('Resultados dashboard'!$B490,Partidas!$C:$C,0),2)</f>
        <v>45455</v>
      </c>
      <c r="B490" s="56">
        <f>+IF(COUNTIF($B$2:B489,B489)=VLOOKUP(B489,Partidas!$C:$J,8,0),B489+1,B489)</f>
        <v>108</v>
      </c>
      <c r="C490" s="41" t="str">
        <f t="array" ref="C490">+INDEX(Partidas!$A:$J,MATCH('Resultados dashboard'!$B490,Partidas!$C:$C,0),3+COUNTIF($B$2:B490,'Resultados dashboard'!$B490))</f>
        <v>Max</v>
      </c>
      <c r="D490" s="54">
        <v>6</v>
      </c>
      <c r="E490" s="53"/>
      <c r="F490" s="53"/>
      <c r="G490" s="53"/>
      <c r="H490" s="38">
        <f t="shared" si="2"/>
        <v>6</v>
      </c>
      <c r="I490" s="38">
        <f t="shared" si="3"/>
        <v>4</v>
      </c>
      <c r="J490" s="55"/>
    </row>
    <row r="491" spans="1:10" ht="12.75" customHeight="1" x14ac:dyDescent="0.2">
      <c r="A491" s="50">
        <f t="array" ref="A491">+INDEX(Partidas!$A:$J,MATCH('Resultados dashboard'!$B491,Partidas!$C:$C,0),2)</f>
        <v>45455</v>
      </c>
      <c r="B491" s="56">
        <f>+IF(COUNTIF($B$2:B490,B490)=VLOOKUP(B490,Partidas!$C:$J,8,0),B490+1,B490)</f>
        <v>108</v>
      </c>
      <c r="C491" s="41" t="str">
        <f t="array" ref="C491">+INDEX(Partidas!$A:$J,MATCH('Resultados dashboard'!$B491,Partidas!$C:$C,0),3+COUNTIF($B$2:B491,'Resultados dashboard'!$B491))</f>
        <v>Hugo</v>
      </c>
      <c r="D491" s="54">
        <v>6</v>
      </c>
      <c r="E491" s="54">
        <v>2</v>
      </c>
      <c r="F491" s="54">
        <v>1</v>
      </c>
      <c r="G491" s="53"/>
      <c r="H491" s="38">
        <f t="shared" si="2"/>
        <v>10</v>
      </c>
      <c r="I491" s="58">
        <v>2</v>
      </c>
      <c r="J491" s="55"/>
    </row>
    <row r="492" spans="1:10" ht="12.75" customHeight="1" x14ac:dyDescent="0.2">
      <c r="A492" s="50">
        <f t="array" ref="A492">+INDEX(Partidas!$A:$J,MATCH('Resultados dashboard'!$B492,Partidas!$C:$C,0),2)</f>
        <v>45455</v>
      </c>
      <c r="B492" s="56">
        <f>+IF(COUNTIF($B$2:B491,B491)=VLOOKUP(B491,Partidas!$C:$J,8,0),B491+1,B491)</f>
        <v>108</v>
      </c>
      <c r="C492" s="41" t="str">
        <f t="array" ref="C492">+INDEX(Partidas!$A:$J,MATCH('Resultados dashboard'!$B492,Partidas!$C:$C,0),3+COUNTIF($B$2:B492,'Resultados dashboard'!$B492))</f>
        <v>Rodri</v>
      </c>
      <c r="D492" s="54">
        <v>6</v>
      </c>
      <c r="E492" s="54">
        <v>2</v>
      </c>
      <c r="F492" s="53"/>
      <c r="G492" s="54">
        <v>1</v>
      </c>
      <c r="H492" s="38">
        <f t="shared" si="2"/>
        <v>10</v>
      </c>
      <c r="I492" s="38">
        <f t="shared" ref="I492:I673" si="4">COUNTIFS($B$2:$B$1075,B492,$H$2:$H$1075,"&gt;" &amp; H492)+1</f>
        <v>1</v>
      </c>
      <c r="J492" s="55"/>
    </row>
    <row r="493" spans="1:10" ht="12.75" customHeight="1" x14ac:dyDescent="0.2">
      <c r="A493" s="50">
        <f t="array" ref="A493">+INDEX(Partidas!$A:$J,MATCH('Resultados dashboard'!$B493,Partidas!$C:$C,0),2)</f>
        <v>45455</v>
      </c>
      <c r="B493" s="56">
        <f>+IF(COUNTIF($B$2:B492,B492)=VLOOKUP(B492,Partidas!$C:$J,8,0),B492+1,B492)</f>
        <v>108</v>
      </c>
      <c r="C493" s="41" t="str">
        <f t="array" ref="C493">+INDEX(Partidas!$A:$J,MATCH('Resultados dashboard'!$B493,Partidas!$C:$C,0),3+COUNTIF($B$2:B493,'Resultados dashboard'!$B493))</f>
        <v>Gaspa</v>
      </c>
      <c r="D493" s="54">
        <v>6</v>
      </c>
      <c r="E493" s="53"/>
      <c r="F493" s="53"/>
      <c r="G493" s="53"/>
      <c r="H493" s="38">
        <f t="shared" si="2"/>
        <v>6</v>
      </c>
      <c r="I493" s="38">
        <f t="shared" si="4"/>
        <v>4</v>
      </c>
      <c r="J493" s="55"/>
    </row>
    <row r="494" spans="1:10" ht="12.75" customHeight="1" x14ac:dyDescent="0.2">
      <c r="A494" s="50">
        <f t="array" ref="A494">+INDEX(Partidas!$A:$J,MATCH('Resultados dashboard'!$B494,Partidas!$C:$C,0),2)</f>
        <v>45455</v>
      </c>
      <c r="B494" s="56">
        <f>+IF(COUNTIF($B$2:B493,B493)=VLOOKUP(B493,Partidas!$C:$J,8,0),B493+1,B493)</f>
        <v>109</v>
      </c>
      <c r="C494" s="41" t="str">
        <f t="array" ref="C494">+INDEX(Partidas!$A:$J,MATCH('Resultados dashboard'!$B494,Partidas!$C:$C,0),3+COUNTIF($B$2:B494,'Resultados dashboard'!$B494))</f>
        <v>Gallo</v>
      </c>
      <c r="D494" s="54">
        <v>4</v>
      </c>
      <c r="E494" s="53"/>
      <c r="F494" s="53"/>
      <c r="G494" s="53"/>
      <c r="H494" s="38">
        <f t="shared" si="2"/>
        <v>4</v>
      </c>
      <c r="I494" s="38">
        <f t="shared" si="4"/>
        <v>4</v>
      </c>
      <c r="J494" s="55"/>
    </row>
    <row r="495" spans="1:10" ht="12.75" customHeight="1" x14ac:dyDescent="0.2">
      <c r="A495" s="50">
        <f t="array" ref="A495">+INDEX(Partidas!$A:$J,MATCH('Resultados dashboard'!$B495,Partidas!$C:$C,0),2)</f>
        <v>45455</v>
      </c>
      <c r="B495" s="56">
        <f>+IF(COUNTIF($B$2:B494,B494)=VLOOKUP(B494,Partidas!$C:$J,8,0),B494+1,B494)</f>
        <v>109</v>
      </c>
      <c r="C495" s="41" t="str">
        <f t="array" ref="C495">+INDEX(Partidas!$A:$J,MATCH('Resultados dashboard'!$B495,Partidas!$C:$C,0),3+COUNTIF($B$2:B495,'Resultados dashboard'!$B495))</f>
        <v>Max</v>
      </c>
      <c r="D495" s="54">
        <v>7</v>
      </c>
      <c r="E495" s="54">
        <v>1</v>
      </c>
      <c r="F495" s="53"/>
      <c r="G495" s="54">
        <v>1</v>
      </c>
      <c r="H495" s="38">
        <f t="shared" si="2"/>
        <v>10</v>
      </c>
      <c r="I495" s="38">
        <f t="shared" si="4"/>
        <v>1</v>
      </c>
      <c r="J495" s="55"/>
    </row>
    <row r="496" spans="1:10" ht="12.75" customHeight="1" x14ac:dyDescent="0.2">
      <c r="A496" s="50">
        <f t="array" ref="A496">+INDEX(Partidas!$A:$J,MATCH('Resultados dashboard'!$B496,Partidas!$C:$C,0),2)</f>
        <v>45455</v>
      </c>
      <c r="B496" s="56">
        <f>+IF(COUNTIF($B$2:B495,B495)=VLOOKUP(B495,Partidas!$C:$J,8,0),B495+1,B495)</f>
        <v>109</v>
      </c>
      <c r="C496" s="41" t="str">
        <f t="array" ref="C496">+INDEX(Partidas!$A:$J,MATCH('Resultados dashboard'!$B496,Partidas!$C:$C,0),3+COUNTIF($B$2:B496,'Resultados dashboard'!$B496))</f>
        <v>Hugo</v>
      </c>
      <c r="D496" s="54">
        <v>6</v>
      </c>
      <c r="E496" s="53"/>
      <c r="F496" s="53"/>
      <c r="G496" s="53"/>
      <c r="H496" s="38">
        <f t="shared" si="2"/>
        <v>6</v>
      </c>
      <c r="I496" s="38">
        <f t="shared" si="4"/>
        <v>3</v>
      </c>
      <c r="J496" s="55"/>
    </row>
    <row r="497" spans="1:10" ht="12.75" customHeight="1" x14ac:dyDescent="0.2">
      <c r="A497" s="50">
        <f t="array" ref="A497">+INDEX(Partidas!$A:$J,MATCH('Resultados dashboard'!$B497,Partidas!$C:$C,0),2)</f>
        <v>45455</v>
      </c>
      <c r="B497" s="56">
        <f>+IF(COUNTIF($B$2:B496,B496)=VLOOKUP(B496,Partidas!$C:$J,8,0),B496+1,B496)</f>
        <v>109</v>
      </c>
      <c r="C497" s="41" t="str">
        <f t="array" ref="C497">+INDEX(Partidas!$A:$J,MATCH('Resultados dashboard'!$B497,Partidas!$C:$C,0),3+COUNTIF($B$2:B497,'Resultados dashboard'!$B497))</f>
        <v>Gaspa</v>
      </c>
      <c r="D497" s="54">
        <v>7</v>
      </c>
      <c r="E497" s="54">
        <v>2</v>
      </c>
      <c r="F497" s="53"/>
      <c r="G497" s="53"/>
      <c r="H497" s="38">
        <f t="shared" si="2"/>
        <v>9</v>
      </c>
      <c r="I497" s="38">
        <f t="shared" si="4"/>
        <v>2</v>
      </c>
      <c r="J497" s="55"/>
    </row>
    <row r="498" spans="1:10" ht="12.75" customHeight="1" x14ac:dyDescent="0.2">
      <c r="A498" s="50">
        <f t="array" ref="A498">+INDEX(Partidas!$A:$J,MATCH('Resultados dashboard'!$B498,Partidas!$C:$C,0),2)</f>
        <v>45455</v>
      </c>
      <c r="B498" s="56">
        <f>+IF(COUNTIF($B$2:B497,B497)=VLOOKUP(B497,Partidas!$C:$J,8,0),B497+1,B497)</f>
        <v>110</v>
      </c>
      <c r="C498" s="41" t="str">
        <f t="array" ref="C498">+INDEX(Partidas!$A:$J,MATCH('Resultados dashboard'!$B498,Partidas!$C:$C,0),3+COUNTIF($B$2:B498,'Resultados dashboard'!$B498))</f>
        <v>Gallo</v>
      </c>
      <c r="D498" s="54">
        <v>7</v>
      </c>
      <c r="E498" s="54">
        <v>3</v>
      </c>
      <c r="F498" s="53"/>
      <c r="G498" s="53"/>
      <c r="H498" s="38">
        <f t="shared" si="2"/>
        <v>10</v>
      </c>
      <c r="I498" s="38">
        <f t="shared" si="4"/>
        <v>1</v>
      </c>
      <c r="J498" s="55"/>
    </row>
    <row r="499" spans="1:10" ht="12.75" customHeight="1" x14ac:dyDescent="0.2">
      <c r="A499" s="50">
        <f t="array" ref="A499">+INDEX(Partidas!$A:$J,MATCH('Resultados dashboard'!$B499,Partidas!$C:$C,0),2)</f>
        <v>45455</v>
      </c>
      <c r="B499" s="56">
        <f>+IF(COUNTIF($B$2:B498,B498)=VLOOKUP(B498,Partidas!$C:$J,8,0),B498+1,B498)</f>
        <v>110</v>
      </c>
      <c r="C499" s="41" t="str">
        <f t="array" ref="C499">+INDEX(Partidas!$A:$J,MATCH('Resultados dashboard'!$B499,Partidas!$C:$C,0),3+COUNTIF($B$2:B499,'Resultados dashboard'!$B499))</f>
        <v>Max</v>
      </c>
      <c r="D499" s="54">
        <v>6</v>
      </c>
      <c r="E499" s="53"/>
      <c r="F499" s="53"/>
      <c r="G499" s="53"/>
      <c r="H499" s="38">
        <f t="shared" si="2"/>
        <v>6</v>
      </c>
      <c r="I499" s="38">
        <f t="shared" si="4"/>
        <v>3</v>
      </c>
      <c r="J499" s="55"/>
    </row>
    <row r="500" spans="1:10" ht="12.75" customHeight="1" x14ac:dyDescent="0.2">
      <c r="A500" s="50">
        <f t="array" ref="A500">+INDEX(Partidas!$A:$J,MATCH('Resultados dashboard'!$B500,Partidas!$C:$C,0),2)</f>
        <v>45455</v>
      </c>
      <c r="B500" s="56">
        <f>+IF(COUNTIF($B$2:B499,B499)=VLOOKUP(B499,Partidas!$C:$J,8,0),B499+1,B499)</f>
        <v>110</v>
      </c>
      <c r="C500" s="41" t="str">
        <f t="array" ref="C500">+INDEX(Partidas!$A:$J,MATCH('Resultados dashboard'!$B500,Partidas!$C:$C,0),3+COUNTIF($B$2:B500,'Resultados dashboard'!$B500))</f>
        <v>Hugo</v>
      </c>
      <c r="D500" s="54">
        <v>4</v>
      </c>
      <c r="E500" s="54">
        <v>1</v>
      </c>
      <c r="F500" s="53"/>
      <c r="G500" s="53"/>
      <c r="H500" s="38">
        <f t="shared" si="2"/>
        <v>5</v>
      </c>
      <c r="I500" s="38">
        <f t="shared" si="4"/>
        <v>4</v>
      </c>
      <c r="J500" s="55"/>
    </row>
    <row r="501" spans="1:10" ht="12.75" customHeight="1" x14ac:dyDescent="0.2">
      <c r="A501" s="50">
        <f t="array" ref="A501">+INDEX(Partidas!$A:$J,MATCH('Resultados dashboard'!$B501,Partidas!$C:$C,0),2)</f>
        <v>45455</v>
      </c>
      <c r="B501" s="56">
        <f>+IF(COUNTIF($B$2:B500,B500)=VLOOKUP(B500,Partidas!$C:$J,8,0),B500+1,B500)</f>
        <v>110</v>
      </c>
      <c r="C501" s="41" t="str">
        <f t="array" ref="C501">+INDEX(Partidas!$A:$J,MATCH('Resultados dashboard'!$B501,Partidas!$C:$C,0),3+COUNTIF($B$2:B501,'Resultados dashboard'!$B501))</f>
        <v>Gaspa</v>
      </c>
      <c r="D501" s="54">
        <v>6</v>
      </c>
      <c r="E501" s="53"/>
      <c r="F501" s="53"/>
      <c r="G501" s="54">
        <v>1</v>
      </c>
      <c r="H501" s="38">
        <f t="shared" si="2"/>
        <v>8</v>
      </c>
      <c r="I501" s="38">
        <f t="shared" si="4"/>
        <v>2</v>
      </c>
      <c r="J501" s="55"/>
    </row>
    <row r="502" spans="1:10" ht="12.75" customHeight="1" x14ac:dyDescent="0.2">
      <c r="A502" s="50">
        <f t="array" ref="A502">+INDEX(Partidas!$A:$J,MATCH('Resultados dashboard'!$B502,Partidas!$C:$C,0),2)</f>
        <v>45458</v>
      </c>
      <c r="B502" s="56">
        <f>+IF(COUNTIF($B$2:B501,B501)=VLOOKUP(B501,Partidas!$C:$J,8,0),B501+1,B501)</f>
        <v>111</v>
      </c>
      <c r="C502" s="41" t="str">
        <f t="array" ref="C502">+INDEX(Partidas!$A:$J,MATCH('Resultados dashboard'!$B502,Partidas!$C:$C,0),3+COUNTIF($B$2:B502,'Resultados dashboard'!$B502))</f>
        <v>Gallo</v>
      </c>
      <c r="D502" s="54">
        <v>4</v>
      </c>
      <c r="E502" s="53"/>
      <c r="F502" s="53"/>
      <c r="G502" s="53"/>
      <c r="H502" s="38">
        <f t="shared" si="2"/>
        <v>4</v>
      </c>
      <c r="I502" s="38">
        <f t="shared" si="4"/>
        <v>4</v>
      </c>
      <c r="J502" s="55"/>
    </row>
    <row r="503" spans="1:10" ht="12.75" customHeight="1" x14ac:dyDescent="0.2">
      <c r="A503" s="50">
        <f t="array" ref="A503">+INDEX(Partidas!$A:$J,MATCH('Resultados dashboard'!$B503,Partidas!$C:$C,0),2)</f>
        <v>45458</v>
      </c>
      <c r="B503" s="56">
        <f>+IF(COUNTIF($B$2:B502,B502)=VLOOKUP(B502,Partidas!$C:$J,8,0),B502+1,B502)</f>
        <v>111</v>
      </c>
      <c r="C503" s="41" t="str">
        <f t="array" ref="C503">+INDEX(Partidas!$A:$J,MATCH('Resultados dashboard'!$B503,Partidas!$C:$C,0),3+COUNTIF($B$2:B503,'Resultados dashboard'!$B503))</f>
        <v>Max</v>
      </c>
      <c r="D503" s="54">
        <v>8</v>
      </c>
      <c r="E503" s="53"/>
      <c r="F503" s="53"/>
      <c r="G503" s="54">
        <v>1</v>
      </c>
      <c r="H503" s="38">
        <f t="shared" si="2"/>
        <v>10</v>
      </c>
      <c r="I503" s="38">
        <f t="shared" si="4"/>
        <v>1</v>
      </c>
      <c r="J503" s="55"/>
    </row>
    <row r="504" spans="1:10" ht="12.75" customHeight="1" x14ac:dyDescent="0.2">
      <c r="A504" s="50">
        <f t="array" ref="A504">+INDEX(Partidas!$A:$J,MATCH('Resultados dashboard'!$B504,Partidas!$C:$C,0),2)</f>
        <v>45458</v>
      </c>
      <c r="B504" s="56">
        <f>+IF(COUNTIF($B$2:B503,B503)=VLOOKUP(B503,Partidas!$C:$J,8,0),B503+1,B503)</f>
        <v>111</v>
      </c>
      <c r="C504" s="41" t="str">
        <f t="array" ref="C504">+INDEX(Partidas!$A:$J,MATCH('Resultados dashboard'!$B504,Partidas!$C:$C,0),3+COUNTIF($B$2:B504,'Resultados dashboard'!$B504))</f>
        <v>Gaspa</v>
      </c>
      <c r="D504" s="54">
        <v>7</v>
      </c>
      <c r="E504" s="53"/>
      <c r="F504" s="53"/>
      <c r="G504" s="53"/>
      <c r="H504" s="38">
        <f t="shared" si="2"/>
        <v>7</v>
      </c>
      <c r="I504" s="38">
        <f t="shared" si="4"/>
        <v>2</v>
      </c>
      <c r="J504" s="55"/>
    </row>
    <row r="505" spans="1:10" ht="12.75" customHeight="1" x14ac:dyDescent="0.2">
      <c r="A505" s="50">
        <f t="array" ref="A505">+INDEX(Partidas!$A:$J,MATCH('Resultados dashboard'!$B505,Partidas!$C:$C,0),2)</f>
        <v>45458</v>
      </c>
      <c r="B505" s="56">
        <f>+IF(COUNTIF($B$2:B504,B504)=VLOOKUP(B504,Partidas!$C:$J,8,0),B504+1,B504)</f>
        <v>111</v>
      </c>
      <c r="C505" s="41" t="str">
        <f t="array" ref="C505">+INDEX(Partidas!$A:$J,MATCH('Resultados dashboard'!$B505,Partidas!$C:$C,0),3+COUNTIF($B$2:B505,'Resultados dashboard'!$B505))</f>
        <v>Moch</v>
      </c>
      <c r="D505" s="54">
        <v>5</v>
      </c>
      <c r="E505" s="54">
        <v>1</v>
      </c>
      <c r="F505" s="53"/>
      <c r="G505" s="54"/>
      <c r="H505" s="38">
        <f t="shared" si="2"/>
        <v>6</v>
      </c>
      <c r="I505" s="38">
        <f t="shared" si="4"/>
        <v>3</v>
      </c>
      <c r="J505" s="55"/>
    </row>
    <row r="506" spans="1:10" ht="12.75" customHeight="1" x14ac:dyDescent="0.2">
      <c r="A506" s="50">
        <f t="array" ref="A506">+INDEX(Partidas!$A:$J,MATCH('Resultados dashboard'!$B506,Partidas!$C:$C,0),2)</f>
        <v>45458</v>
      </c>
      <c r="B506" s="56">
        <f>+IF(COUNTIF($B$2:B505,B505)=VLOOKUP(B505,Partidas!$C:$J,8,0),B505+1,B505)</f>
        <v>112</v>
      </c>
      <c r="C506" s="41" t="str">
        <f t="array" ref="C506">+INDEX(Partidas!$A:$J,MATCH('Resultados dashboard'!$B506,Partidas!$C:$C,0),3+COUNTIF($B$2:B506,'Resultados dashboard'!$B506))</f>
        <v>Gallo</v>
      </c>
      <c r="D506" s="54">
        <v>6</v>
      </c>
      <c r="E506" s="54">
        <v>2</v>
      </c>
      <c r="F506" s="53"/>
      <c r="G506" s="54">
        <v>1</v>
      </c>
      <c r="H506" s="38">
        <f t="shared" si="2"/>
        <v>10</v>
      </c>
      <c r="I506" s="38">
        <f t="shared" si="4"/>
        <v>1</v>
      </c>
      <c r="J506" s="55"/>
    </row>
    <row r="507" spans="1:10" ht="12.75" customHeight="1" x14ac:dyDescent="0.2">
      <c r="A507" s="50">
        <f t="array" ref="A507">+INDEX(Partidas!$A:$J,MATCH('Resultados dashboard'!$B507,Partidas!$C:$C,0),2)</f>
        <v>45458</v>
      </c>
      <c r="B507" s="56">
        <f>+IF(COUNTIF($B$2:B506,B506)=VLOOKUP(B506,Partidas!$C:$J,8,0),B506+1,B506)</f>
        <v>112</v>
      </c>
      <c r="C507" s="41" t="str">
        <f t="array" ref="C507">+INDEX(Partidas!$A:$J,MATCH('Resultados dashboard'!$B507,Partidas!$C:$C,0),3+COUNTIF($B$2:B507,'Resultados dashboard'!$B507))</f>
        <v>Max</v>
      </c>
      <c r="D507" s="54">
        <v>5</v>
      </c>
      <c r="E507" s="53"/>
      <c r="F507" s="53"/>
      <c r="G507" s="53"/>
      <c r="H507" s="38">
        <f t="shared" si="2"/>
        <v>5</v>
      </c>
      <c r="I507" s="38">
        <f t="shared" si="4"/>
        <v>4</v>
      </c>
      <c r="J507" s="55"/>
    </row>
    <row r="508" spans="1:10" ht="12.75" customHeight="1" x14ac:dyDescent="0.2">
      <c r="A508" s="50">
        <f t="array" ref="A508">+INDEX(Partidas!$A:$J,MATCH('Resultados dashboard'!$B508,Partidas!$C:$C,0),2)</f>
        <v>45458</v>
      </c>
      <c r="B508" s="56">
        <f>+IF(COUNTIF($B$2:B507,B507)=VLOOKUP(B507,Partidas!$C:$J,8,0),B507+1,B507)</f>
        <v>112</v>
      </c>
      <c r="C508" s="41" t="str">
        <f t="array" ref="C508">+INDEX(Partidas!$A:$J,MATCH('Resultados dashboard'!$B508,Partidas!$C:$C,0),3+COUNTIF($B$2:B508,'Resultados dashboard'!$B508))</f>
        <v>Gaspa</v>
      </c>
      <c r="D508" s="54">
        <v>7</v>
      </c>
      <c r="E508" s="53"/>
      <c r="F508" s="54"/>
      <c r="G508" s="53"/>
      <c r="H508" s="38">
        <f t="shared" si="2"/>
        <v>7</v>
      </c>
      <c r="I508" s="38">
        <f t="shared" si="4"/>
        <v>2</v>
      </c>
      <c r="J508" s="55"/>
    </row>
    <row r="509" spans="1:10" ht="12.75" customHeight="1" x14ac:dyDescent="0.2">
      <c r="A509" s="50">
        <f t="array" ref="A509">+INDEX(Partidas!$A:$J,MATCH('Resultados dashboard'!$B509,Partidas!$C:$C,0),2)</f>
        <v>45458</v>
      </c>
      <c r="B509" s="56">
        <f>+IF(COUNTIF($B$2:B508,B508)=VLOOKUP(B508,Partidas!$C:$J,8,0),B508+1,B508)</f>
        <v>112</v>
      </c>
      <c r="C509" s="41" t="str">
        <f t="array" ref="C509">+INDEX(Partidas!$A:$J,MATCH('Resultados dashboard'!$B509,Partidas!$C:$C,0),3+COUNTIF($B$2:B509,'Resultados dashboard'!$B509))</f>
        <v>Moch</v>
      </c>
      <c r="D509" s="54">
        <v>4</v>
      </c>
      <c r="E509" s="54">
        <v>1</v>
      </c>
      <c r="F509" s="54">
        <v>1</v>
      </c>
      <c r="G509" s="53"/>
      <c r="H509" s="38">
        <f t="shared" si="2"/>
        <v>7</v>
      </c>
      <c r="I509" s="38">
        <f t="shared" si="4"/>
        <v>2</v>
      </c>
      <c r="J509" s="55"/>
    </row>
    <row r="510" spans="1:10" ht="12.75" customHeight="1" x14ac:dyDescent="0.2">
      <c r="A510" s="50">
        <f t="array" ref="A510">+INDEX(Partidas!$A:$J,MATCH('Resultados dashboard'!$B510,Partidas!$C:$C,0),2)</f>
        <v>45458</v>
      </c>
      <c r="B510" s="56">
        <f>+IF(COUNTIF($B$2:B509,B509)=VLOOKUP(B509,Partidas!$C:$J,8,0),B509+1,B509)</f>
        <v>113</v>
      </c>
      <c r="C510" s="41" t="str">
        <f t="array" ref="C510">+INDEX(Partidas!$A:$J,MATCH('Resultados dashboard'!$B510,Partidas!$C:$C,0),3+COUNTIF($B$2:B510,'Resultados dashboard'!$B510))</f>
        <v>Gallo</v>
      </c>
      <c r="D510" s="54">
        <v>7</v>
      </c>
      <c r="E510" s="54">
        <v>1</v>
      </c>
      <c r="F510" s="53"/>
      <c r="G510" s="53"/>
      <c r="H510" s="38">
        <f t="shared" si="2"/>
        <v>8</v>
      </c>
      <c r="I510" s="38">
        <f t="shared" si="4"/>
        <v>2</v>
      </c>
      <c r="J510" s="55"/>
    </row>
    <row r="511" spans="1:10" ht="12.75" customHeight="1" x14ac:dyDescent="0.2">
      <c r="A511" s="50">
        <f t="array" ref="A511">+INDEX(Partidas!$A:$J,MATCH('Resultados dashboard'!$B511,Partidas!$C:$C,0),2)</f>
        <v>45458</v>
      </c>
      <c r="B511" s="56">
        <f>+IF(COUNTIF($B$2:B510,B510)=VLOOKUP(B510,Partidas!$C:$J,8,0),B510+1,B510)</f>
        <v>113</v>
      </c>
      <c r="C511" s="41" t="str">
        <f t="array" ref="C511">+INDEX(Partidas!$A:$J,MATCH('Resultados dashboard'!$B511,Partidas!$C:$C,0),3+COUNTIF($B$2:B511,'Resultados dashboard'!$B511))</f>
        <v>Max</v>
      </c>
      <c r="D511" s="54">
        <v>8</v>
      </c>
      <c r="E511" s="53"/>
      <c r="F511" s="54">
        <v>1</v>
      </c>
      <c r="G511" s="53"/>
      <c r="H511" s="38">
        <f t="shared" si="2"/>
        <v>10</v>
      </c>
      <c r="I511" s="38">
        <f t="shared" si="4"/>
        <v>1</v>
      </c>
      <c r="J511" s="55"/>
    </row>
    <row r="512" spans="1:10" ht="12.75" customHeight="1" x14ac:dyDescent="0.2">
      <c r="A512" s="50">
        <f t="array" ref="A512">+INDEX(Partidas!$A:$J,MATCH('Resultados dashboard'!$B512,Partidas!$C:$C,0),2)</f>
        <v>45458</v>
      </c>
      <c r="B512" s="56">
        <f>+IF(COUNTIF($B$2:B511,B511)=VLOOKUP(B511,Partidas!$C:$J,8,0),B511+1,B511)</f>
        <v>113</v>
      </c>
      <c r="C512" s="41" t="str">
        <f t="array" ref="C512">+INDEX(Partidas!$A:$J,MATCH('Resultados dashboard'!$B512,Partidas!$C:$C,0),3+COUNTIF($B$2:B512,'Resultados dashboard'!$B512))</f>
        <v>Gaspa</v>
      </c>
      <c r="D512" s="54">
        <v>5</v>
      </c>
      <c r="E512" s="53"/>
      <c r="F512" s="53"/>
      <c r="G512" s="53"/>
      <c r="H512" s="38">
        <f t="shared" ref="H512:H766" si="5">+SUM(D512:E512)+2*SUM(F512:G512)+J512</f>
        <v>5</v>
      </c>
      <c r="I512" s="38">
        <f t="shared" si="4"/>
        <v>4</v>
      </c>
      <c r="J512" s="55"/>
    </row>
    <row r="513" spans="1:10" ht="12.75" customHeight="1" x14ac:dyDescent="0.2">
      <c r="A513" s="50">
        <f t="array" ref="A513">+INDEX(Partidas!$A:$J,MATCH('Resultados dashboard'!$B513,Partidas!$C:$C,0),2)</f>
        <v>45458</v>
      </c>
      <c r="B513" s="56">
        <f>+IF(COUNTIF($B$2:B512,B512)=VLOOKUP(B512,Partidas!$C:$J,8,0),B512+1,B512)</f>
        <v>113</v>
      </c>
      <c r="C513" s="41" t="str">
        <f t="array" ref="C513">+INDEX(Partidas!$A:$J,MATCH('Resultados dashboard'!$B513,Partidas!$C:$C,0),3+COUNTIF($B$2:B513,'Resultados dashboard'!$B513))</f>
        <v>Moch</v>
      </c>
      <c r="D513" s="54">
        <v>3</v>
      </c>
      <c r="E513" s="54">
        <v>1</v>
      </c>
      <c r="F513" s="53"/>
      <c r="G513" s="54">
        <v>1</v>
      </c>
      <c r="H513" s="38">
        <f t="shared" si="5"/>
        <v>6</v>
      </c>
      <c r="I513" s="38">
        <f t="shared" si="4"/>
        <v>3</v>
      </c>
      <c r="J513" s="55"/>
    </row>
    <row r="514" spans="1:10" ht="12.75" customHeight="1" x14ac:dyDescent="0.2">
      <c r="A514" s="50">
        <f t="array" ref="A514">+INDEX(Partidas!$A:$J,MATCH('Resultados dashboard'!$B514,Partidas!$C:$C,0),2)</f>
        <v>45458</v>
      </c>
      <c r="B514" s="56">
        <f>+IF(COUNTIF($B$2:B513,B513)=VLOOKUP(B513,Partidas!$C:$J,8,0),B513+1,B513)</f>
        <v>114</v>
      </c>
      <c r="C514" s="41" t="str">
        <f t="array" ref="C514">+INDEX(Partidas!$A:$J,MATCH('Resultados dashboard'!$B514,Partidas!$C:$C,0),3+COUNTIF($B$2:B514,'Resultados dashboard'!$B514))</f>
        <v>Gallo</v>
      </c>
      <c r="D514" s="54">
        <v>5</v>
      </c>
      <c r="E514" s="53"/>
      <c r="F514" s="54">
        <v>1</v>
      </c>
      <c r="G514" s="53"/>
      <c r="H514" s="38">
        <f t="shared" si="5"/>
        <v>7</v>
      </c>
      <c r="I514" s="38">
        <f t="shared" si="4"/>
        <v>3</v>
      </c>
      <c r="J514" s="55"/>
    </row>
    <row r="515" spans="1:10" ht="12.75" customHeight="1" x14ac:dyDescent="0.2">
      <c r="A515" s="50">
        <f t="array" ref="A515">+INDEX(Partidas!$A:$J,MATCH('Resultados dashboard'!$B515,Partidas!$C:$C,0),2)</f>
        <v>45458</v>
      </c>
      <c r="B515" s="56">
        <f>+IF(COUNTIF($B$2:B514,B514)=VLOOKUP(B514,Partidas!$C:$J,8,0),B514+1,B514)</f>
        <v>114</v>
      </c>
      <c r="C515" s="41" t="str">
        <f t="array" ref="C515">+INDEX(Partidas!$A:$J,MATCH('Resultados dashboard'!$B515,Partidas!$C:$C,0),3+COUNTIF($B$2:B515,'Resultados dashboard'!$B515))</f>
        <v>Max</v>
      </c>
      <c r="D515" s="54">
        <v>7</v>
      </c>
      <c r="E515" s="53"/>
      <c r="F515" s="53"/>
      <c r="G515" s="53"/>
      <c r="H515" s="38">
        <f t="shared" si="5"/>
        <v>7</v>
      </c>
      <c r="I515" s="38">
        <f t="shared" si="4"/>
        <v>3</v>
      </c>
      <c r="J515" s="55"/>
    </row>
    <row r="516" spans="1:10" ht="12.75" customHeight="1" x14ac:dyDescent="0.2">
      <c r="A516" s="50">
        <f t="array" ref="A516">+INDEX(Partidas!$A:$J,MATCH('Resultados dashboard'!$B516,Partidas!$C:$C,0),2)</f>
        <v>45458</v>
      </c>
      <c r="B516" s="56">
        <f>+IF(COUNTIF($B$2:B515,B515)=VLOOKUP(B515,Partidas!$C:$J,8,0),B515+1,B515)</f>
        <v>114</v>
      </c>
      <c r="C516" s="41" t="str">
        <f t="array" ref="C516">+INDEX(Partidas!$A:$J,MATCH('Resultados dashboard'!$B516,Partidas!$C:$C,0),3+COUNTIF($B$2:B516,'Resultados dashboard'!$B516))</f>
        <v>Gaspa</v>
      </c>
      <c r="D516" s="54">
        <v>5</v>
      </c>
      <c r="E516" s="54">
        <v>1</v>
      </c>
      <c r="F516" s="53"/>
      <c r="G516" s="54">
        <v>1</v>
      </c>
      <c r="H516" s="38">
        <f t="shared" si="5"/>
        <v>8</v>
      </c>
      <c r="I516" s="38">
        <f t="shared" si="4"/>
        <v>2</v>
      </c>
      <c r="J516" s="55"/>
    </row>
    <row r="517" spans="1:10" ht="12.75" customHeight="1" x14ac:dyDescent="0.2">
      <c r="A517" s="50">
        <f t="array" ref="A517">+INDEX(Partidas!$A:$J,MATCH('Resultados dashboard'!$B517,Partidas!$C:$C,0),2)</f>
        <v>45458</v>
      </c>
      <c r="B517" s="56">
        <f>+IF(COUNTIF($B$2:B516,B516)=VLOOKUP(B516,Partidas!$C:$J,8,0),B516+1,B516)</f>
        <v>114</v>
      </c>
      <c r="C517" s="41" t="str">
        <f t="array" ref="C517">+INDEX(Partidas!$A:$J,MATCH('Resultados dashboard'!$B517,Partidas!$C:$C,0),3+COUNTIF($B$2:B517,'Resultados dashboard'!$B517))</f>
        <v>Moch</v>
      </c>
      <c r="D517" s="54">
        <v>8</v>
      </c>
      <c r="E517" s="54">
        <v>2</v>
      </c>
      <c r="F517" s="53"/>
      <c r="G517" s="53"/>
      <c r="H517" s="38">
        <f t="shared" si="5"/>
        <v>10</v>
      </c>
      <c r="I517" s="38">
        <f t="shared" si="4"/>
        <v>1</v>
      </c>
      <c r="J517" s="55"/>
    </row>
    <row r="518" spans="1:10" ht="12.75" customHeight="1" x14ac:dyDescent="0.2">
      <c r="A518" s="50">
        <f t="array" ref="A518">+INDEX(Partidas!$A:$J,MATCH('Resultados dashboard'!$B518,Partidas!$C:$C,0),2)</f>
        <v>45458</v>
      </c>
      <c r="B518" s="56">
        <f>+IF(COUNTIF($B$2:B517,B517)=VLOOKUP(B517,Partidas!$C:$J,8,0),B517+1,B517)</f>
        <v>115</v>
      </c>
      <c r="C518" s="41" t="str">
        <f t="array" ref="C518">+INDEX(Partidas!$A:$J,MATCH('Resultados dashboard'!$B518,Partidas!$C:$C,0),3+COUNTIF($B$2:B518,'Resultados dashboard'!$B518))</f>
        <v>Gallo</v>
      </c>
      <c r="D518" s="54">
        <v>5</v>
      </c>
      <c r="E518" s="53"/>
      <c r="F518" s="53"/>
      <c r="G518" s="53"/>
      <c r="H518" s="38">
        <f t="shared" si="5"/>
        <v>5</v>
      </c>
      <c r="I518" s="38">
        <f t="shared" si="4"/>
        <v>4</v>
      </c>
      <c r="J518" s="55"/>
    </row>
    <row r="519" spans="1:10" ht="12.75" customHeight="1" x14ac:dyDescent="0.2">
      <c r="A519" s="50">
        <f t="array" ref="A519">+INDEX(Partidas!$A:$J,MATCH('Resultados dashboard'!$B519,Partidas!$C:$C,0),2)</f>
        <v>45458</v>
      </c>
      <c r="B519" s="56">
        <f>+IF(COUNTIF($B$2:B518,B518)=VLOOKUP(B518,Partidas!$C:$J,8,0),B518+1,B518)</f>
        <v>115</v>
      </c>
      <c r="C519" s="41" t="str">
        <f t="array" ref="C519">+INDEX(Partidas!$A:$J,MATCH('Resultados dashboard'!$B519,Partidas!$C:$C,0),3+COUNTIF($B$2:B519,'Resultados dashboard'!$B519))</f>
        <v>Max</v>
      </c>
      <c r="D519" s="54">
        <v>7</v>
      </c>
      <c r="E519" s="53"/>
      <c r="F519" s="54">
        <v>1</v>
      </c>
      <c r="G519" s="54">
        <v>1</v>
      </c>
      <c r="H519" s="38">
        <f t="shared" si="5"/>
        <v>11</v>
      </c>
      <c r="I519" s="38">
        <f t="shared" si="4"/>
        <v>1</v>
      </c>
      <c r="J519" s="55"/>
    </row>
    <row r="520" spans="1:10" ht="12.75" customHeight="1" x14ac:dyDescent="0.2">
      <c r="A520" s="50">
        <f t="array" ref="A520">+INDEX(Partidas!$A:$J,MATCH('Resultados dashboard'!$B520,Partidas!$C:$C,0),2)</f>
        <v>45458</v>
      </c>
      <c r="B520" s="56">
        <f>+IF(COUNTIF($B$2:B519,B519)=VLOOKUP(B519,Partidas!$C:$J,8,0),B519+1,B519)</f>
        <v>115</v>
      </c>
      <c r="C520" s="41" t="str">
        <f t="array" ref="C520">+INDEX(Partidas!$A:$J,MATCH('Resultados dashboard'!$B520,Partidas!$C:$C,0),3+COUNTIF($B$2:B520,'Resultados dashboard'!$B520))</f>
        <v>Gaspa</v>
      </c>
      <c r="D520" s="54">
        <v>5</v>
      </c>
      <c r="E520" s="54">
        <v>1</v>
      </c>
      <c r="F520" s="53"/>
      <c r="G520" s="53"/>
      <c r="H520" s="38">
        <f t="shared" si="5"/>
        <v>6</v>
      </c>
      <c r="I520" s="38">
        <f t="shared" si="4"/>
        <v>3</v>
      </c>
      <c r="J520" s="55"/>
    </row>
    <row r="521" spans="1:10" ht="12.75" customHeight="1" x14ac:dyDescent="0.2">
      <c r="A521" s="50">
        <f t="array" ref="A521">+INDEX(Partidas!$A:$J,MATCH('Resultados dashboard'!$B521,Partidas!$C:$C,0),2)</f>
        <v>45458</v>
      </c>
      <c r="B521" s="56">
        <f>+IF(COUNTIF($B$2:B520,B520)=VLOOKUP(B520,Partidas!$C:$J,8,0),B520+1,B520)</f>
        <v>115</v>
      </c>
      <c r="C521" s="41" t="str">
        <f t="array" ref="C521">+INDEX(Partidas!$A:$J,MATCH('Resultados dashboard'!$B521,Partidas!$C:$C,0),3+COUNTIF($B$2:B521,'Resultados dashboard'!$B521))</f>
        <v>Moch</v>
      </c>
      <c r="D521" s="54">
        <v>4</v>
      </c>
      <c r="E521" s="54">
        <v>3</v>
      </c>
      <c r="F521" s="53"/>
      <c r="G521" s="53"/>
      <c r="H521" s="38">
        <f t="shared" si="5"/>
        <v>7</v>
      </c>
      <c r="I521" s="38">
        <f t="shared" si="4"/>
        <v>2</v>
      </c>
      <c r="J521" s="55"/>
    </row>
    <row r="522" spans="1:10" ht="12.75" customHeight="1" x14ac:dyDescent="0.2">
      <c r="A522" s="50">
        <f t="array" ref="A522">+INDEX(Partidas!$A:$J,MATCH('Resultados dashboard'!$B522,Partidas!$C:$C,0),2)</f>
        <v>45466</v>
      </c>
      <c r="B522" s="56">
        <f>+IF(COUNTIF($B$2:B521,B521)=VLOOKUP(B521,Partidas!$C:$J,8,0),B521+1,B521)</f>
        <v>116</v>
      </c>
      <c r="C522" s="41" t="str">
        <f t="array" ref="C522">+INDEX(Partidas!$A:$J,MATCH('Resultados dashboard'!$B522,Partidas!$C:$C,0),3+COUNTIF($B$2:B522,'Resultados dashboard'!$B522))</f>
        <v>Gallo</v>
      </c>
      <c r="D522" s="54">
        <v>7</v>
      </c>
      <c r="E522" s="53"/>
      <c r="F522" s="53"/>
      <c r="G522" s="53"/>
      <c r="H522" s="38">
        <f t="shared" si="5"/>
        <v>7</v>
      </c>
      <c r="I522" s="38">
        <f t="shared" si="4"/>
        <v>3</v>
      </c>
      <c r="J522" s="55"/>
    </row>
    <row r="523" spans="1:10" ht="12.75" customHeight="1" x14ac:dyDescent="0.2">
      <c r="A523" s="50">
        <f t="array" ref="A523">+INDEX(Partidas!$A:$J,MATCH('Resultados dashboard'!$B523,Partidas!$C:$C,0),2)</f>
        <v>45466</v>
      </c>
      <c r="B523" s="56">
        <f>+IF(COUNTIF($B$2:B522,B522)=VLOOKUP(B522,Partidas!$C:$J,8,0),B522+1,B522)</f>
        <v>116</v>
      </c>
      <c r="C523" s="41" t="str">
        <f t="array" ref="C523">+INDEX(Partidas!$A:$J,MATCH('Resultados dashboard'!$B523,Partidas!$C:$C,0),3+COUNTIF($B$2:B523,'Resultados dashboard'!$B523))</f>
        <v>Max</v>
      </c>
      <c r="D523" s="54">
        <v>7</v>
      </c>
      <c r="E523" s="53"/>
      <c r="F523" s="53"/>
      <c r="G523" s="54">
        <v>1</v>
      </c>
      <c r="H523" s="38">
        <f t="shared" si="5"/>
        <v>9</v>
      </c>
      <c r="I523" s="38">
        <f t="shared" si="4"/>
        <v>2</v>
      </c>
      <c r="J523" s="55"/>
    </row>
    <row r="524" spans="1:10" ht="12.75" customHeight="1" x14ac:dyDescent="0.2">
      <c r="A524" s="50">
        <f t="array" ref="A524">+INDEX(Partidas!$A:$J,MATCH('Resultados dashboard'!$B524,Partidas!$C:$C,0),2)</f>
        <v>45466</v>
      </c>
      <c r="B524" s="56">
        <f>+IF(COUNTIF($B$2:B523,B523)=VLOOKUP(B523,Partidas!$C:$J,8,0),B523+1,B523)</f>
        <v>116</v>
      </c>
      <c r="C524" s="41" t="str">
        <f t="array" ref="C524">+INDEX(Partidas!$A:$J,MATCH('Resultados dashboard'!$B524,Partidas!$C:$C,0),3+COUNTIF($B$2:B524,'Resultados dashboard'!$B524))</f>
        <v>Gaspa</v>
      </c>
      <c r="D524" s="54">
        <v>5</v>
      </c>
      <c r="E524" s="54">
        <v>2</v>
      </c>
      <c r="F524" s="53"/>
      <c r="G524" s="53"/>
      <c r="H524" s="38">
        <f t="shared" si="5"/>
        <v>7</v>
      </c>
      <c r="I524" s="38">
        <f t="shared" si="4"/>
        <v>3</v>
      </c>
      <c r="J524" s="55"/>
    </row>
    <row r="525" spans="1:10" ht="12.75" customHeight="1" x14ac:dyDescent="0.2">
      <c r="A525" s="50">
        <f t="array" ref="A525">+INDEX(Partidas!$A:$J,MATCH('Resultados dashboard'!$B525,Partidas!$C:$C,0),2)</f>
        <v>45466</v>
      </c>
      <c r="B525" s="56">
        <f>+IF(COUNTIF($B$2:B524,B524)=VLOOKUP(B524,Partidas!$C:$J,8,0),B524+1,B524)</f>
        <v>116</v>
      </c>
      <c r="C525" s="41" t="str">
        <f t="array" ref="C525">+INDEX(Partidas!$A:$J,MATCH('Resultados dashboard'!$B525,Partidas!$C:$C,0),3+COUNTIF($B$2:B525,'Resultados dashboard'!$B525))</f>
        <v>Hugo</v>
      </c>
      <c r="D525" s="54">
        <v>8</v>
      </c>
      <c r="E525" s="53"/>
      <c r="F525" s="54">
        <v>1</v>
      </c>
      <c r="G525" s="53"/>
      <c r="H525" s="38">
        <f t="shared" si="5"/>
        <v>10</v>
      </c>
      <c r="I525" s="38">
        <f t="shared" si="4"/>
        <v>1</v>
      </c>
      <c r="J525" s="55"/>
    </row>
    <row r="526" spans="1:10" ht="12.75" customHeight="1" x14ac:dyDescent="0.2">
      <c r="A526" s="50">
        <f t="array" ref="A526">+INDEX(Partidas!$A:$J,MATCH('Resultados dashboard'!$B526,Partidas!$C:$C,0),2)</f>
        <v>45466</v>
      </c>
      <c r="B526" s="56">
        <f>+IF(COUNTIF($B$2:B525,B525)=VLOOKUP(B525,Partidas!$C:$J,8,0),B525+1,B525)</f>
        <v>117</v>
      </c>
      <c r="C526" s="41" t="str">
        <f t="array" ref="C526">+INDEX(Partidas!$A:$J,MATCH('Resultados dashboard'!$B526,Partidas!$C:$C,0),3+COUNTIF($B$2:B526,'Resultados dashboard'!$B526))</f>
        <v>Gallo</v>
      </c>
      <c r="D526" s="54">
        <v>3</v>
      </c>
      <c r="E526" s="54">
        <v>1</v>
      </c>
      <c r="F526" s="54">
        <v>1</v>
      </c>
      <c r="G526" s="53"/>
      <c r="H526" s="38">
        <f t="shared" si="5"/>
        <v>6</v>
      </c>
      <c r="I526" s="38">
        <f t="shared" si="4"/>
        <v>3</v>
      </c>
      <c r="J526" s="55"/>
    </row>
    <row r="527" spans="1:10" ht="12.75" customHeight="1" x14ac:dyDescent="0.2">
      <c r="A527" s="50">
        <f t="array" ref="A527">+INDEX(Partidas!$A:$J,MATCH('Resultados dashboard'!$B527,Partidas!$C:$C,0),2)</f>
        <v>45466</v>
      </c>
      <c r="B527" s="56">
        <f>+IF(COUNTIF($B$2:B526,B526)=VLOOKUP(B526,Partidas!$C:$J,8,0),B526+1,B526)</f>
        <v>117</v>
      </c>
      <c r="C527" s="41" t="str">
        <f t="array" ref="C527">+INDEX(Partidas!$A:$J,MATCH('Resultados dashboard'!$B527,Partidas!$C:$C,0),3+COUNTIF($B$2:B527,'Resultados dashboard'!$B527))</f>
        <v>Max</v>
      </c>
      <c r="D527" s="54">
        <v>8</v>
      </c>
      <c r="E527" s="53"/>
      <c r="F527" s="53"/>
      <c r="G527" s="54">
        <v>1</v>
      </c>
      <c r="H527" s="38">
        <f t="shared" si="5"/>
        <v>10</v>
      </c>
      <c r="I527" s="38">
        <f t="shared" si="4"/>
        <v>1</v>
      </c>
      <c r="J527" s="55"/>
    </row>
    <row r="528" spans="1:10" ht="12.75" customHeight="1" x14ac:dyDescent="0.2">
      <c r="A528" s="50">
        <f t="array" ref="A528">+INDEX(Partidas!$A:$J,MATCH('Resultados dashboard'!$B528,Partidas!$C:$C,0),2)</f>
        <v>45466</v>
      </c>
      <c r="B528" s="56">
        <f>+IF(COUNTIF($B$2:B527,B527)=VLOOKUP(B527,Partidas!$C:$J,8,0),B527+1,B527)</f>
        <v>117</v>
      </c>
      <c r="C528" s="41" t="str">
        <f t="array" ref="C528">+INDEX(Partidas!$A:$J,MATCH('Resultados dashboard'!$B528,Partidas!$C:$C,0),3+COUNTIF($B$2:B528,'Resultados dashboard'!$B528))</f>
        <v>Gaspa</v>
      </c>
      <c r="D528" s="54">
        <v>6</v>
      </c>
      <c r="E528" s="53"/>
      <c r="F528" s="53"/>
      <c r="G528" s="53"/>
      <c r="H528" s="38">
        <f t="shared" si="5"/>
        <v>6</v>
      </c>
      <c r="I528" s="38">
        <f t="shared" si="4"/>
        <v>3</v>
      </c>
      <c r="J528" s="55"/>
    </row>
    <row r="529" spans="1:10" ht="12.75" customHeight="1" x14ac:dyDescent="0.2">
      <c r="A529" s="50">
        <f t="array" ref="A529">+INDEX(Partidas!$A:$J,MATCH('Resultados dashboard'!$B529,Partidas!$C:$C,0),2)</f>
        <v>45466</v>
      </c>
      <c r="B529" s="56">
        <f>+IF(COUNTIF($B$2:B528,B528)=VLOOKUP(B528,Partidas!$C:$J,8,0),B528+1,B528)</f>
        <v>117</v>
      </c>
      <c r="C529" s="41" t="str">
        <f t="array" ref="C529">+INDEX(Partidas!$A:$J,MATCH('Resultados dashboard'!$B529,Partidas!$C:$C,0),3+COUNTIF($B$2:B529,'Resultados dashboard'!$B529))</f>
        <v>Hugo</v>
      </c>
      <c r="D529" s="54">
        <v>4</v>
      </c>
      <c r="E529" s="54">
        <v>3</v>
      </c>
      <c r="F529" s="53"/>
      <c r="G529" s="53"/>
      <c r="H529" s="38">
        <f t="shared" si="5"/>
        <v>7</v>
      </c>
      <c r="I529" s="38">
        <f t="shared" si="4"/>
        <v>2</v>
      </c>
      <c r="J529" s="55"/>
    </row>
    <row r="530" spans="1:10" ht="12.75" customHeight="1" x14ac:dyDescent="0.2">
      <c r="A530" s="50">
        <f t="array" ref="A530">+INDEX(Partidas!$A:$J,MATCH('Resultados dashboard'!$B530,Partidas!$C:$C,0),2)</f>
        <v>45466</v>
      </c>
      <c r="B530" s="56">
        <f>+IF(COUNTIF($B$2:B529,B529)=VLOOKUP(B529,Partidas!$C:$J,8,0),B529+1,B529)</f>
        <v>118</v>
      </c>
      <c r="C530" s="41" t="str">
        <f t="array" ref="C530">+INDEX(Partidas!$A:$J,MATCH('Resultados dashboard'!$B530,Partidas!$C:$C,0),3+COUNTIF($B$2:B530,'Resultados dashboard'!$B530))</f>
        <v>Gallo</v>
      </c>
      <c r="D530" s="54">
        <v>8</v>
      </c>
      <c r="E530" s="53"/>
      <c r="F530" s="53"/>
      <c r="G530" s="54">
        <v>1</v>
      </c>
      <c r="H530" s="38">
        <f t="shared" si="5"/>
        <v>10</v>
      </c>
      <c r="I530" s="38">
        <f t="shared" si="4"/>
        <v>1</v>
      </c>
      <c r="J530" s="55"/>
    </row>
    <row r="531" spans="1:10" ht="12.75" customHeight="1" x14ac:dyDescent="0.2">
      <c r="A531" s="50">
        <f t="array" ref="A531">+INDEX(Partidas!$A:$J,MATCH('Resultados dashboard'!$B531,Partidas!$C:$C,0),2)</f>
        <v>45466</v>
      </c>
      <c r="B531" s="56">
        <f>+IF(COUNTIF($B$2:B530,B530)=VLOOKUP(B530,Partidas!$C:$J,8,0),B530+1,B530)</f>
        <v>118</v>
      </c>
      <c r="C531" s="41" t="str">
        <f t="array" ref="C531">+INDEX(Partidas!$A:$J,MATCH('Resultados dashboard'!$B531,Partidas!$C:$C,0),3+COUNTIF($B$2:B531,'Resultados dashboard'!$B531))</f>
        <v>Max</v>
      </c>
      <c r="D531" s="54">
        <v>4</v>
      </c>
      <c r="E531" s="53"/>
      <c r="F531" s="53"/>
      <c r="G531" s="53"/>
      <c r="H531" s="38">
        <f t="shared" si="5"/>
        <v>4</v>
      </c>
      <c r="I531" s="38">
        <f t="shared" si="4"/>
        <v>4</v>
      </c>
      <c r="J531" s="55"/>
    </row>
    <row r="532" spans="1:10" ht="12.75" customHeight="1" x14ac:dyDescent="0.2">
      <c r="A532" s="50">
        <f t="array" ref="A532">+INDEX(Partidas!$A:$J,MATCH('Resultados dashboard'!$B532,Partidas!$C:$C,0),2)</f>
        <v>45466</v>
      </c>
      <c r="B532" s="56">
        <f>+IF(COUNTIF($B$2:B531,B531)=VLOOKUP(B531,Partidas!$C:$J,8,0),B531+1,B531)</f>
        <v>118</v>
      </c>
      <c r="C532" s="41" t="str">
        <f t="array" ref="C532">+INDEX(Partidas!$A:$J,MATCH('Resultados dashboard'!$B532,Partidas!$C:$C,0),3+COUNTIF($B$2:B532,'Resultados dashboard'!$B532))</f>
        <v>Gaspa</v>
      </c>
      <c r="D532" s="54">
        <v>6</v>
      </c>
      <c r="E532" s="54">
        <v>1</v>
      </c>
      <c r="F532" s="54">
        <v>1</v>
      </c>
      <c r="G532" s="53"/>
      <c r="H532" s="38">
        <f t="shared" si="5"/>
        <v>9</v>
      </c>
      <c r="I532" s="38">
        <f t="shared" si="4"/>
        <v>2</v>
      </c>
      <c r="J532" s="55"/>
    </row>
    <row r="533" spans="1:10" ht="12.75" customHeight="1" x14ac:dyDescent="0.2">
      <c r="A533" s="50">
        <f t="array" ref="A533">+INDEX(Partidas!$A:$J,MATCH('Resultados dashboard'!$B533,Partidas!$C:$C,0),2)</f>
        <v>45466</v>
      </c>
      <c r="B533" s="56">
        <f>+IF(COUNTIF($B$2:B532,B532)=VLOOKUP(B532,Partidas!$C:$J,8,0),B532+1,B532)</f>
        <v>118</v>
      </c>
      <c r="C533" s="41" t="str">
        <f t="array" ref="C533">+INDEX(Partidas!$A:$J,MATCH('Resultados dashboard'!$B533,Partidas!$C:$C,0),3+COUNTIF($B$2:B533,'Resultados dashboard'!$B533))</f>
        <v>Hugo</v>
      </c>
      <c r="D533" s="54">
        <v>5</v>
      </c>
      <c r="E533" s="54">
        <v>1</v>
      </c>
      <c r="F533" s="53"/>
      <c r="G533" s="53"/>
      <c r="H533" s="38">
        <f t="shared" si="5"/>
        <v>6</v>
      </c>
      <c r="I533" s="38">
        <f t="shared" si="4"/>
        <v>3</v>
      </c>
      <c r="J533" s="55"/>
    </row>
    <row r="534" spans="1:10" ht="12.75" customHeight="1" x14ac:dyDescent="0.2">
      <c r="A534" s="50">
        <f t="array" ref="A534">+INDEX(Partidas!$A:$J,MATCH('Resultados dashboard'!$B534,Partidas!$C:$C,0),2)</f>
        <v>45466</v>
      </c>
      <c r="B534" s="56">
        <f>+IF(COUNTIF($B$2:B533,B533)=VLOOKUP(B533,Partidas!$C:$J,8,0),B533+1,B533)</f>
        <v>119</v>
      </c>
      <c r="C534" s="41" t="str">
        <f t="array" ref="C534">+INDEX(Partidas!$A:$J,MATCH('Resultados dashboard'!$B534,Partidas!$C:$C,0),3+COUNTIF($B$2:B534,'Resultados dashboard'!$B534))</f>
        <v>Gallo</v>
      </c>
      <c r="D534" s="54">
        <v>3</v>
      </c>
      <c r="E534" s="54">
        <v>1</v>
      </c>
      <c r="F534" s="53"/>
      <c r="G534" s="53"/>
      <c r="H534" s="38">
        <f t="shared" si="5"/>
        <v>4</v>
      </c>
      <c r="I534" s="38">
        <f t="shared" si="4"/>
        <v>3</v>
      </c>
      <c r="J534" s="55"/>
    </row>
    <row r="535" spans="1:10" ht="12.75" customHeight="1" x14ac:dyDescent="0.2">
      <c r="A535" s="50">
        <f t="array" ref="A535">+INDEX(Partidas!$A:$J,MATCH('Resultados dashboard'!$B535,Partidas!$C:$C,0),2)</f>
        <v>45466</v>
      </c>
      <c r="B535" s="56">
        <f>+IF(COUNTIF($B$2:B534,B534)=VLOOKUP(B534,Partidas!$C:$J,8,0),B534+1,B534)</f>
        <v>119</v>
      </c>
      <c r="C535" s="41" t="str">
        <f t="array" ref="C535">+INDEX(Partidas!$A:$J,MATCH('Resultados dashboard'!$B535,Partidas!$C:$C,0),3+COUNTIF($B$2:B535,'Resultados dashboard'!$B535))</f>
        <v>Max</v>
      </c>
      <c r="D535" s="54">
        <v>3</v>
      </c>
      <c r="E535" s="53"/>
      <c r="F535" s="53"/>
      <c r="G535" s="53"/>
      <c r="H535" s="38">
        <f t="shared" si="5"/>
        <v>3</v>
      </c>
      <c r="I535" s="38">
        <f t="shared" si="4"/>
        <v>4</v>
      </c>
      <c r="J535" s="55"/>
    </row>
    <row r="536" spans="1:10" ht="12.75" customHeight="1" x14ac:dyDescent="0.2">
      <c r="A536" s="50">
        <f t="array" ref="A536">+INDEX(Partidas!$A:$J,MATCH('Resultados dashboard'!$B536,Partidas!$C:$C,0),2)</f>
        <v>45466</v>
      </c>
      <c r="B536" s="56">
        <f>+IF(COUNTIF($B$2:B535,B535)=VLOOKUP(B535,Partidas!$C:$J,8,0),B535+1,B535)</f>
        <v>119</v>
      </c>
      <c r="C536" s="41" t="str">
        <f t="array" ref="C536">+INDEX(Partidas!$A:$J,MATCH('Resultados dashboard'!$B536,Partidas!$C:$C,0),3+COUNTIF($B$2:B536,'Resultados dashboard'!$B536))</f>
        <v>Gaspa</v>
      </c>
      <c r="D536" s="54">
        <v>6</v>
      </c>
      <c r="E536" s="54">
        <v>2</v>
      </c>
      <c r="F536" s="54">
        <v>1</v>
      </c>
      <c r="G536" s="53"/>
      <c r="H536" s="38">
        <f t="shared" si="5"/>
        <v>10</v>
      </c>
      <c r="I536" s="38">
        <f t="shared" si="4"/>
        <v>1</v>
      </c>
      <c r="J536" s="55"/>
    </row>
    <row r="537" spans="1:10" ht="12.75" customHeight="1" x14ac:dyDescent="0.2">
      <c r="A537" s="50">
        <f t="array" ref="A537">+INDEX(Partidas!$A:$J,MATCH('Resultados dashboard'!$B537,Partidas!$C:$C,0),2)</f>
        <v>45466</v>
      </c>
      <c r="B537" s="56">
        <f>+IF(COUNTIF($B$2:B536,B536)=VLOOKUP(B536,Partidas!$C:$J,8,0),B536+1,B536)</f>
        <v>119</v>
      </c>
      <c r="C537" s="41" t="str">
        <f t="array" ref="C537">+INDEX(Partidas!$A:$J,MATCH('Resultados dashboard'!$B537,Partidas!$C:$C,0),3+COUNTIF($B$2:B537,'Resultados dashboard'!$B537))</f>
        <v>Hugo</v>
      </c>
      <c r="D537" s="54">
        <v>4</v>
      </c>
      <c r="E537" s="54">
        <v>1</v>
      </c>
      <c r="F537" s="53"/>
      <c r="G537" s="53"/>
      <c r="H537" s="38">
        <f t="shared" si="5"/>
        <v>5</v>
      </c>
      <c r="I537" s="38">
        <f t="shared" si="4"/>
        <v>2</v>
      </c>
      <c r="J537" s="55"/>
    </row>
    <row r="538" spans="1:10" ht="12.75" customHeight="1" x14ac:dyDescent="0.2">
      <c r="A538" s="50">
        <f t="array" ref="A538">+INDEX(Partidas!$A:$J,MATCH('Resultados dashboard'!$B538,Partidas!$C:$C,0),2)</f>
        <v>45466</v>
      </c>
      <c r="B538" s="56">
        <f>+IF(COUNTIF($B$2:B537,B537)=VLOOKUP(B537,Partidas!$C:$J,8,0),B537+1,B537)</f>
        <v>120</v>
      </c>
      <c r="C538" s="41" t="str">
        <f t="array" ref="C538">+INDEX(Partidas!$A:$J,MATCH('Resultados dashboard'!$B538,Partidas!$C:$C,0),3+COUNTIF($B$2:B538,'Resultados dashboard'!$B538))</f>
        <v>Gallo</v>
      </c>
      <c r="D538" s="54">
        <v>8</v>
      </c>
      <c r="E538" s="54">
        <v>1</v>
      </c>
      <c r="F538" s="53"/>
      <c r="G538" s="53"/>
      <c r="H538" s="38">
        <f t="shared" si="5"/>
        <v>9</v>
      </c>
      <c r="I538" s="38">
        <f t="shared" si="4"/>
        <v>2</v>
      </c>
      <c r="J538" s="55"/>
    </row>
    <row r="539" spans="1:10" ht="12.75" customHeight="1" x14ac:dyDescent="0.2">
      <c r="A539" s="50">
        <f t="array" ref="A539">+INDEX(Partidas!$A:$J,MATCH('Resultados dashboard'!$B539,Partidas!$C:$C,0),2)</f>
        <v>45466</v>
      </c>
      <c r="B539" s="56">
        <f>+IF(COUNTIF($B$2:B538,B538)=VLOOKUP(B538,Partidas!$C:$J,8,0),B538+1,B538)</f>
        <v>120</v>
      </c>
      <c r="C539" s="41" t="str">
        <f t="array" ref="C539">+INDEX(Partidas!$A:$J,MATCH('Resultados dashboard'!$B539,Partidas!$C:$C,0),3+COUNTIF($B$2:B539,'Resultados dashboard'!$B539))</f>
        <v>Max</v>
      </c>
      <c r="D539" s="54">
        <v>8</v>
      </c>
      <c r="E539" s="54">
        <v>1</v>
      </c>
      <c r="F539" s="53"/>
      <c r="G539" s="53"/>
      <c r="H539" s="38">
        <f t="shared" si="5"/>
        <v>9</v>
      </c>
      <c r="I539" s="38">
        <f t="shared" si="4"/>
        <v>2</v>
      </c>
      <c r="J539" s="55"/>
    </row>
    <row r="540" spans="1:10" ht="12.75" customHeight="1" x14ac:dyDescent="0.2">
      <c r="A540" s="50">
        <f t="array" ref="A540">+INDEX(Partidas!$A:$J,MATCH('Resultados dashboard'!$B540,Partidas!$C:$C,0),2)</f>
        <v>45466</v>
      </c>
      <c r="B540" s="56">
        <f>+IF(COUNTIF($B$2:B539,B539)=VLOOKUP(B539,Partidas!$C:$J,8,0),B539+1,B539)</f>
        <v>120</v>
      </c>
      <c r="C540" s="41" t="str">
        <f t="array" ref="C540">+INDEX(Partidas!$A:$J,MATCH('Resultados dashboard'!$B540,Partidas!$C:$C,0),3+COUNTIF($B$2:B540,'Resultados dashboard'!$B540))</f>
        <v>Gaspa</v>
      </c>
      <c r="D540" s="54">
        <v>8</v>
      </c>
      <c r="E540" s="53"/>
      <c r="F540" s="53"/>
      <c r="G540" s="54">
        <v>1</v>
      </c>
      <c r="H540" s="38">
        <f t="shared" si="5"/>
        <v>10</v>
      </c>
      <c r="I540" s="38">
        <f t="shared" si="4"/>
        <v>1</v>
      </c>
      <c r="J540" s="55"/>
    </row>
    <row r="541" spans="1:10" ht="12.75" customHeight="1" x14ac:dyDescent="0.2">
      <c r="A541" s="50">
        <f t="array" ref="A541">+INDEX(Partidas!$A:$J,MATCH('Resultados dashboard'!$B541,Partidas!$C:$C,0),2)</f>
        <v>45466</v>
      </c>
      <c r="B541" s="56">
        <f>+IF(COUNTIF($B$2:B540,B540)=VLOOKUP(B540,Partidas!$C:$J,8,0),B540+1,B540)</f>
        <v>120</v>
      </c>
      <c r="C541" s="41" t="str">
        <f t="array" ref="C541">+INDEX(Partidas!$A:$J,MATCH('Resultados dashboard'!$B541,Partidas!$C:$C,0),3+COUNTIF($B$2:B541,'Resultados dashboard'!$B541))</f>
        <v>Hugo</v>
      </c>
      <c r="D541" s="54">
        <v>6</v>
      </c>
      <c r="E541" s="53"/>
      <c r="F541" s="54">
        <v>1</v>
      </c>
      <c r="G541" s="53"/>
      <c r="H541" s="38">
        <f t="shared" si="5"/>
        <v>8</v>
      </c>
      <c r="I541" s="38">
        <f t="shared" si="4"/>
        <v>4</v>
      </c>
      <c r="J541" s="55"/>
    </row>
    <row r="542" spans="1:10" ht="12.75" customHeight="1" x14ac:dyDescent="0.2">
      <c r="A542" s="50">
        <f t="array" ref="A542">+INDEX(Partidas!$A:$J,MATCH('Resultados dashboard'!$B542,Partidas!$C:$C,0),2)</f>
        <v>45466</v>
      </c>
      <c r="B542" s="56">
        <f>+IF(COUNTIF($B$2:B541,B541)=VLOOKUP(B541,Partidas!$C:$J,8,0),B541+1,B541)</f>
        <v>121</v>
      </c>
      <c r="C542" s="41" t="str">
        <f t="array" ref="C542">+INDEX(Partidas!$A:$J,MATCH('Resultados dashboard'!$B542,Partidas!$C:$C,0),3+COUNTIF($B$2:B542,'Resultados dashboard'!$B542))</f>
        <v>Gallo</v>
      </c>
      <c r="D542" s="54">
        <v>6</v>
      </c>
      <c r="E542" s="53"/>
      <c r="F542" s="53"/>
      <c r="G542" s="54">
        <v>1</v>
      </c>
      <c r="H542" s="38">
        <f t="shared" si="5"/>
        <v>8</v>
      </c>
      <c r="I542" s="38">
        <f t="shared" si="4"/>
        <v>3</v>
      </c>
      <c r="J542" s="55"/>
    </row>
    <row r="543" spans="1:10" ht="12.75" customHeight="1" x14ac:dyDescent="0.2">
      <c r="A543" s="50">
        <f t="array" ref="A543">+INDEX(Partidas!$A:$J,MATCH('Resultados dashboard'!$B543,Partidas!$C:$C,0),2)</f>
        <v>45466</v>
      </c>
      <c r="B543" s="56">
        <f>+IF(COUNTIF($B$2:B542,B542)=VLOOKUP(B542,Partidas!$C:$J,8,0),B542+1,B542)</f>
        <v>121</v>
      </c>
      <c r="C543" s="41" t="str">
        <f t="array" ref="C543">+INDEX(Partidas!$A:$J,MATCH('Resultados dashboard'!$B543,Partidas!$C:$C,0),3+COUNTIF($B$2:B543,'Resultados dashboard'!$B543))</f>
        <v>Max</v>
      </c>
      <c r="D543" s="54">
        <v>8</v>
      </c>
      <c r="E543" s="54">
        <v>1</v>
      </c>
      <c r="F543" s="53"/>
      <c r="G543" s="53"/>
      <c r="H543" s="38">
        <f t="shared" si="5"/>
        <v>9</v>
      </c>
      <c r="I543" s="38">
        <f t="shared" si="4"/>
        <v>2</v>
      </c>
      <c r="J543" s="55"/>
    </row>
    <row r="544" spans="1:10" ht="12.75" customHeight="1" x14ac:dyDescent="0.2">
      <c r="A544" s="50">
        <f t="array" ref="A544">+INDEX(Partidas!$A:$J,MATCH('Resultados dashboard'!$B544,Partidas!$C:$C,0),2)</f>
        <v>45466</v>
      </c>
      <c r="B544" s="56">
        <f>+IF(COUNTIF($B$2:B543,B543)=VLOOKUP(B543,Partidas!$C:$J,8,0),B543+1,B543)</f>
        <v>121</v>
      </c>
      <c r="C544" s="41" t="str">
        <f t="array" ref="C544">+INDEX(Partidas!$A:$J,MATCH('Resultados dashboard'!$B544,Partidas!$C:$C,0),3+COUNTIF($B$2:B544,'Resultados dashboard'!$B544))</f>
        <v>Gaspa</v>
      </c>
      <c r="D544" s="54">
        <v>6</v>
      </c>
      <c r="E544" s="54">
        <v>2</v>
      </c>
      <c r="F544" s="53"/>
      <c r="G544" s="53"/>
      <c r="H544" s="38">
        <f t="shared" si="5"/>
        <v>8</v>
      </c>
      <c r="I544" s="38">
        <f t="shared" si="4"/>
        <v>3</v>
      </c>
      <c r="J544" s="55"/>
    </row>
    <row r="545" spans="1:10" ht="12.75" customHeight="1" x14ac:dyDescent="0.2">
      <c r="A545" s="50">
        <f t="array" ref="A545">+INDEX(Partidas!$A:$J,MATCH('Resultados dashboard'!$B545,Partidas!$C:$C,0),2)</f>
        <v>45466</v>
      </c>
      <c r="B545" s="56">
        <f>+IF(COUNTIF($B$2:B544,B544)=VLOOKUP(B544,Partidas!$C:$J,8,0),B544+1,B544)</f>
        <v>121</v>
      </c>
      <c r="C545" s="41" t="str">
        <f t="array" ref="C545">+INDEX(Partidas!$A:$J,MATCH('Resultados dashboard'!$B545,Partidas!$C:$C,0),3+COUNTIF($B$2:B545,'Resultados dashboard'!$B545))</f>
        <v>Hugo</v>
      </c>
      <c r="D545" s="54">
        <v>7</v>
      </c>
      <c r="E545" s="54">
        <v>1</v>
      </c>
      <c r="F545" s="54">
        <v>1</v>
      </c>
      <c r="G545" s="53"/>
      <c r="H545" s="38">
        <f t="shared" si="5"/>
        <v>10</v>
      </c>
      <c r="I545" s="38">
        <f t="shared" si="4"/>
        <v>1</v>
      </c>
      <c r="J545" s="55"/>
    </row>
    <row r="546" spans="1:10" ht="12.75" customHeight="1" x14ac:dyDescent="0.2">
      <c r="A546" s="50">
        <f t="array" ref="A546">+INDEX(Partidas!$A:$J,MATCH('Resultados dashboard'!$B546,Partidas!$C:$C,0),2)</f>
        <v>45485</v>
      </c>
      <c r="B546" s="56">
        <f>+IF(COUNTIF($B$2:B545,B545)=VLOOKUP(B545,Partidas!$C:$J,8,0),B545+1,B545)</f>
        <v>122</v>
      </c>
      <c r="C546" s="41" t="str">
        <f t="array" ref="C546">+INDEX(Partidas!$A:$J,MATCH('Resultados dashboard'!$B546,Partidas!$C:$C,0),3+COUNTIF($B$2:B546,'Resultados dashboard'!$B546))</f>
        <v>Gallo</v>
      </c>
      <c r="D546" s="54">
        <v>4</v>
      </c>
      <c r="E546" s="54">
        <v>1</v>
      </c>
      <c r="F546" s="53"/>
      <c r="G546" s="53"/>
      <c r="H546" s="38">
        <f t="shared" si="5"/>
        <v>5</v>
      </c>
      <c r="I546" s="38">
        <f t="shared" si="4"/>
        <v>4</v>
      </c>
      <c r="J546" s="55"/>
    </row>
    <row r="547" spans="1:10" ht="12.75" customHeight="1" x14ac:dyDescent="0.2">
      <c r="A547" s="50">
        <f t="array" ref="A547">+INDEX(Partidas!$A:$J,MATCH('Resultados dashboard'!$B547,Partidas!$C:$C,0),2)</f>
        <v>45485</v>
      </c>
      <c r="B547" s="56">
        <f>+IF(COUNTIF($B$2:B546,B546)=VLOOKUP(B546,Partidas!$C:$J,8,0),B546+1,B546)</f>
        <v>122</v>
      </c>
      <c r="C547" s="41" t="str">
        <f t="array" ref="C547">+INDEX(Partidas!$A:$J,MATCH('Resultados dashboard'!$B547,Partidas!$C:$C,0),3+COUNTIF($B$2:B547,'Resultados dashboard'!$B547))</f>
        <v>Max</v>
      </c>
      <c r="D547" s="54">
        <v>5</v>
      </c>
      <c r="E547" s="54">
        <v>1</v>
      </c>
      <c r="F547" s="53"/>
      <c r="G547" s="54">
        <v>1</v>
      </c>
      <c r="H547" s="38">
        <f t="shared" si="5"/>
        <v>8</v>
      </c>
      <c r="I547" s="38">
        <f t="shared" si="4"/>
        <v>2</v>
      </c>
      <c r="J547" s="55"/>
    </row>
    <row r="548" spans="1:10" ht="12.75" customHeight="1" x14ac:dyDescent="0.2">
      <c r="A548" s="50">
        <f t="array" ref="A548">+INDEX(Partidas!$A:$J,MATCH('Resultados dashboard'!$B548,Partidas!$C:$C,0),2)</f>
        <v>45485</v>
      </c>
      <c r="B548" s="56">
        <f>+IF(COUNTIF($B$2:B547,B547)=VLOOKUP(B547,Partidas!$C:$J,8,0),B547+1,B547)</f>
        <v>122</v>
      </c>
      <c r="C548" s="41" t="str">
        <f t="array" ref="C548">+INDEX(Partidas!$A:$J,MATCH('Resultados dashboard'!$B548,Partidas!$C:$C,0),3+COUNTIF($B$2:B548,'Resultados dashboard'!$B548))</f>
        <v>Hugo</v>
      </c>
      <c r="D548" s="54">
        <v>7</v>
      </c>
      <c r="E548" s="54">
        <v>2</v>
      </c>
      <c r="F548" s="54">
        <v>1</v>
      </c>
      <c r="G548" s="53"/>
      <c r="H548" s="38">
        <f t="shared" si="5"/>
        <v>11</v>
      </c>
      <c r="I548" s="38">
        <f t="shared" si="4"/>
        <v>1</v>
      </c>
      <c r="J548" s="55"/>
    </row>
    <row r="549" spans="1:10" ht="12.75" customHeight="1" x14ac:dyDescent="0.2">
      <c r="A549" s="50">
        <f t="array" ref="A549">+INDEX(Partidas!$A:$J,MATCH('Resultados dashboard'!$B549,Partidas!$C:$C,0),2)</f>
        <v>45485</v>
      </c>
      <c r="B549" s="56">
        <f>+IF(COUNTIF($B$2:B548,B548)=VLOOKUP(B548,Partidas!$C:$J,8,0),B548+1,B548)</f>
        <v>122</v>
      </c>
      <c r="C549" s="41" t="str">
        <f t="array" ref="C549">+INDEX(Partidas!$A:$J,MATCH('Resultados dashboard'!$B549,Partidas!$C:$C,0),3+COUNTIF($B$2:B549,'Resultados dashboard'!$B549))</f>
        <v>Rodri</v>
      </c>
      <c r="D549" s="54">
        <v>7</v>
      </c>
      <c r="E549" s="53"/>
      <c r="F549" s="53"/>
      <c r="G549" s="53"/>
      <c r="H549" s="38">
        <f t="shared" si="5"/>
        <v>7</v>
      </c>
      <c r="I549" s="38">
        <f t="shared" si="4"/>
        <v>3</v>
      </c>
      <c r="J549" s="55"/>
    </row>
    <row r="550" spans="1:10" ht="12.75" customHeight="1" x14ac:dyDescent="0.2">
      <c r="A550" s="50">
        <f t="array" ref="A550">+INDEX(Partidas!$A:$J,MATCH('Resultados dashboard'!$B550,Partidas!$C:$C,0),2)</f>
        <v>45485</v>
      </c>
      <c r="B550" s="56">
        <f>+IF(COUNTIF($B$2:B549,B549)=VLOOKUP(B549,Partidas!$C:$J,8,0),B549+1,B549)</f>
        <v>123</v>
      </c>
      <c r="C550" s="41" t="str">
        <f t="array" ref="C550">+INDEX(Partidas!$A:$J,MATCH('Resultados dashboard'!$B550,Partidas!$C:$C,0),3+COUNTIF($B$2:B550,'Resultados dashboard'!$B550))</f>
        <v>Gallo</v>
      </c>
      <c r="D550" s="54">
        <v>7</v>
      </c>
      <c r="E550" s="53"/>
      <c r="F550" s="53"/>
      <c r="G550" s="53"/>
      <c r="H550" s="38">
        <f t="shared" si="5"/>
        <v>7</v>
      </c>
      <c r="I550" s="38">
        <f t="shared" si="4"/>
        <v>3</v>
      </c>
      <c r="J550" s="55"/>
    </row>
    <row r="551" spans="1:10" ht="12.75" customHeight="1" x14ac:dyDescent="0.2">
      <c r="A551" s="50">
        <f t="array" ref="A551">+INDEX(Partidas!$A:$J,MATCH('Resultados dashboard'!$B551,Partidas!$C:$C,0),2)</f>
        <v>45485</v>
      </c>
      <c r="B551" s="56">
        <f>+IF(COUNTIF($B$2:B550,B550)=VLOOKUP(B550,Partidas!$C:$J,8,0),B550+1,B550)</f>
        <v>123</v>
      </c>
      <c r="C551" s="41" t="str">
        <f t="array" ref="C551">+INDEX(Partidas!$A:$J,MATCH('Resultados dashboard'!$B551,Partidas!$C:$C,0),3+COUNTIF($B$2:B551,'Resultados dashboard'!$B551))</f>
        <v>Max</v>
      </c>
      <c r="D551" s="54">
        <v>8</v>
      </c>
      <c r="E551" s="54">
        <v>1</v>
      </c>
      <c r="F551" s="53"/>
      <c r="G551" s="54">
        <v>1</v>
      </c>
      <c r="H551" s="38">
        <f t="shared" si="5"/>
        <v>11</v>
      </c>
      <c r="I551" s="38">
        <f t="shared" si="4"/>
        <v>1</v>
      </c>
      <c r="J551" s="55"/>
    </row>
    <row r="552" spans="1:10" ht="12.75" customHeight="1" x14ac:dyDescent="0.2">
      <c r="A552" s="50">
        <f t="array" ref="A552">+INDEX(Partidas!$A:$J,MATCH('Resultados dashboard'!$B552,Partidas!$C:$C,0),2)</f>
        <v>45485</v>
      </c>
      <c r="B552" s="56">
        <f>+IF(COUNTIF($B$2:B551,B551)=VLOOKUP(B551,Partidas!$C:$J,8,0),B551+1,B551)</f>
        <v>123</v>
      </c>
      <c r="C552" s="41" t="str">
        <f t="array" ref="C552">+INDEX(Partidas!$A:$J,MATCH('Resultados dashboard'!$B552,Partidas!$C:$C,0),3+COUNTIF($B$2:B552,'Resultados dashboard'!$B552))</f>
        <v>Hugo</v>
      </c>
      <c r="D552" s="54">
        <v>7</v>
      </c>
      <c r="E552" s="53"/>
      <c r="F552" s="54">
        <v>1</v>
      </c>
      <c r="G552" s="53"/>
      <c r="H552" s="38">
        <f t="shared" si="5"/>
        <v>9</v>
      </c>
      <c r="I552" s="38">
        <f t="shared" si="4"/>
        <v>2</v>
      </c>
      <c r="J552" s="55"/>
    </row>
    <row r="553" spans="1:10" ht="12.75" customHeight="1" x14ac:dyDescent="0.2">
      <c r="A553" s="50">
        <f t="array" ref="A553">+INDEX(Partidas!$A:$J,MATCH('Resultados dashboard'!$B553,Partidas!$C:$C,0),2)</f>
        <v>45485</v>
      </c>
      <c r="B553" s="56">
        <f>+IF(COUNTIF($B$2:B552,B552)=VLOOKUP(B552,Partidas!$C:$J,8,0),B552+1,B552)</f>
        <v>123</v>
      </c>
      <c r="C553" s="41" t="str">
        <f t="array" ref="C553">+INDEX(Partidas!$A:$J,MATCH('Resultados dashboard'!$B553,Partidas!$C:$C,0),3+COUNTIF($B$2:B553,'Resultados dashboard'!$B553))</f>
        <v>Rodri</v>
      </c>
      <c r="D553" s="54">
        <v>5</v>
      </c>
      <c r="E553" s="54">
        <v>2</v>
      </c>
      <c r="F553" s="53"/>
      <c r="G553" s="53"/>
      <c r="H553" s="38">
        <f t="shared" si="5"/>
        <v>7</v>
      </c>
      <c r="I553" s="38">
        <f t="shared" si="4"/>
        <v>3</v>
      </c>
      <c r="J553" s="55"/>
    </row>
    <row r="554" spans="1:10" ht="12.75" customHeight="1" x14ac:dyDescent="0.2">
      <c r="A554" s="50">
        <f t="array" ref="A554">+INDEX(Partidas!$A:$J,MATCH('Resultados dashboard'!$B554,Partidas!$C:$C,0),2)</f>
        <v>45485</v>
      </c>
      <c r="B554" s="56">
        <f>+IF(COUNTIF($B$2:B553,B553)=VLOOKUP(B553,Partidas!$C:$J,8,0),B553+1,B553)</f>
        <v>124</v>
      </c>
      <c r="C554" s="41" t="str">
        <f t="array" ref="C554">+INDEX(Partidas!$A:$J,MATCH('Resultados dashboard'!$B554,Partidas!$C:$C,0),3+COUNTIF($B$2:B554,'Resultados dashboard'!$B554))</f>
        <v>Gallo</v>
      </c>
      <c r="D554" s="54">
        <v>3</v>
      </c>
      <c r="E554" s="54">
        <v>1</v>
      </c>
      <c r="F554" s="53"/>
      <c r="G554" s="53"/>
      <c r="H554" s="38">
        <f t="shared" si="5"/>
        <v>4</v>
      </c>
      <c r="I554" s="38">
        <f t="shared" si="4"/>
        <v>2</v>
      </c>
      <c r="J554" s="55"/>
    </row>
    <row r="555" spans="1:10" ht="12.75" customHeight="1" x14ac:dyDescent="0.2">
      <c r="A555" s="50">
        <f t="array" ref="A555">+INDEX(Partidas!$A:$J,MATCH('Resultados dashboard'!$B555,Partidas!$C:$C,0),2)</f>
        <v>45485</v>
      </c>
      <c r="B555" s="56">
        <f>+IF(COUNTIF($B$2:B554,B554)=VLOOKUP(B554,Partidas!$C:$J,8,0),B554+1,B554)</f>
        <v>124</v>
      </c>
      <c r="C555" s="41" t="str">
        <f t="array" ref="C555">+INDEX(Partidas!$A:$J,MATCH('Resultados dashboard'!$B555,Partidas!$C:$C,0),3+COUNTIF($B$2:B555,'Resultados dashboard'!$B555))</f>
        <v>Max</v>
      </c>
      <c r="D555" s="54">
        <v>7</v>
      </c>
      <c r="E555" s="54">
        <v>1</v>
      </c>
      <c r="F555" s="53"/>
      <c r="G555" s="54">
        <v>1</v>
      </c>
      <c r="H555" s="38">
        <f t="shared" si="5"/>
        <v>10</v>
      </c>
      <c r="I555" s="38">
        <f t="shared" si="4"/>
        <v>1</v>
      </c>
      <c r="J555" s="55"/>
    </row>
    <row r="556" spans="1:10" ht="12.75" customHeight="1" x14ac:dyDescent="0.2">
      <c r="A556" s="50">
        <f t="array" ref="A556">+INDEX(Partidas!$A:$J,MATCH('Resultados dashboard'!$B556,Partidas!$C:$C,0),2)</f>
        <v>45485</v>
      </c>
      <c r="B556" s="56">
        <f>+IF(COUNTIF($B$2:B555,B555)=VLOOKUP(B555,Partidas!$C:$J,8,0),B555+1,B555)</f>
        <v>124</v>
      </c>
      <c r="C556" s="41" t="str">
        <f t="array" ref="C556">+INDEX(Partidas!$A:$J,MATCH('Resultados dashboard'!$B556,Partidas!$C:$C,0),3+COUNTIF($B$2:B556,'Resultados dashboard'!$B556))</f>
        <v>Hugo</v>
      </c>
      <c r="D556" s="54">
        <v>3</v>
      </c>
      <c r="E556" s="54">
        <v>1</v>
      </c>
      <c r="F556" s="53"/>
      <c r="G556" s="53"/>
      <c r="H556" s="38">
        <f t="shared" si="5"/>
        <v>4</v>
      </c>
      <c r="I556" s="38">
        <f t="shared" si="4"/>
        <v>2</v>
      </c>
      <c r="J556" s="55"/>
    </row>
    <row r="557" spans="1:10" ht="12.75" customHeight="1" x14ac:dyDescent="0.2">
      <c r="A557" s="50">
        <f t="array" ref="A557">+INDEX(Partidas!$A:$J,MATCH('Resultados dashboard'!$B557,Partidas!$C:$C,0),2)</f>
        <v>45485</v>
      </c>
      <c r="B557" s="56">
        <f>+IF(COUNTIF($B$2:B556,B556)=VLOOKUP(B556,Partidas!$C:$J,8,0),B556+1,B556)</f>
        <v>124</v>
      </c>
      <c r="C557" s="41" t="str">
        <f t="array" ref="C557">+INDEX(Partidas!$A:$J,MATCH('Resultados dashboard'!$B557,Partidas!$C:$C,0),3+COUNTIF($B$2:B557,'Resultados dashboard'!$B557))</f>
        <v>Rodri</v>
      </c>
      <c r="D557" s="54">
        <v>4</v>
      </c>
      <c r="E557" s="53"/>
      <c r="F557" s="53"/>
      <c r="G557" s="53"/>
      <c r="H557" s="38">
        <f t="shared" si="5"/>
        <v>4</v>
      </c>
      <c r="I557" s="38">
        <f t="shared" si="4"/>
        <v>2</v>
      </c>
      <c r="J557" s="55"/>
    </row>
    <row r="558" spans="1:10" ht="12.75" customHeight="1" x14ac:dyDescent="0.2">
      <c r="A558" s="50">
        <f t="array" ref="A558">+INDEX(Partidas!$A:$J,MATCH('Resultados dashboard'!$B558,Partidas!$C:$C,0),2)</f>
        <v>45485</v>
      </c>
      <c r="B558" s="56">
        <f>+IF(COUNTIF($B$2:B557,B557)=VLOOKUP(B557,Partidas!$C:$J,8,0),B557+1,B557)</f>
        <v>125</v>
      </c>
      <c r="C558" s="41" t="str">
        <f t="array" ref="C558">+INDEX(Partidas!$A:$J,MATCH('Resultados dashboard'!$B558,Partidas!$C:$C,0),3+COUNTIF($B$2:B558,'Resultados dashboard'!$B558))</f>
        <v>Gallo</v>
      </c>
      <c r="D558" s="54">
        <v>6</v>
      </c>
      <c r="E558" s="54">
        <v>2</v>
      </c>
      <c r="F558" s="54">
        <v>1</v>
      </c>
      <c r="G558" s="53"/>
      <c r="H558" s="38">
        <f t="shared" si="5"/>
        <v>10</v>
      </c>
      <c r="I558" s="38">
        <f t="shared" si="4"/>
        <v>1</v>
      </c>
      <c r="J558" s="55"/>
    </row>
    <row r="559" spans="1:10" ht="12.75" customHeight="1" x14ac:dyDescent="0.2">
      <c r="A559" s="50">
        <f t="array" ref="A559">+INDEX(Partidas!$A:$J,MATCH('Resultados dashboard'!$B559,Partidas!$C:$C,0),2)</f>
        <v>45485</v>
      </c>
      <c r="B559" s="56">
        <f>+IF(COUNTIF($B$2:B558,B558)=VLOOKUP(B558,Partidas!$C:$J,8,0),B558+1,B558)</f>
        <v>125</v>
      </c>
      <c r="C559" s="41" t="str">
        <f t="array" ref="C559">+INDEX(Partidas!$A:$J,MATCH('Resultados dashboard'!$B559,Partidas!$C:$C,0),3+COUNTIF($B$2:B559,'Resultados dashboard'!$B559))</f>
        <v>Max</v>
      </c>
      <c r="D559" s="54">
        <v>3</v>
      </c>
      <c r="E559" s="53"/>
      <c r="F559" s="53"/>
      <c r="G559" s="53"/>
      <c r="H559" s="38">
        <f t="shared" si="5"/>
        <v>3</v>
      </c>
      <c r="I559" s="38">
        <f t="shared" si="4"/>
        <v>4</v>
      </c>
      <c r="J559" s="55"/>
    </row>
    <row r="560" spans="1:10" ht="12.75" customHeight="1" x14ac:dyDescent="0.2">
      <c r="A560" s="50">
        <f t="array" ref="A560">+INDEX(Partidas!$A:$J,MATCH('Resultados dashboard'!$B560,Partidas!$C:$C,0),2)</f>
        <v>45485</v>
      </c>
      <c r="B560" s="56">
        <f>+IF(COUNTIF($B$2:B559,B559)=VLOOKUP(B559,Partidas!$C:$J,8,0),B559+1,B559)</f>
        <v>125</v>
      </c>
      <c r="C560" s="41" t="str">
        <f t="array" ref="C560">+INDEX(Partidas!$A:$J,MATCH('Resultados dashboard'!$B560,Partidas!$C:$C,0),3+COUNTIF($B$2:B560,'Resultados dashboard'!$B560))</f>
        <v>Hugo</v>
      </c>
      <c r="D560" s="54">
        <v>6</v>
      </c>
      <c r="E560" s="54">
        <v>1</v>
      </c>
      <c r="F560" s="53"/>
      <c r="G560" s="53"/>
      <c r="H560" s="38">
        <f t="shared" si="5"/>
        <v>7</v>
      </c>
      <c r="I560" s="38">
        <f t="shared" si="4"/>
        <v>2</v>
      </c>
      <c r="J560" s="55"/>
    </row>
    <row r="561" spans="1:10" ht="12.75" customHeight="1" x14ac:dyDescent="0.2">
      <c r="A561" s="50">
        <f t="array" ref="A561">+INDEX(Partidas!$A:$J,MATCH('Resultados dashboard'!$B561,Partidas!$C:$C,0),2)</f>
        <v>45485</v>
      </c>
      <c r="B561" s="56">
        <f>+IF(COUNTIF($B$2:B560,B560)=VLOOKUP(B560,Partidas!$C:$J,8,0),B560+1,B560)</f>
        <v>125</v>
      </c>
      <c r="C561" s="41" t="str">
        <f t="array" ref="C561">+INDEX(Partidas!$A:$J,MATCH('Resultados dashboard'!$B561,Partidas!$C:$C,0),3+COUNTIF($B$2:B561,'Resultados dashboard'!$B561))</f>
        <v>Rodri</v>
      </c>
      <c r="D561" s="16">
        <v>3</v>
      </c>
      <c r="E561" s="53"/>
      <c r="F561" s="53"/>
      <c r="G561" s="54">
        <v>1</v>
      </c>
      <c r="H561" s="38">
        <f t="shared" si="5"/>
        <v>5</v>
      </c>
      <c r="I561" s="38">
        <f t="shared" si="4"/>
        <v>3</v>
      </c>
      <c r="J561" s="55"/>
    </row>
    <row r="562" spans="1:10" ht="12.75" customHeight="1" x14ac:dyDescent="0.2">
      <c r="A562" s="50">
        <f t="array" ref="A562">+INDEX(Partidas!$A:$J,MATCH('Resultados dashboard'!$B562,Partidas!$C:$C,0),2)</f>
        <v>45492</v>
      </c>
      <c r="B562" s="56">
        <f>+IF(COUNTIF($B$2:B561,B561)=VLOOKUP(B561,Partidas!$C:$J,8,0),B561+1,B561)</f>
        <v>126</v>
      </c>
      <c r="C562" s="41" t="str">
        <f t="array" ref="C562">+INDEX(Partidas!$A:$J,MATCH('Resultados dashboard'!$B562,Partidas!$C:$C,0),3+COUNTIF($B$2:B562,'Resultados dashboard'!$B562))</f>
        <v>Gallo</v>
      </c>
      <c r="D562" s="54">
        <v>6</v>
      </c>
      <c r="E562" s="53"/>
      <c r="F562" s="53"/>
      <c r="G562" s="53"/>
      <c r="H562" s="38">
        <f t="shared" si="5"/>
        <v>6</v>
      </c>
      <c r="I562" s="38">
        <f t="shared" si="4"/>
        <v>4</v>
      </c>
      <c r="J562" s="55"/>
    </row>
    <row r="563" spans="1:10" ht="12.75" customHeight="1" x14ac:dyDescent="0.2">
      <c r="A563" s="50">
        <f t="array" ref="A563">+INDEX(Partidas!$A:$J,MATCH('Resultados dashboard'!$B563,Partidas!$C:$C,0),2)</f>
        <v>45492</v>
      </c>
      <c r="B563" s="56">
        <f>+IF(COUNTIF($B$2:B562,B562)=VLOOKUP(B562,Partidas!$C:$J,8,0),B562+1,B562)</f>
        <v>126</v>
      </c>
      <c r="C563" s="41" t="str">
        <f t="array" ref="C563">+INDEX(Partidas!$A:$J,MATCH('Resultados dashboard'!$B563,Partidas!$C:$C,0),3+COUNTIF($B$2:B563,'Resultados dashboard'!$B563))</f>
        <v>Max</v>
      </c>
      <c r="D563" s="54">
        <v>7</v>
      </c>
      <c r="E563" s="54">
        <v>1</v>
      </c>
      <c r="F563" s="53"/>
      <c r="G563" s="53"/>
      <c r="H563" s="38">
        <f t="shared" si="5"/>
        <v>8</v>
      </c>
      <c r="I563" s="38">
        <f t="shared" si="4"/>
        <v>2</v>
      </c>
      <c r="J563" s="55"/>
    </row>
    <row r="564" spans="1:10" ht="12.75" customHeight="1" x14ac:dyDescent="0.2">
      <c r="A564" s="50">
        <f t="array" ref="A564">+INDEX(Partidas!$A:$J,MATCH('Resultados dashboard'!$B564,Partidas!$C:$C,0),2)</f>
        <v>45492</v>
      </c>
      <c r="B564" s="56">
        <f>+IF(COUNTIF($B$2:B563,B563)=VLOOKUP(B563,Partidas!$C:$J,8,0),B563+1,B563)</f>
        <v>126</v>
      </c>
      <c r="C564" s="41" t="str">
        <f t="array" ref="C564">+INDEX(Partidas!$A:$J,MATCH('Resultados dashboard'!$B564,Partidas!$C:$C,0),3+COUNTIF($B$2:B564,'Resultados dashboard'!$B564))</f>
        <v>Hugo</v>
      </c>
      <c r="D564" s="54">
        <v>6</v>
      </c>
      <c r="E564" s="53"/>
      <c r="F564" s="54">
        <v>1</v>
      </c>
      <c r="G564" s="53"/>
      <c r="H564" s="38">
        <f t="shared" si="5"/>
        <v>8</v>
      </c>
      <c r="I564" s="38">
        <f t="shared" si="4"/>
        <v>2</v>
      </c>
      <c r="J564" s="55"/>
    </row>
    <row r="565" spans="1:10" ht="12.75" customHeight="1" x14ac:dyDescent="0.2">
      <c r="A565" s="50">
        <f t="array" ref="A565">+INDEX(Partidas!$A:$J,MATCH('Resultados dashboard'!$B565,Partidas!$C:$C,0),2)</f>
        <v>45492</v>
      </c>
      <c r="B565" s="56">
        <f>+IF(COUNTIF($B$2:B564,B564)=VLOOKUP(B564,Partidas!$C:$J,8,0),B564+1,B564)</f>
        <v>126</v>
      </c>
      <c r="C565" s="41" t="str">
        <f t="array" ref="C565">+INDEX(Partidas!$A:$J,MATCH('Resultados dashboard'!$B565,Partidas!$C:$C,0),3+COUNTIF($B$2:B565,'Resultados dashboard'!$B565))</f>
        <v>Gaspa</v>
      </c>
      <c r="D565" s="54">
        <v>7</v>
      </c>
      <c r="E565" s="54">
        <v>1</v>
      </c>
      <c r="F565" s="53"/>
      <c r="G565" s="54">
        <v>1</v>
      </c>
      <c r="H565" s="38">
        <f t="shared" si="5"/>
        <v>10</v>
      </c>
      <c r="I565" s="38">
        <f t="shared" si="4"/>
        <v>1</v>
      </c>
      <c r="J565" s="55"/>
    </row>
    <row r="566" spans="1:10" ht="12.75" customHeight="1" x14ac:dyDescent="0.2">
      <c r="A566" s="50">
        <f t="array" ref="A566">+INDEX(Partidas!$A:$J,MATCH('Resultados dashboard'!$B566,Partidas!$C:$C,0),2)</f>
        <v>45492</v>
      </c>
      <c r="B566" s="56">
        <f>+IF(COUNTIF($B$2:B565,B565)=VLOOKUP(B565,Partidas!$C:$J,8,0),B565+1,B565)</f>
        <v>127</v>
      </c>
      <c r="C566" s="41" t="str">
        <f t="array" ref="C566">+INDEX(Partidas!$A:$J,MATCH('Resultados dashboard'!$B566,Partidas!$C:$C,0),3+COUNTIF($B$2:B566,'Resultados dashboard'!$B566))</f>
        <v>Gallo</v>
      </c>
      <c r="D566" s="54">
        <v>5</v>
      </c>
      <c r="E566" s="53"/>
      <c r="F566" s="54">
        <v>1</v>
      </c>
      <c r="G566" s="54"/>
      <c r="H566" s="38">
        <f t="shared" si="5"/>
        <v>7</v>
      </c>
      <c r="I566" s="38">
        <f t="shared" si="4"/>
        <v>4</v>
      </c>
      <c r="J566" s="55"/>
    </row>
    <row r="567" spans="1:10" ht="12.75" customHeight="1" x14ac:dyDescent="0.2">
      <c r="A567" s="50">
        <f t="array" ref="A567">+INDEX(Partidas!$A:$J,MATCH('Resultados dashboard'!$B567,Partidas!$C:$C,0),2)</f>
        <v>45492</v>
      </c>
      <c r="B567" s="56">
        <f>+IF(COUNTIF($B$2:B566,B566)=VLOOKUP(B566,Partidas!$C:$J,8,0),B566+1,B566)</f>
        <v>127</v>
      </c>
      <c r="C567" s="41" t="str">
        <f t="array" ref="C567">+INDEX(Partidas!$A:$J,MATCH('Resultados dashboard'!$B567,Partidas!$C:$C,0),3+COUNTIF($B$2:B567,'Resultados dashboard'!$B567))</f>
        <v>Max</v>
      </c>
      <c r="D567" s="54">
        <v>7</v>
      </c>
      <c r="E567" s="54">
        <v>1</v>
      </c>
      <c r="F567" s="53"/>
      <c r="G567" s="54">
        <v>1</v>
      </c>
      <c r="H567" s="38">
        <f t="shared" si="5"/>
        <v>10</v>
      </c>
      <c r="I567" s="38">
        <f t="shared" si="4"/>
        <v>1</v>
      </c>
      <c r="J567" s="55"/>
    </row>
    <row r="568" spans="1:10" ht="12.75" customHeight="1" x14ac:dyDescent="0.2">
      <c r="A568" s="50">
        <f t="array" ref="A568">+INDEX(Partidas!$A:$J,MATCH('Resultados dashboard'!$B568,Partidas!$C:$C,0),2)</f>
        <v>45492</v>
      </c>
      <c r="B568" s="56">
        <f>+IF(COUNTIF($B$2:B567,B567)=VLOOKUP(B567,Partidas!$C:$J,8,0),B567+1,B567)</f>
        <v>127</v>
      </c>
      <c r="C568" s="41" t="str">
        <f t="array" ref="C568">+INDEX(Partidas!$A:$J,MATCH('Resultados dashboard'!$B568,Partidas!$C:$C,0),3+COUNTIF($B$2:B568,'Resultados dashboard'!$B568))</f>
        <v>Hugo</v>
      </c>
      <c r="D568" s="54">
        <v>7</v>
      </c>
      <c r="E568" s="54">
        <v>1</v>
      </c>
      <c r="F568" s="53"/>
      <c r="G568" s="53"/>
      <c r="H568" s="38">
        <f t="shared" si="5"/>
        <v>8</v>
      </c>
      <c r="I568" s="38">
        <f t="shared" si="4"/>
        <v>3</v>
      </c>
      <c r="J568" s="55"/>
    </row>
    <row r="569" spans="1:10" ht="12.75" customHeight="1" x14ac:dyDescent="0.2">
      <c r="A569" s="50">
        <f t="array" ref="A569">+INDEX(Partidas!$A:$J,MATCH('Resultados dashboard'!$B569,Partidas!$C:$C,0),2)</f>
        <v>45492</v>
      </c>
      <c r="B569" s="56">
        <f>+IF(COUNTIF($B$2:B568,B568)=VLOOKUP(B568,Partidas!$C:$J,8,0),B568+1,B568)</f>
        <v>127</v>
      </c>
      <c r="C569" s="41" t="str">
        <f t="array" ref="C569">+INDEX(Partidas!$A:$J,MATCH('Resultados dashboard'!$B569,Partidas!$C:$C,0),3+COUNTIF($B$2:B569,'Resultados dashboard'!$B569))</f>
        <v>Gaspa</v>
      </c>
      <c r="D569" s="54">
        <v>8</v>
      </c>
      <c r="E569" s="54">
        <v>1</v>
      </c>
      <c r="F569" s="53"/>
      <c r="G569" s="53"/>
      <c r="H569" s="38">
        <f t="shared" si="5"/>
        <v>9</v>
      </c>
      <c r="I569" s="38">
        <f t="shared" si="4"/>
        <v>2</v>
      </c>
      <c r="J569" s="55"/>
    </row>
    <row r="570" spans="1:10" ht="12.75" customHeight="1" x14ac:dyDescent="0.2">
      <c r="A570" s="50">
        <f t="array" ref="A570">+INDEX(Partidas!$A:$J,MATCH('Resultados dashboard'!$B570,Partidas!$C:$C,0),2)</f>
        <v>45492</v>
      </c>
      <c r="B570" s="56">
        <f>+IF(COUNTIF($B$2:B569,B569)=VLOOKUP(B569,Partidas!$C:$J,8,0),B569+1,B569)</f>
        <v>128</v>
      </c>
      <c r="C570" s="41" t="str">
        <f t="array" ref="C570">+INDEX(Partidas!$A:$J,MATCH('Resultados dashboard'!$B570,Partidas!$C:$C,0),3+COUNTIF($B$2:B570,'Resultados dashboard'!$B570))</f>
        <v>Gallo</v>
      </c>
      <c r="D570" s="54">
        <v>5</v>
      </c>
      <c r="E570" s="54">
        <v>1</v>
      </c>
      <c r="F570" s="53"/>
      <c r="G570" s="53"/>
      <c r="H570" s="38">
        <f t="shared" si="5"/>
        <v>6</v>
      </c>
      <c r="I570" s="38">
        <f t="shared" si="4"/>
        <v>2</v>
      </c>
      <c r="J570" s="55"/>
    </row>
    <row r="571" spans="1:10" ht="12.75" customHeight="1" x14ac:dyDescent="0.2">
      <c r="A571" s="50">
        <f t="array" ref="A571">+INDEX(Partidas!$A:$J,MATCH('Resultados dashboard'!$B571,Partidas!$C:$C,0),2)</f>
        <v>45492</v>
      </c>
      <c r="B571" s="56">
        <f>+IF(COUNTIF($B$2:B570,B570)=VLOOKUP(B570,Partidas!$C:$J,8,0),B570+1,B570)</f>
        <v>128</v>
      </c>
      <c r="C571" s="41" t="str">
        <f t="array" ref="C571">+INDEX(Partidas!$A:$J,MATCH('Resultados dashboard'!$B571,Partidas!$C:$C,0),3+COUNTIF($B$2:B571,'Resultados dashboard'!$B571))</f>
        <v>Max</v>
      </c>
      <c r="D571" s="54">
        <v>7</v>
      </c>
      <c r="E571" s="54">
        <v>1</v>
      </c>
      <c r="F571" s="53"/>
      <c r="G571" s="54">
        <v>1</v>
      </c>
      <c r="H571" s="38">
        <f t="shared" si="5"/>
        <v>10</v>
      </c>
      <c r="I571" s="38">
        <f t="shared" si="4"/>
        <v>1</v>
      </c>
      <c r="J571" s="55"/>
    </row>
    <row r="572" spans="1:10" ht="12.75" customHeight="1" x14ac:dyDescent="0.2">
      <c r="A572" s="50">
        <f t="array" ref="A572">+INDEX(Partidas!$A:$J,MATCH('Resultados dashboard'!$B572,Partidas!$C:$C,0),2)</f>
        <v>45492</v>
      </c>
      <c r="B572" s="56">
        <f>+IF(COUNTIF($B$2:B571,B571)=VLOOKUP(B571,Partidas!$C:$J,8,0),B571+1,B571)</f>
        <v>128</v>
      </c>
      <c r="C572" s="41" t="str">
        <f t="array" ref="C572">+INDEX(Partidas!$A:$J,MATCH('Resultados dashboard'!$B572,Partidas!$C:$C,0),3+COUNTIF($B$2:B572,'Resultados dashboard'!$B572))</f>
        <v>Hugo</v>
      </c>
      <c r="D572" s="54">
        <v>5</v>
      </c>
      <c r="E572" s="54"/>
      <c r="F572" s="54"/>
      <c r="G572" s="54"/>
      <c r="H572" s="38">
        <f t="shared" si="5"/>
        <v>5</v>
      </c>
      <c r="I572" s="38">
        <f t="shared" si="4"/>
        <v>4</v>
      </c>
      <c r="J572" s="55"/>
    </row>
    <row r="573" spans="1:10" ht="12.75" customHeight="1" x14ac:dyDescent="0.2">
      <c r="A573" s="50">
        <f t="array" ref="A573">+INDEX(Partidas!$A:$J,MATCH('Resultados dashboard'!$B573,Partidas!$C:$C,0),2)</f>
        <v>45492</v>
      </c>
      <c r="B573" s="56">
        <f>+IF(COUNTIF($B$2:B572,B572)=VLOOKUP(B572,Partidas!$C:$J,8,0),B572+1,B572)</f>
        <v>128</v>
      </c>
      <c r="C573" s="41" t="str">
        <f t="array" ref="C573">+INDEX(Partidas!$A:$J,MATCH('Resultados dashboard'!$B573,Partidas!$C:$C,0),3+COUNTIF($B$2:B573,'Resultados dashboard'!$B573))</f>
        <v>Gaspa</v>
      </c>
      <c r="D573" s="54">
        <v>6</v>
      </c>
      <c r="E573" s="53"/>
      <c r="F573" s="53"/>
      <c r="G573" s="53"/>
      <c r="H573" s="38">
        <f t="shared" si="5"/>
        <v>6</v>
      </c>
      <c r="I573" s="38">
        <f t="shared" si="4"/>
        <v>2</v>
      </c>
      <c r="J573" s="55"/>
    </row>
    <row r="574" spans="1:10" ht="12.75" customHeight="1" x14ac:dyDescent="0.2">
      <c r="A574" s="50">
        <f t="array" ref="A574">+INDEX(Partidas!$A:$J,MATCH('Resultados dashboard'!$B574,Partidas!$C:$C,0),2)</f>
        <v>45499</v>
      </c>
      <c r="B574" s="56">
        <f>+IF(COUNTIF($B$2:B573,B573)=VLOOKUP(B573,Partidas!$C:$J,8,0),B573+1,B573)</f>
        <v>129</v>
      </c>
      <c r="C574" s="41" t="str">
        <f t="array" ref="C574">+INDEX(Partidas!$A:$J,MATCH('Resultados dashboard'!$B574,Partidas!$C:$C,0),3+COUNTIF($B$2:B574,'Resultados dashboard'!$B574))</f>
        <v>Gallo</v>
      </c>
      <c r="D574" s="54">
        <v>6</v>
      </c>
      <c r="E574" s="54">
        <v>2</v>
      </c>
      <c r="F574" s="53"/>
      <c r="G574" s="53"/>
      <c r="H574" s="38">
        <f t="shared" si="5"/>
        <v>8</v>
      </c>
      <c r="I574" s="38">
        <f t="shared" si="4"/>
        <v>2</v>
      </c>
      <c r="J574" s="55"/>
    </row>
    <row r="575" spans="1:10" ht="12.75" customHeight="1" x14ac:dyDescent="0.2">
      <c r="A575" s="50">
        <f t="array" ref="A575">+INDEX(Partidas!$A:$J,MATCH('Resultados dashboard'!$B575,Partidas!$C:$C,0),2)</f>
        <v>45499</v>
      </c>
      <c r="B575" s="56">
        <f>+IF(COUNTIF($B$2:B574,B574)=VLOOKUP(B574,Partidas!$C:$J,8,0),B574+1,B574)</f>
        <v>129</v>
      </c>
      <c r="C575" s="41" t="str">
        <f t="array" ref="C575">+INDEX(Partidas!$A:$J,MATCH('Resultados dashboard'!$B575,Partidas!$C:$C,0),3+COUNTIF($B$2:B575,'Resultados dashboard'!$B575))</f>
        <v>Max</v>
      </c>
      <c r="D575" s="54">
        <v>4</v>
      </c>
      <c r="E575" s="54">
        <v>2</v>
      </c>
      <c r="F575" s="54">
        <v>1</v>
      </c>
      <c r="G575" s="54">
        <v>1</v>
      </c>
      <c r="H575" s="38">
        <f t="shared" si="5"/>
        <v>10</v>
      </c>
      <c r="I575" s="38">
        <f t="shared" si="4"/>
        <v>1</v>
      </c>
      <c r="J575" s="55"/>
    </row>
    <row r="576" spans="1:10" ht="12.75" customHeight="1" x14ac:dyDescent="0.2">
      <c r="A576" s="50">
        <f t="array" ref="A576">+INDEX(Partidas!$A:$J,MATCH('Resultados dashboard'!$B576,Partidas!$C:$C,0),2)</f>
        <v>45499</v>
      </c>
      <c r="B576" s="56">
        <f>+IF(COUNTIF($B$2:B575,B575)=VLOOKUP(B575,Partidas!$C:$J,8,0),B575+1,B575)</f>
        <v>129</v>
      </c>
      <c r="C576" s="41" t="str">
        <f t="array" ref="C576">+INDEX(Partidas!$A:$J,MATCH('Resultados dashboard'!$B576,Partidas!$C:$C,0),3+COUNTIF($B$2:B576,'Resultados dashboard'!$B576))</f>
        <v>Gaspa</v>
      </c>
      <c r="D576" s="54">
        <v>5</v>
      </c>
      <c r="E576" s="53"/>
      <c r="F576" s="53"/>
      <c r="G576" s="53"/>
      <c r="H576" s="38">
        <f t="shared" si="5"/>
        <v>5</v>
      </c>
      <c r="I576" s="38">
        <f t="shared" si="4"/>
        <v>4</v>
      </c>
      <c r="J576" s="55"/>
    </row>
    <row r="577" spans="1:10" ht="12.75" customHeight="1" x14ac:dyDescent="0.2">
      <c r="A577" s="50">
        <f t="array" ref="A577">+INDEX(Partidas!$A:$J,MATCH('Resultados dashboard'!$B577,Partidas!$C:$C,0),2)</f>
        <v>45499</v>
      </c>
      <c r="B577" s="56">
        <f>+IF(COUNTIF($B$2:B576,B576)=VLOOKUP(B576,Partidas!$C:$J,8,0),B576+1,B576)</f>
        <v>129</v>
      </c>
      <c r="C577" s="41" t="str">
        <f t="array" ref="C577">+INDEX(Partidas!$A:$J,MATCH('Resultados dashboard'!$B577,Partidas!$C:$C,0),3+COUNTIF($B$2:B577,'Resultados dashboard'!$B577))</f>
        <v>Moch</v>
      </c>
      <c r="D577" s="54">
        <v>6</v>
      </c>
      <c r="E577" s="53"/>
      <c r="F577" s="53"/>
      <c r="G577" s="53"/>
      <c r="H577" s="38">
        <f t="shared" si="5"/>
        <v>6</v>
      </c>
      <c r="I577" s="38">
        <f t="shared" si="4"/>
        <v>3</v>
      </c>
      <c r="J577" s="55"/>
    </row>
    <row r="578" spans="1:10" ht="12.75" customHeight="1" x14ac:dyDescent="0.2">
      <c r="A578" s="50">
        <f t="array" ref="A578">+INDEX(Partidas!$A:$J,MATCH('Resultados dashboard'!$B578,Partidas!$C:$C,0),2)</f>
        <v>45499</v>
      </c>
      <c r="B578" s="56">
        <f>+IF(COUNTIF($B$2:B577,B577)=VLOOKUP(B577,Partidas!$C:$J,8,0),B577+1,B577)</f>
        <v>130</v>
      </c>
      <c r="C578" s="41" t="str">
        <f t="array" ref="C578">+INDEX(Partidas!$A:$J,MATCH('Resultados dashboard'!$B578,Partidas!$C:$C,0),3+COUNTIF($B$2:B578,'Resultados dashboard'!$B578))</f>
        <v>Gallo</v>
      </c>
      <c r="D578" s="54">
        <v>6</v>
      </c>
      <c r="E578" s="53"/>
      <c r="F578" s="54">
        <v>1</v>
      </c>
      <c r="G578" s="54">
        <v>1</v>
      </c>
      <c r="H578" s="38">
        <f t="shared" si="5"/>
        <v>10</v>
      </c>
      <c r="I578" s="38">
        <f t="shared" si="4"/>
        <v>1</v>
      </c>
      <c r="J578" s="55"/>
    </row>
    <row r="579" spans="1:10" ht="12.75" customHeight="1" x14ac:dyDescent="0.2">
      <c r="A579" s="50">
        <f t="array" ref="A579">+INDEX(Partidas!$A:$J,MATCH('Resultados dashboard'!$B579,Partidas!$C:$C,0),2)</f>
        <v>45499</v>
      </c>
      <c r="B579" s="56">
        <f>+IF(COUNTIF($B$2:B578,B578)=VLOOKUP(B578,Partidas!$C:$J,8,0),B578+1,B578)</f>
        <v>130</v>
      </c>
      <c r="C579" s="41" t="str">
        <f t="array" ref="C579">+INDEX(Partidas!$A:$J,MATCH('Resultados dashboard'!$B579,Partidas!$C:$C,0),3+COUNTIF($B$2:B579,'Resultados dashboard'!$B579))</f>
        <v>Max</v>
      </c>
      <c r="D579" s="54">
        <v>7</v>
      </c>
      <c r="E579" s="53"/>
      <c r="F579" s="53"/>
      <c r="G579" s="53"/>
      <c r="H579" s="38">
        <f t="shared" si="5"/>
        <v>7</v>
      </c>
      <c r="I579" s="38">
        <f t="shared" si="4"/>
        <v>2</v>
      </c>
      <c r="J579" s="55"/>
    </row>
    <row r="580" spans="1:10" ht="12.75" customHeight="1" x14ac:dyDescent="0.2">
      <c r="A580" s="50">
        <f t="array" ref="A580">+INDEX(Partidas!$A:$J,MATCH('Resultados dashboard'!$B580,Partidas!$C:$C,0),2)</f>
        <v>45499</v>
      </c>
      <c r="B580" s="56">
        <f>+IF(COUNTIF($B$2:B579,B579)=VLOOKUP(B579,Partidas!$C:$J,8,0),B579+1,B579)</f>
        <v>130</v>
      </c>
      <c r="C580" s="41" t="str">
        <f t="array" ref="C580">+INDEX(Partidas!$A:$J,MATCH('Resultados dashboard'!$B580,Partidas!$C:$C,0),3+COUNTIF($B$2:B580,'Resultados dashboard'!$B580))</f>
        <v>Gaspa</v>
      </c>
      <c r="D580" s="54">
        <v>6</v>
      </c>
      <c r="E580" s="53"/>
      <c r="F580" s="53"/>
      <c r="G580" s="53"/>
      <c r="H580" s="38">
        <f t="shared" si="5"/>
        <v>6</v>
      </c>
      <c r="I580" s="38">
        <f t="shared" si="4"/>
        <v>4</v>
      </c>
      <c r="J580" s="55"/>
    </row>
    <row r="581" spans="1:10" ht="12.75" customHeight="1" x14ac:dyDescent="0.2">
      <c r="A581" s="50">
        <f t="array" ref="A581">+INDEX(Partidas!$A:$J,MATCH('Resultados dashboard'!$B581,Partidas!$C:$C,0),2)</f>
        <v>45499</v>
      </c>
      <c r="B581" s="56">
        <f>+IF(COUNTIF($B$2:B580,B580)=VLOOKUP(B580,Partidas!$C:$J,8,0),B580+1,B580)</f>
        <v>130</v>
      </c>
      <c r="C581" s="41" t="str">
        <f t="array" ref="C581">+INDEX(Partidas!$A:$J,MATCH('Resultados dashboard'!$B581,Partidas!$C:$C,0),3+COUNTIF($B$2:B581,'Resultados dashboard'!$B581))</f>
        <v>Moch</v>
      </c>
      <c r="D581" s="54">
        <v>7</v>
      </c>
      <c r="E581" s="53"/>
      <c r="F581" s="53"/>
      <c r="G581" s="53"/>
      <c r="H581" s="38">
        <f t="shared" si="5"/>
        <v>7</v>
      </c>
      <c r="I581" s="38">
        <f t="shared" si="4"/>
        <v>2</v>
      </c>
      <c r="J581" s="55"/>
    </row>
    <row r="582" spans="1:10" ht="12.75" customHeight="1" x14ac:dyDescent="0.2">
      <c r="A582" s="50">
        <f t="array" ref="A582">+INDEX(Partidas!$A:$J,MATCH('Resultados dashboard'!$B582,Partidas!$C:$C,0),2)</f>
        <v>45499</v>
      </c>
      <c r="B582" s="56">
        <f>+IF(COUNTIF($B$2:B581,B581)=VLOOKUP(B581,Partidas!$C:$J,8,0),B581+1,B581)</f>
        <v>131</v>
      </c>
      <c r="C582" s="41" t="str">
        <f t="array" ref="C582">+INDEX(Partidas!$A:$J,MATCH('Resultados dashboard'!$B582,Partidas!$C:$C,0),3+COUNTIF($B$2:B582,'Resultados dashboard'!$B582))</f>
        <v>Gallo</v>
      </c>
      <c r="D582" s="54">
        <v>5</v>
      </c>
      <c r="E582" s="54">
        <v>2</v>
      </c>
      <c r="F582" s="54">
        <v>1</v>
      </c>
      <c r="G582" s="53"/>
      <c r="H582" s="38">
        <f t="shared" si="5"/>
        <v>9</v>
      </c>
      <c r="I582" s="38">
        <f t="shared" si="4"/>
        <v>2</v>
      </c>
      <c r="J582" s="55"/>
    </row>
    <row r="583" spans="1:10" ht="12.75" customHeight="1" x14ac:dyDescent="0.2">
      <c r="A583" s="50">
        <f t="array" ref="A583">+INDEX(Partidas!$A:$J,MATCH('Resultados dashboard'!$B583,Partidas!$C:$C,0),2)</f>
        <v>45499</v>
      </c>
      <c r="B583" s="56">
        <f>+IF(COUNTIF($B$2:B582,B582)=VLOOKUP(B582,Partidas!$C:$J,8,0),B582+1,B582)</f>
        <v>131</v>
      </c>
      <c r="C583" s="41" t="str">
        <f t="array" ref="C583">+INDEX(Partidas!$A:$J,MATCH('Resultados dashboard'!$B583,Partidas!$C:$C,0),3+COUNTIF($B$2:B583,'Resultados dashboard'!$B583))</f>
        <v>Max</v>
      </c>
      <c r="D583" s="54">
        <v>7</v>
      </c>
      <c r="E583" s="53"/>
      <c r="F583" s="53"/>
      <c r="G583" s="53"/>
      <c r="H583" s="38">
        <f t="shared" si="5"/>
        <v>7</v>
      </c>
      <c r="I583" s="38">
        <f t="shared" si="4"/>
        <v>4</v>
      </c>
      <c r="J583" s="55"/>
    </row>
    <row r="584" spans="1:10" ht="12.75" customHeight="1" x14ac:dyDescent="0.2">
      <c r="A584" s="50">
        <f t="array" ref="A584">+INDEX(Partidas!$A:$J,MATCH('Resultados dashboard'!$B584,Partidas!$C:$C,0),2)</f>
        <v>45499</v>
      </c>
      <c r="B584" s="56">
        <f>+IF(COUNTIF($B$2:B583,B583)=VLOOKUP(B583,Partidas!$C:$J,8,0),B583+1,B583)</f>
        <v>131</v>
      </c>
      <c r="C584" s="41" t="str">
        <f t="array" ref="C584">+INDEX(Partidas!$A:$J,MATCH('Resultados dashboard'!$B584,Partidas!$C:$C,0),3+COUNTIF($B$2:B584,'Resultados dashboard'!$B584))</f>
        <v>Gaspa</v>
      </c>
      <c r="D584" s="54">
        <v>8</v>
      </c>
      <c r="E584" s="53"/>
      <c r="F584" s="53"/>
      <c r="G584" s="53"/>
      <c r="H584" s="38">
        <f t="shared" si="5"/>
        <v>8</v>
      </c>
      <c r="I584" s="38">
        <f t="shared" si="4"/>
        <v>3</v>
      </c>
      <c r="J584" s="55"/>
    </row>
    <row r="585" spans="1:10" ht="12.75" customHeight="1" x14ac:dyDescent="0.2">
      <c r="A585" s="50">
        <f t="array" ref="A585">+INDEX(Partidas!$A:$J,MATCH('Resultados dashboard'!$B585,Partidas!$C:$C,0),2)</f>
        <v>45499</v>
      </c>
      <c r="B585" s="56">
        <f>+IF(COUNTIF($B$2:B584,B584)=VLOOKUP(B584,Partidas!$C:$J,8,0),B584+1,B584)</f>
        <v>131</v>
      </c>
      <c r="C585" s="41" t="str">
        <f t="array" ref="C585">+INDEX(Partidas!$A:$J,MATCH('Resultados dashboard'!$B585,Partidas!$C:$C,0),3+COUNTIF($B$2:B585,'Resultados dashboard'!$B585))</f>
        <v>Moch</v>
      </c>
      <c r="D585" s="54">
        <v>6</v>
      </c>
      <c r="E585" s="54">
        <v>2</v>
      </c>
      <c r="F585" s="53"/>
      <c r="G585" s="54">
        <v>1</v>
      </c>
      <c r="H585" s="38">
        <f t="shared" si="5"/>
        <v>10</v>
      </c>
      <c r="I585" s="38">
        <f t="shared" si="4"/>
        <v>1</v>
      </c>
      <c r="J585" s="55"/>
    </row>
    <row r="586" spans="1:10" ht="12.75" customHeight="1" x14ac:dyDescent="0.2">
      <c r="A586" s="50">
        <f t="array" ref="A586">+INDEX(Partidas!$A:$J,MATCH('Resultados dashboard'!$B586,Partidas!$C:$C,0),2)</f>
        <v>45499</v>
      </c>
      <c r="B586" s="56">
        <f>+IF(COUNTIF($B$2:B585,B585)=VLOOKUP(B585,Partidas!$C:$J,8,0),B585+1,B585)</f>
        <v>132</v>
      </c>
      <c r="C586" s="41" t="str">
        <f t="array" ref="C586">+INDEX(Partidas!$A:$J,MATCH('Resultados dashboard'!$B586,Partidas!$C:$C,0),3+COUNTIF($B$2:B586,'Resultados dashboard'!$B586))</f>
        <v>Gallo</v>
      </c>
      <c r="D586" s="54">
        <v>7</v>
      </c>
      <c r="E586" s="53"/>
      <c r="F586" s="54">
        <v>1</v>
      </c>
      <c r="G586" s="54">
        <v>1</v>
      </c>
      <c r="H586" s="38">
        <f t="shared" si="5"/>
        <v>11</v>
      </c>
      <c r="I586" s="38">
        <f t="shared" si="4"/>
        <v>1</v>
      </c>
      <c r="J586" s="55"/>
    </row>
    <row r="587" spans="1:10" ht="12.75" customHeight="1" x14ac:dyDescent="0.2">
      <c r="A587" s="50">
        <f t="array" ref="A587">+INDEX(Partidas!$A:$J,MATCH('Resultados dashboard'!$B587,Partidas!$C:$C,0),2)</f>
        <v>45499</v>
      </c>
      <c r="B587" s="56">
        <f>+IF(COUNTIF($B$2:B586,B586)=VLOOKUP(B586,Partidas!$C:$J,8,0),B586+1,B586)</f>
        <v>132</v>
      </c>
      <c r="C587" s="41" t="str">
        <f t="array" ref="C587">+INDEX(Partidas!$A:$J,MATCH('Resultados dashboard'!$B587,Partidas!$C:$C,0),3+COUNTIF($B$2:B587,'Resultados dashboard'!$B587))</f>
        <v>Max</v>
      </c>
      <c r="D587" s="54">
        <v>7</v>
      </c>
      <c r="E587" s="54">
        <v>1</v>
      </c>
      <c r="F587" s="53"/>
      <c r="G587" s="53"/>
      <c r="H587" s="38">
        <f t="shared" si="5"/>
        <v>8</v>
      </c>
      <c r="I587" s="38">
        <f t="shared" si="4"/>
        <v>2</v>
      </c>
      <c r="J587" s="55"/>
    </row>
    <row r="588" spans="1:10" ht="12.75" customHeight="1" x14ac:dyDescent="0.2">
      <c r="A588" s="50">
        <f t="array" ref="A588">+INDEX(Partidas!$A:$J,MATCH('Resultados dashboard'!$B588,Partidas!$C:$C,0),2)</f>
        <v>45499</v>
      </c>
      <c r="B588" s="56">
        <f>+IF(COUNTIF($B$2:B587,B587)=VLOOKUP(B587,Partidas!$C:$J,8,0),B587+1,B587)</f>
        <v>132</v>
      </c>
      <c r="C588" s="41" t="str">
        <f t="array" ref="C588">+INDEX(Partidas!$A:$J,MATCH('Resultados dashboard'!$B588,Partidas!$C:$C,0),3+COUNTIF($B$2:B588,'Resultados dashboard'!$B588))</f>
        <v>Gaspa</v>
      </c>
      <c r="D588" s="54">
        <v>3</v>
      </c>
      <c r="E588" s="54">
        <v>1</v>
      </c>
      <c r="F588" s="53"/>
      <c r="G588" s="53"/>
      <c r="H588" s="38">
        <f t="shared" si="5"/>
        <v>4</v>
      </c>
      <c r="I588" s="38">
        <f t="shared" si="4"/>
        <v>4</v>
      </c>
      <c r="J588" s="55"/>
    </row>
    <row r="589" spans="1:10" ht="12.75" customHeight="1" x14ac:dyDescent="0.2">
      <c r="A589" s="50">
        <f t="array" ref="A589">+INDEX(Partidas!$A:$J,MATCH('Resultados dashboard'!$B589,Partidas!$C:$C,0),2)</f>
        <v>45499</v>
      </c>
      <c r="B589" s="56">
        <f>+IF(COUNTIF($B$2:B588,B588)=VLOOKUP(B588,Partidas!$C:$J,8,0),B588+1,B588)</f>
        <v>132</v>
      </c>
      <c r="C589" s="41" t="str">
        <f t="array" ref="C589">+INDEX(Partidas!$A:$J,MATCH('Resultados dashboard'!$B589,Partidas!$C:$C,0),3+COUNTIF($B$2:B589,'Resultados dashboard'!$B589))</f>
        <v>Moch</v>
      </c>
      <c r="D589" s="54">
        <v>6</v>
      </c>
      <c r="E589" s="53"/>
      <c r="F589" s="53"/>
      <c r="G589" s="53"/>
      <c r="H589" s="38">
        <f t="shared" si="5"/>
        <v>6</v>
      </c>
      <c r="I589" s="38">
        <f t="shared" si="4"/>
        <v>3</v>
      </c>
      <c r="J589" s="55"/>
    </row>
    <row r="590" spans="1:10" ht="12.75" customHeight="1" x14ac:dyDescent="0.2">
      <c r="A590" s="50">
        <f t="array" ref="A590">+INDEX(Partidas!$A:$J,MATCH('Resultados dashboard'!$B590,Partidas!$C:$C,0),2)</f>
        <v>45499</v>
      </c>
      <c r="B590" s="56">
        <f>+IF(COUNTIF($B$2:B589,B589)=VLOOKUP(B589,Partidas!$C:$J,8,0),B589+1,B589)</f>
        <v>133</v>
      </c>
      <c r="C590" s="41" t="str">
        <f t="array" ref="C590">+INDEX(Partidas!$A:$J,MATCH('Resultados dashboard'!$B590,Partidas!$C:$C,0),3+COUNTIF($B$2:B590,'Resultados dashboard'!$B590))</f>
        <v>Gallo</v>
      </c>
      <c r="D590" s="54">
        <v>5</v>
      </c>
      <c r="E590" s="53"/>
      <c r="F590" s="53"/>
      <c r="G590" s="53"/>
      <c r="H590" s="38">
        <f t="shared" si="5"/>
        <v>5</v>
      </c>
      <c r="I590" s="38">
        <f t="shared" si="4"/>
        <v>3</v>
      </c>
      <c r="J590" s="55"/>
    </row>
    <row r="591" spans="1:10" ht="12.75" customHeight="1" x14ac:dyDescent="0.2">
      <c r="A591" s="50">
        <f t="array" ref="A591">+INDEX(Partidas!$A:$J,MATCH('Resultados dashboard'!$B591,Partidas!$C:$C,0),2)</f>
        <v>45499</v>
      </c>
      <c r="B591" s="56">
        <f>+IF(COUNTIF($B$2:B590,B590)=VLOOKUP(B590,Partidas!$C:$J,8,0),B590+1,B590)</f>
        <v>133</v>
      </c>
      <c r="C591" s="41" t="str">
        <f t="array" ref="C591">+INDEX(Partidas!$A:$J,MATCH('Resultados dashboard'!$B591,Partidas!$C:$C,0),3+COUNTIF($B$2:B591,'Resultados dashboard'!$B591))</f>
        <v>Max</v>
      </c>
      <c r="D591" s="54">
        <v>8</v>
      </c>
      <c r="E591" s="53"/>
      <c r="F591" s="54">
        <v>1</v>
      </c>
      <c r="G591" s="53"/>
      <c r="H591" s="38">
        <f t="shared" si="5"/>
        <v>10</v>
      </c>
      <c r="I591" s="38">
        <f t="shared" si="4"/>
        <v>1</v>
      </c>
      <c r="J591" s="55"/>
    </row>
    <row r="592" spans="1:10" ht="12.75" customHeight="1" x14ac:dyDescent="0.2">
      <c r="A592" s="50">
        <f t="array" ref="A592">+INDEX(Partidas!$A:$J,MATCH('Resultados dashboard'!$B592,Partidas!$C:$C,0),2)</f>
        <v>45499</v>
      </c>
      <c r="B592" s="56">
        <f>+IF(COUNTIF($B$2:B591,B591)=VLOOKUP(B591,Partidas!$C:$J,8,0),B591+1,B591)</f>
        <v>133</v>
      </c>
      <c r="C592" s="41" t="str">
        <f t="array" ref="C592">+INDEX(Partidas!$A:$J,MATCH('Resultados dashboard'!$B592,Partidas!$C:$C,0),3+COUNTIF($B$2:B592,'Resultados dashboard'!$B592))</f>
        <v>Gaspa</v>
      </c>
      <c r="D592" s="54">
        <v>5</v>
      </c>
      <c r="E592" s="53"/>
      <c r="F592" s="53"/>
      <c r="G592" s="54">
        <v>1</v>
      </c>
      <c r="H592" s="38">
        <f t="shared" si="5"/>
        <v>7</v>
      </c>
      <c r="I592" s="38">
        <f t="shared" si="4"/>
        <v>2</v>
      </c>
      <c r="J592" s="55"/>
    </row>
    <row r="593" spans="1:10" ht="12.75" customHeight="1" x14ac:dyDescent="0.2">
      <c r="A593" s="50">
        <f t="array" ref="A593">+INDEX(Partidas!$A:$J,MATCH('Resultados dashboard'!$B593,Partidas!$C:$C,0),2)</f>
        <v>45499</v>
      </c>
      <c r="B593" s="56">
        <f>+IF(COUNTIF($B$2:B592,B592)=VLOOKUP(B592,Partidas!$C:$J,8,0),B592+1,B592)</f>
        <v>133</v>
      </c>
      <c r="C593" s="41" t="str">
        <f t="array" ref="C593">+INDEX(Partidas!$A:$J,MATCH('Resultados dashboard'!$B593,Partidas!$C:$C,0),3+COUNTIF($B$2:B593,'Resultados dashboard'!$B593))</f>
        <v>Moch</v>
      </c>
      <c r="D593" s="54">
        <v>3</v>
      </c>
      <c r="E593" s="54">
        <v>1</v>
      </c>
      <c r="F593" s="53"/>
      <c r="G593" s="53"/>
      <c r="H593" s="38">
        <f t="shared" si="5"/>
        <v>4</v>
      </c>
      <c r="I593" s="38">
        <f t="shared" si="4"/>
        <v>4</v>
      </c>
      <c r="J593" s="55"/>
    </row>
    <row r="594" spans="1:10" ht="12.75" customHeight="1" x14ac:dyDescent="0.2">
      <c r="A594" s="50">
        <f t="array" ref="A594">+INDEX(Partidas!$A:$J,MATCH('Resultados dashboard'!$B594,Partidas!$C:$C,0),2)</f>
        <v>45507</v>
      </c>
      <c r="B594" s="56">
        <f>+IF(COUNTIF($B$2:B593,B593)=VLOOKUP(B593,Partidas!$C:$J,8,0),B593+1,B593)</f>
        <v>134</v>
      </c>
      <c r="C594" s="41" t="str">
        <f t="array" ref="C594">+INDEX(Partidas!$A:$J,MATCH('Resultados dashboard'!$B594,Partidas!$C:$C,0),3+COUNTIF($B$2:B594,'Resultados dashboard'!$B594))</f>
        <v>Gallo</v>
      </c>
      <c r="D594" s="54">
        <v>3</v>
      </c>
      <c r="E594" s="54">
        <v>1</v>
      </c>
      <c r="F594" s="53"/>
      <c r="G594" s="53"/>
      <c r="H594" s="38">
        <f t="shared" si="5"/>
        <v>4</v>
      </c>
      <c r="I594" s="38">
        <f t="shared" si="4"/>
        <v>2</v>
      </c>
      <c r="J594" s="55"/>
    </row>
    <row r="595" spans="1:10" ht="12.75" customHeight="1" x14ac:dyDescent="0.2">
      <c r="A595" s="50">
        <f t="array" ref="A595">+INDEX(Partidas!$A:$J,MATCH('Resultados dashboard'!$B595,Partidas!$C:$C,0),2)</f>
        <v>45507</v>
      </c>
      <c r="B595" s="56">
        <f>+IF(COUNTIF($B$2:B594,B594)=VLOOKUP(B594,Partidas!$C:$J,8,0),B594+1,B594)</f>
        <v>134</v>
      </c>
      <c r="C595" s="41" t="str">
        <f t="array" ref="C595">+INDEX(Partidas!$A:$J,MATCH('Resultados dashboard'!$B595,Partidas!$C:$C,0),3+COUNTIF($B$2:B595,'Resultados dashboard'!$B595))</f>
        <v>Max</v>
      </c>
      <c r="D595" s="54">
        <v>8</v>
      </c>
      <c r="E595" s="53"/>
      <c r="F595" s="53"/>
      <c r="G595" s="54">
        <v>1</v>
      </c>
      <c r="H595" s="38">
        <f t="shared" si="5"/>
        <v>10</v>
      </c>
      <c r="I595" s="38">
        <f t="shared" si="4"/>
        <v>1</v>
      </c>
      <c r="J595" s="55"/>
    </row>
    <row r="596" spans="1:10" ht="12.75" customHeight="1" x14ac:dyDescent="0.2">
      <c r="A596" s="50">
        <f t="array" ref="A596">+INDEX(Partidas!$A:$J,MATCH('Resultados dashboard'!$B596,Partidas!$C:$C,0),2)</f>
        <v>45507</v>
      </c>
      <c r="B596" s="56">
        <f>+IF(COUNTIF($B$2:B595,B595)=VLOOKUP(B595,Partidas!$C:$J,8,0),B595+1,B595)</f>
        <v>134</v>
      </c>
      <c r="C596" s="41" t="str">
        <f t="array" ref="C596">+INDEX(Partidas!$A:$J,MATCH('Resultados dashboard'!$B596,Partidas!$C:$C,0),3+COUNTIF($B$2:B596,'Resultados dashboard'!$B596))</f>
        <v>Hugo</v>
      </c>
      <c r="D596" s="54">
        <v>3</v>
      </c>
      <c r="E596" s="53"/>
      <c r="F596" s="53"/>
      <c r="G596" s="53"/>
      <c r="H596" s="38">
        <f t="shared" si="5"/>
        <v>3</v>
      </c>
      <c r="I596" s="38">
        <f t="shared" si="4"/>
        <v>3</v>
      </c>
      <c r="J596" s="55"/>
    </row>
    <row r="597" spans="1:10" ht="12.75" customHeight="1" x14ac:dyDescent="0.2">
      <c r="A597" s="50">
        <f t="array" ref="A597">+INDEX(Partidas!$A:$J,MATCH('Resultados dashboard'!$B597,Partidas!$C:$C,0),2)</f>
        <v>45507</v>
      </c>
      <c r="B597" s="56">
        <f>+IF(COUNTIF($B$2:B596,B596)=VLOOKUP(B596,Partidas!$C:$J,8,0),B596+1,B596)</f>
        <v>134</v>
      </c>
      <c r="C597" s="41" t="str">
        <f t="array" ref="C597">+INDEX(Partidas!$A:$J,MATCH('Resultados dashboard'!$B597,Partidas!$C:$C,0),3+COUNTIF($B$2:B597,'Resultados dashboard'!$B597))</f>
        <v>Moch</v>
      </c>
      <c r="D597" s="54">
        <v>2</v>
      </c>
      <c r="E597" s="54">
        <v>1</v>
      </c>
      <c r="F597" s="53"/>
      <c r="G597" s="53"/>
      <c r="H597" s="38">
        <f t="shared" si="5"/>
        <v>3</v>
      </c>
      <c r="I597" s="38">
        <f t="shared" si="4"/>
        <v>3</v>
      </c>
      <c r="J597" s="55"/>
    </row>
    <row r="598" spans="1:10" ht="12.75" customHeight="1" x14ac:dyDescent="0.2">
      <c r="A598" s="50">
        <f t="array" ref="A598">+INDEX(Partidas!$A:$J,MATCH('Resultados dashboard'!$B598,Partidas!$C:$C,0),2)</f>
        <v>45507</v>
      </c>
      <c r="B598" s="56">
        <f>+IF(COUNTIF($B$2:B597,B597)=VLOOKUP(B597,Partidas!$C:$J,8,0),B597+1,B597)</f>
        <v>135</v>
      </c>
      <c r="C598" s="41" t="str">
        <f t="array" ref="C598">+INDEX(Partidas!$A:$J,MATCH('Resultados dashboard'!$B598,Partidas!$C:$C,0),3+COUNTIF($B$2:B598,'Resultados dashboard'!$B598))</f>
        <v>Gallo</v>
      </c>
      <c r="D598" s="54">
        <v>8</v>
      </c>
      <c r="E598" s="53"/>
      <c r="F598" s="54">
        <v>1</v>
      </c>
      <c r="G598" s="53"/>
      <c r="H598" s="38">
        <f t="shared" si="5"/>
        <v>10</v>
      </c>
      <c r="I598" s="38">
        <f t="shared" si="4"/>
        <v>1</v>
      </c>
      <c r="J598" s="55"/>
    </row>
    <row r="599" spans="1:10" ht="12.75" customHeight="1" x14ac:dyDescent="0.2">
      <c r="A599" s="50">
        <f t="array" ref="A599">+INDEX(Partidas!$A:$J,MATCH('Resultados dashboard'!$B599,Partidas!$C:$C,0),2)</f>
        <v>45507</v>
      </c>
      <c r="B599" s="56">
        <f>+IF(COUNTIF($B$2:B598,B598)=VLOOKUP(B598,Partidas!$C:$J,8,0),B598+1,B598)</f>
        <v>135</v>
      </c>
      <c r="C599" s="41" t="str">
        <f t="array" ref="C599">+INDEX(Partidas!$A:$J,MATCH('Resultados dashboard'!$B599,Partidas!$C:$C,0),3+COUNTIF($B$2:B599,'Resultados dashboard'!$B599))</f>
        <v>Max</v>
      </c>
      <c r="D599" s="54">
        <v>6</v>
      </c>
      <c r="E599" s="54">
        <v>2</v>
      </c>
      <c r="F599" s="53"/>
      <c r="G599" s="54"/>
      <c r="H599" s="38">
        <f t="shared" si="5"/>
        <v>8</v>
      </c>
      <c r="I599" s="38">
        <f t="shared" si="4"/>
        <v>2</v>
      </c>
      <c r="J599" s="55"/>
    </row>
    <row r="600" spans="1:10" ht="12.75" customHeight="1" x14ac:dyDescent="0.2">
      <c r="A600" s="50">
        <f t="array" ref="A600">+INDEX(Partidas!$A:$J,MATCH('Resultados dashboard'!$B600,Partidas!$C:$C,0),2)</f>
        <v>45507</v>
      </c>
      <c r="B600" s="56">
        <f>+IF(COUNTIF($B$2:B599,B599)=VLOOKUP(B599,Partidas!$C:$J,8,0),B599+1,B599)</f>
        <v>135</v>
      </c>
      <c r="C600" s="41" t="str">
        <f t="array" ref="C600">+INDEX(Partidas!$A:$J,MATCH('Resultados dashboard'!$B600,Partidas!$C:$C,0),3+COUNTIF($B$2:B600,'Resultados dashboard'!$B600))</f>
        <v>Hugo</v>
      </c>
      <c r="D600" s="54">
        <v>5</v>
      </c>
      <c r="E600" s="54">
        <v>1</v>
      </c>
      <c r="F600" s="53"/>
      <c r="G600" s="53"/>
      <c r="H600" s="38">
        <f t="shared" si="5"/>
        <v>6</v>
      </c>
      <c r="I600" s="38">
        <f t="shared" si="4"/>
        <v>3</v>
      </c>
      <c r="J600" s="55"/>
    </row>
    <row r="601" spans="1:10" ht="12.75" customHeight="1" x14ac:dyDescent="0.2">
      <c r="A601" s="50">
        <f t="array" ref="A601">+INDEX(Partidas!$A:$J,MATCH('Resultados dashboard'!$B601,Partidas!$C:$C,0),2)</f>
        <v>45507</v>
      </c>
      <c r="B601" s="56">
        <f>+IF(COUNTIF($B$2:B600,B600)=VLOOKUP(B600,Partidas!$C:$J,8,0),B600+1,B600)</f>
        <v>135</v>
      </c>
      <c r="C601" s="41" t="str">
        <f t="array" ref="C601">+INDEX(Partidas!$A:$J,MATCH('Resultados dashboard'!$B601,Partidas!$C:$C,0),3+COUNTIF($B$2:B601,'Resultados dashboard'!$B601))</f>
        <v>Moch</v>
      </c>
      <c r="D601" s="54">
        <v>4</v>
      </c>
      <c r="E601" s="53"/>
      <c r="F601" s="53"/>
      <c r="G601" s="54">
        <v>1</v>
      </c>
      <c r="H601" s="38">
        <f t="shared" si="5"/>
        <v>6</v>
      </c>
      <c r="I601" s="38">
        <f t="shared" si="4"/>
        <v>3</v>
      </c>
      <c r="J601" s="55"/>
    </row>
    <row r="602" spans="1:10" ht="12.75" customHeight="1" x14ac:dyDescent="0.2">
      <c r="A602" s="50">
        <f t="array" ref="A602">+INDEX(Partidas!$A:$J,MATCH('Resultados dashboard'!$B602,Partidas!$C:$C,0),2)</f>
        <v>45507</v>
      </c>
      <c r="B602" s="56">
        <f>+IF(COUNTIF($B$2:B601,B601)=VLOOKUP(B601,Partidas!$C:$J,8,0),B601+1,B601)</f>
        <v>136</v>
      </c>
      <c r="C602" s="41" t="str">
        <f t="array" ref="C602">+INDEX(Partidas!$A:$J,MATCH('Resultados dashboard'!$B602,Partidas!$C:$C,0),3+COUNTIF($B$2:B602,'Resultados dashboard'!$B602))</f>
        <v>Gallo</v>
      </c>
      <c r="D602" s="54">
        <v>7</v>
      </c>
      <c r="E602" s="53"/>
      <c r="F602" s="53"/>
      <c r="G602" s="53"/>
      <c r="H602" s="38">
        <f t="shared" si="5"/>
        <v>7</v>
      </c>
      <c r="I602" s="38">
        <f t="shared" si="4"/>
        <v>4</v>
      </c>
      <c r="J602" s="55"/>
    </row>
    <row r="603" spans="1:10" ht="12.75" customHeight="1" x14ac:dyDescent="0.2">
      <c r="A603" s="50">
        <f t="array" ref="A603">+INDEX(Partidas!$A:$J,MATCH('Resultados dashboard'!$B603,Partidas!$C:$C,0),2)</f>
        <v>45507</v>
      </c>
      <c r="B603" s="56">
        <f>+IF(COUNTIF($B$2:B602,B602)=VLOOKUP(B602,Partidas!$C:$J,8,0),B602+1,B602)</f>
        <v>136</v>
      </c>
      <c r="C603" s="41" t="str">
        <f t="array" ref="C603">+INDEX(Partidas!$A:$J,MATCH('Resultados dashboard'!$B603,Partidas!$C:$C,0),3+COUNTIF($B$2:B603,'Resultados dashboard'!$B603))</f>
        <v>Max</v>
      </c>
      <c r="D603" s="54">
        <v>6</v>
      </c>
      <c r="E603" s="54">
        <v>2</v>
      </c>
      <c r="F603" s="53"/>
      <c r="G603" s="53"/>
      <c r="H603" s="38">
        <f t="shared" si="5"/>
        <v>8</v>
      </c>
      <c r="I603" s="38">
        <f t="shared" si="4"/>
        <v>3</v>
      </c>
      <c r="J603" s="55"/>
    </row>
    <row r="604" spans="1:10" ht="12.75" customHeight="1" x14ac:dyDescent="0.2">
      <c r="A604" s="50">
        <f t="array" ref="A604">+INDEX(Partidas!$A:$J,MATCH('Resultados dashboard'!$B604,Partidas!$C:$C,0),2)</f>
        <v>45507</v>
      </c>
      <c r="B604" s="56">
        <f>+IF(COUNTIF($B$2:B603,B603)=VLOOKUP(B603,Partidas!$C:$J,8,0),B603+1,B603)</f>
        <v>136</v>
      </c>
      <c r="C604" s="41" t="str">
        <f t="array" ref="C604">+INDEX(Partidas!$A:$J,MATCH('Resultados dashboard'!$B604,Partidas!$C:$C,0),3+COUNTIF($B$2:B604,'Resultados dashboard'!$B604))</f>
        <v>Hugo</v>
      </c>
      <c r="D604" s="54">
        <v>7</v>
      </c>
      <c r="E604" s="53"/>
      <c r="F604" s="54">
        <v>1</v>
      </c>
      <c r="G604" s="53"/>
      <c r="H604" s="38">
        <f t="shared" si="5"/>
        <v>9</v>
      </c>
      <c r="I604" s="38">
        <f t="shared" si="4"/>
        <v>2</v>
      </c>
      <c r="J604" s="55"/>
    </row>
    <row r="605" spans="1:10" ht="12.75" customHeight="1" x14ac:dyDescent="0.2">
      <c r="A605" s="50">
        <f t="array" ref="A605">+INDEX(Partidas!$A:$J,MATCH('Resultados dashboard'!$B605,Partidas!$C:$C,0),2)</f>
        <v>45507</v>
      </c>
      <c r="B605" s="56">
        <f>+IF(COUNTIF($B$2:B604,B604)=VLOOKUP(B604,Partidas!$C:$J,8,0),B604+1,B604)</f>
        <v>136</v>
      </c>
      <c r="C605" s="41" t="str">
        <f t="array" ref="C605">+INDEX(Partidas!$A:$J,MATCH('Resultados dashboard'!$B605,Partidas!$C:$C,0),3+COUNTIF($B$2:B605,'Resultados dashboard'!$B605))</f>
        <v>Moch</v>
      </c>
      <c r="D605" s="54">
        <v>7</v>
      </c>
      <c r="E605" s="54">
        <v>1</v>
      </c>
      <c r="F605" s="53"/>
      <c r="G605" s="54">
        <v>1</v>
      </c>
      <c r="H605" s="38">
        <f t="shared" si="5"/>
        <v>10</v>
      </c>
      <c r="I605" s="38">
        <f t="shared" si="4"/>
        <v>1</v>
      </c>
      <c r="J605" s="55"/>
    </row>
    <row r="606" spans="1:10" ht="12.75" customHeight="1" x14ac:dyDescent="0.2">
      <c r="A606" s="50">
        <f t="array" ref="A606">+INDEX(Partidas!$A:$J,MATCH('Resultados dashboard'!$B606,Partidas!$C:$C,0),2)</f>
        <v>45507</v>
      </c>
      <c r="B606" s="56">
        <f>+IF(COUNTIF($B$2:B605,B605)=VLOOKUP(B605,Partidas!$C:$J,8,0),B605+1,B605)</f>
        <v>137</v>
      </c>
      <c r="C606" s="41" t="str">
        <f t="array" ref="C606">+INDEX(Partidas!$A:$J,MATCH('Resultados dashboard'!$B606,Partidas!$C:$C,0),3+COUNTIF($B$2:B606,'Resultados dashboard'!$B606))</f>
        <v>Gallo</v>
      </c>
      <c r="D606" s="54">
        <v>5</v>
      </c>
      <c r="E606" s="54">
        <v>1</v>
      </c>
      <c r="F606" s="53"/>
      <c r="G606" s="53"/>
      <c r="H606" s="38">
        <f t="shared" si="5"/>
        <v>6</v>
      </c>
      <c r="I606" s="38">
        <f t="shared" si="4"/>
        <v>4</v>
      </c>
      <c r="J606" s="55"/>
    </row>
    <row r="607" spans="1:10" ht="12.75" customHeight="1" x14ac:dyDescent="0.2">
      <c r="A607" s="50">
        <f t="array" ref="A607">+INDEX(Partidas!$A:$J,MATCH('Resultados dashboard'!$B607,Partidas!$C:$C,0),2)</f>
        <v>45507</v>
      </c>
      <c r="B607" s="56">
        <f>+IF(COUNTIF($B$2:B606,B606)=VLOOKUP(B606,Partidas!$C:$J,8,0),B606+1,B606)</f>
        <v>137</v>
      </c>
      <c r="C607" s="41" t="str">
        <f t="array" ref="C607">+INDEX(Partidas!$A:$J,MATCH('Resultados dashboard'!$B607,Partidas!$C:$C,0),3+COUNTIF($B$2:B607,'Resultados dashboard'!$B607))</f>
        <v>Max</v>
      </c>
      <c r="D607" s="54">
        <v>7</v>
      </c>
      <c r="E607" s="54">
        <v>1</v>
      </c>
      <c r="F607" s="54">
        <v>1</v>
      </c>
      <c r="G607" s="53"/>
      <c r="H607" s="38">
        <f t="shared" si="5"/>
        <v>10</v>
      </c>
      <c r="I607" s="38">
        <f t="shared" si="4"/>
        <v>1</v>
      </c>
      <c r="J607" s="55"/>
    </row>
    <row r="608" spans="1:10" ht="12.75" customHeight="1" x14ac:dyDescent="0.2">
      <c r="A608" s="50">
        <f t="array" ref="A608">+INDEX(Partidas!$A:$J,MATCH('Resultados dashboard'!$B608,Partidas!$C:$C,0),2)</f>
        <v>45507</v>
      </c>
      <c r="B608" s="56">
        <f>+IF(COUNTIF($B$2:B607,B607)=VLOOKUP(B607,Partidas!$C:$J,8,0),B607+1,B607)</f>
        <v>137</v>
      </c>
      <c r="C608" s="41" t="str">
        <f t="array" ref="C608">+INDEX(Partidas!$A:$J,MATCH('Resultados dashboard'!$B608,Partidas!$C:$C,0),3+COUNTIF($B$2:B608,'Resultados dashboard'!$B608))</f>
        <v>Hugo</v>
      </c>
      <c r="D608" s="54">
        <v>7</v>
      </c>
      <c r="E608" s="54">
        <v>1</v>
      </c>
      <c r="F608" s="53"/>
      <c r="G608" s="53"/>
      <c r="H608" s="38">
        <f t="shared" si="5"/>
        <v>8</v>
      </c>
      <c r="I608" s="38">
        <f t="shared" si="4"/>
        <v>3</v>
      </c>
      <c r="J608" s="55"/>
    </row>
    <row r="609" spans="1:10" ht="12.75" customHeight="1" x14ac:dyDescent="0.2">
      <c r="A609" s="50">
        <f t="array" ref="A609">+INDEX(Partidas!$A:$J,MATCH('Resultados dashboard'!$B609,Partidas!$C:$C,0),2)</f>
        <v>45507</v>
      </c>
      <c r="B609" s="56">
        <f>+IF(COUNTIF($B$2:B608,B608)=VLOOKUP(B608,Partidas!$C:$J,8,0),B608+1,B608)</f>
        <v>137</v>
      </c>
      <c r="C609" s="41" t="str">
        <f t="array" ref="C609">+INDEX(Partidas!$A:$J,MATCH('Resultados dashboard'!$B609,Partidas!$C:$C,0),3+COUNTIF($B$2:B609,'Resultados dashboard'!$B609))</f>
        <v>Moch</v>
      </c>
      <c r="D609" s="54">
        <v>7</v>
      </c>
      <c r="E609" s="54"/>
      <c r="F609" s="53"/>
      <c r="G609" s="54">
        <v>1</v>
      </c>
      <c r="H609" s="38">
        <f t="shared" si="5"/>
        <v>9</v>
      </c>
      <c r="I609" s="38">
        <f t="shared" si="4"/>
        <v>2</v>
      </c>
      <c r="J609" s="55"/>
    </row>
    <row r="610" spans="1:10" ht="12.75" customHeight="1" x14ac:dyDescent="0.2">
      <c r="A610" s="50">
        <f t="array" ref="A610">+INDEX(Partidas!$A:$J,MATCH('Resultados dashboard'!$B610,Partidas!$C:$C,0),2)</f>
        <v>45507</v>
      </c>
      <c r="B610" s="56">
        <f>+IF(COUNTIF($B$2:B609,B609)=VLOOKUP(B609,Partidas!$C:$J,8,0),B609+1,B609)</f>
        <v>138</v>
      </c>
      <c r="C610" s="41" t="str">
        <f t="array" ref="C610">+INDEX(Partidas!$A:$J,MATCH('Resultados dashboard'!$B610,Partidas!$C:$C,0),3+COUNTIF($B$2:B610,'Resultados dashboard'!$B610))</f>
        <v>Gallo</v>
      </c>
      <c r="D610" s="54">
        <v>6</v>
      </c>
      <c r="E610" s="54">
        <v>1</v>
      </c>
      <c r="F610" s="53"/>
      <c r="G610" s="53"/>
      <c r="H610" s="38">
        <f t="shared" si="5"/>
        <v>7</v>
      </c>
      <c r="I610" s="38">
        <f t="shared" si="4"/>
        <v>2</v>
      </c>
      <c r="J610" s="55"/>
    </row>
    <row r="611" spans="1:10" ht="12.75" customHeight="1" x14ac:dyDescent="0.2">
      <c r="A611" s="50">
        <f t="array" ref="A611">+INDEX(Partidas!$A:$J,MATCH('Resultados dashboard'!$B611,Partidas!$C:$C,0),2)</f>
        <v>45507</v>
      </c>
      <c r="B611" s="56">
        <f>+IF(COUNTIF($B$2:B610,B610)=VLOOKUP(B610,Partidas!$C:$J,8,0),B610+1,B610)</f>
        <v>138</v>
      </c>
      <c r="C611" s="41" t="str">
        <f t="array" ref="C611">+INDEX(Partidas!$A:$J,MATCH('Resultados dashboard'!$B611,Partidas!$C:$C,0),3+COUNTIF($B$2:B611,'Resultados dashboard'!$B611))</f>
        <v>Max</v>
      </c>
      <c r="D611" s="54">
        <v>4</v>
      </c>
      <c r="E611" s="53"/>
      <c r="F611" s="53"/>
      <c r="G611" s="53"/>
      <c r="H611" s="38">
        <f t="shared" si="5"/>
        <v>4</v>
      </c>
      <c r="I611" s="38">
        <f t="shared" si="4"/>
        <v>4</v>
      </c>
      <c r="J611" s="55"/>
    </row>
    <row r="612" spans="1:10" ht="12.75" customHeight="1" x14ac:dyDescent="0.2">
      <c r="A612" s="50">
        <f t="array" ref="A612">+INDEX(Partidas!$A:$J,MATCH('Resultados dashboard'!$B612,Partidas!$C:$C,0),2)</f>
        <v>45507</v>
      </c>
      <c r="B612" s="56">
        <f>+IF(COUNTIF($B$2:B611,B611)=VLOOKUP(B611,Partidas!$C:$J,8,0),B611+1,B611)</f>
        <v>138</v>
      </c>
      <c r="C612" s="41" t="str">
        <f t="array" ref="C612">+INDEX(Partidas!$A:$J,MATCH('Resultados dashboard'!$B612,Partidas!$C:$C,0),3+COUNTIF($B$2:B612,'Resultados dashboard'!$B612))</f>
        <v>Hugo</v>
      </c>
      <c r="D612" s="54">
        <v>6</v>
      </c>
      <c r="E612" s="54">
        <v>1</v>
      </c>
      <c r="F612" s="53"/>
      <c r="G612" s="53"/>
      <c r="H612" s="38">
        <f t="shared" si="5"/>
        <v>7</v>
      </c>
      <c r="I612" s="38">
        <f t="shared" si="4"/>
        <v>2</v>
      </c>
      <c r="J612" s="55"/>
    </row>
    <row r="613" spans="1:10" ht="12.75" customHeight="1" x14ac:dyDescent="0.2">
      <c r="A613" s="50">
        <f t="array" ref="A613">+INDEX(Partidas!$A:$J,MATCH('Resultados dashboard'!$B613,Partidas!$C:$C,0),2)</f>
        <v>45507</v>
      </c>
      <c r="B613" s="56">
        <f>+IF(COUNTIF($B$2:B612,B612)=VLOOKUP(B612,Partidas!$C:$J,8,0),B612+1,B612)</f>
        <v>138</v>
      </c>
      <c r="C613" s="41" t="str">
        <f t="array" ref="C613">+INDEX(Partidas!$A:$J,MATCH('Resultados dashboard'!$B613,Partidas!$C:$C,0),3+COUNTIF($B$2:B613,'Resultados dashboard'!$B613))</f>
        <v>Moch</v>
      </c>
      <c r="D613" s="54">
        <v>5</v>
      </c>
      <c r="E613" s="54">
        <v>2</v>
      </c>
      <c r="F613" s="54">
        <v>1</v>
      </c>
      <c r="G613" s="54">
        <v>1</v>
      </c>
      <c r="H613" s="38">
        <f t="shared" si="5"/>
        <v>11</v>
      </c>
      <c r="I613" s="38">
        <f t="shared" si="4"/>
        <v>1</v>
      </c>
      <c r="J613" s="55"/>
    </row>
    <row r="614" spans="1:10" ht="12.75" customHeight="1" x14ac:dyDescent="0.2">
      <c r="A614" s="50">
        <f t="array" ref="A614">+INDEX(Partidas!$A:$J,MATCH('Resultados dashboard'!$B614,Partidas!$C:$C,0),2)</f>
        <v>45507</v>
      </c>
      <c r="B614" s="56">
        <f>+IF(COUNTIF($B$2:B613,B613)=VLOOKUP(B613,Partidas!$C:$J,8,0),B613+1,B613)</f>
        <v>139</v>
      </c>
      <c r="C614" s="41" t="str">
        <f t="array" ref="C614">+INDEX(Partidas!$A:$J,MATCH('Resultados dashboard'!$B614,Partidas!$C:$C,0),3+COUNTIF($B$2:B614,'Resultados dashboard'!$B614))</f>
        <v>Gallo</v>
      </c>
      <c r="D614" s="54">
        <v>5</v>
      </c>
      <c r="E614" s="53"/>
      <c r="F614" s="53"/>
      <c r="G614" s="53"/>
      <c r="H614" s="38">
        <f t="shared" si="5"/>
        <v>5</v>
      </c>
      <c r="I614" s="38">
        <f t="shared" si="4"/>
        <v>2</v>
      </c>
      <c r="J614" s="55"/>
    </row>
    <row r="615" spans="1:10" ht="12.75" customHeight="1" x14ac:dyDescent="0.2">
      <c r="A615" s="50">
        <f t="array" ref="A615">+INDEX(Partidas!$A:$J,MATCH('Resultados dashboard'!$B615,Partidas!$C:$C,0),2)</f>
        <v>45507</v>
      </c>
      <c r="B615" s="56">
        <f>+IF(COUNTIF($B$2:B614,B614)=VLOOKUP(B614,Partidas!$C:$J,8,0),B614+1,B614)</f>
        <v>139</v>
      </c>
      <c r="C615" s="41" t="str">
        <f t="array" ref="C615">+INDEX(Partidas!$A:$J,MATCH('Resultados dashboard'!$B615,Partidas!$C:$C,0),3+COUNTIF($B$2:B615,'Resultados dashboard'!$B615))</f>
        <v>Max</v>
      </c>
      <c r="D615" s="54">
        <v>3</v>
      </c>
      <c r="E615" s="53"/>
      <c r="F615" s="54">
        <v>1</v>
      </c>
      <c r="G615" s="53"/>
      <c r="H615" s="38">
        <f t="shared" si="5"/>
        <v>5</v>
      </c>
      <c r="I615" s="38">
        <f t="shared" si="4"/>
        <v>2</v>
      </c>
      <c r="J615" s="55"/>
    </row>
    <row r="616" spans="1:10" ht="12.75" customHeight="1" x14ac:dyDescent="0.2">
      <c r="A616" s="50">
        <f t="array" ref="A616">+INDEX(Partidas!$A:$J,MATCH('Resultados dashboard'!$B616,Partidas!$C:$C,0),2)</f>
        <v>45507</v>
      </c>
      <c r="B616" s="56">
        <f>+IF(COUNTIF($B$2:B615,B615)=VLOOKUP(B615,Partidas!$C:$J,8,0),B615+1,B615)</f>
        <v>139</v>
      </c>
      <c r="C616" s="41" t="str">
        <f t="array" ref="C616">+INDEX(Partidas!$A:$J,MATCH('Resultados dashboard'!$B616,Partidas!$C:$C,0),3+COUNTIF($B$2:B616,'Resultados dashboard'!$B616))</f>
        <v>Hugo</v>
      </c>
      <c r="D616" s="54">
        <v>8</v>
      </c>
      <c r="E616" s="53"/>
      <c r="F616" s="53"/>
      <c r="G616" s="54">
        <v>1</v>
      </c>
      <c r="H616" s="38">
        <f t="shared" si="5"/>
        <v>10</v>
      </c>
      <c r="I616" s="38">
        <f t="shared" si="4"/>
        <v>1</v>
      </c>
      <c r="J616" s="55"/>
    </row>
    <row r="617" spans="1:10" ht="12.75" customHeight="1" x14ac:dyDescent="0.2">
      <c r="A617" s="50">
        <f t="array" ref="A617">+INDEX(Partidas!$A:$J,MATCH('Resultados dashboard'!$B617,Partidas!$C:$C,0),2)</f>
        <v>45507</v>
      </c>
      <c r="B617" s="56">
        <f>+IF(COUNTIF($B$2:B616,B616)=VLOOKUP(B616,Partidas!$C:$J,8,0),B616+1,B616)</f>
        <v>139</v>
      </c>
      <c r="C617" s="41" t="str">
        <f t="array" ref="C617">+INDEX(Partidas!$A:$J,MATCH('Resultados dashboard'!$B617,Partidas!$C:$C,0),3+COUNTIF($B$2:B617,'Resultados dashboard'!$B617))</f>
        <v>Moch</v>
      </c>
      <c r="D617" s="54">
        <v>4</v>
      </c>
      <c r="E617" s="54">
        <v>1</v>
      </c>
      <c r="F617" s="53"/>
      <c r="G617" s="53"/>
      <c r="H617" s="38">
        <f t="shared" si="5"/>
        <v>5</v>
      </c>
      <c r="I617" s="38">
        <f t="shared" si="4"/>
        <v>2</v>
      </c>
      <c r="J617" s="55"/>
    </row>
    <row r="618" spans="1:10" ht="12.75" customHeight="1" x14ac:dyDescent="0.2">
      <c r="A618" s="50">
        <f t="array" ref="A618">+INDEX(Partidas!$A:$J,MATCH('Resultados dashboard'!$B618,Partidas!$C:$C,0),2)</f>
        <v>45513</v>
      </c>
      <c r="B618" s="56">
        <f>+IF(COUNTIF($B$2:B617,B617)=VLOOKUP(B617,Partidas!$C:$J,8,0),B617+1,B617)</f>
        <v>140</v>
      </c>
      <c r="C618" s="41" t="str">
        <f t="array" ref="C618">+INDEX(Partidas!$A:$J,MATCH('Resultados dashboard'!$B618,Partidas!$C:$C,0),3+COUNTIF($B$2:B618,'Resultados dashboard'!$B618))</f>
        <v>Gallo</v>
      </c>
      <c r="D618" s="54">
        <v>4</v>
      </c>
      <c r="E618" s="54">
        <v>1</v>
      </c>
      <c r="F618" s="54">
        <v>1</v>
      </c>
      <c r="G618" s="53"/>
      <c r="H618" s="38">
        <f t="shared" si="5"/>
        <v>7</v>
      </c>
      <c r="I618" s="38">
        <f t="shared" si="4"/>
        <v>2</v>
      </c>
      <c r="J618" s="55"/>
    </row>
    <row r="619" spans="1:10" ht="12.75" customHeight="1" x14ac:dyDescent="0.2">
      <c r="A619" s="50">
        <f t="array" ref="A619">+INDEX(Partidas!$A:$J,MATCH('Resultados dashboard'!$B619,Partidas!$C:$C,0),2)</f>
        <v>45513</v>
      </c>
      <c r="B619" s="56">
        <f>+IF(COUNTIF($B$2:B618,B618)=VLOOKUP(B618,Partidas!$C:$J,8,0),B618+1,B618)</f>
        <v>140</v>
      </c>
      <c r="C619" s="41" t="str">
        <f t="array" ref="C619">+INDEX(Partidas!$A:$J,MATCH('Resultados dashboard'!$B619,Partidas!$C:$C,0),3+COUNTIF($B$2:B619,'Resultados dashboard'!$B619))</f>
        <v>Max</v>
      </c>
      <c r="D619" s="54">
        <v>5</v>
      </c>
      <c r="E619" s="53"/>
      <c r="F619" s="53"/>
      <c r="G619" s="53"/>
      <c r="H619" s="38">
        <f t="shared" si="5"/>
        <v>5</v>
      </c>
      <c r="I619" s="38">
        <f t="shared" si="4"/>
        <v>4</v>
      </c>
      <c r="J619" s="55"/>
    </row>
    <row r="620" spans="1:10" ht="12.75" customHeight="1" x14ac:dyDescent="0.2">
      <c r="A620" s="50">
        <f t="array" ref="A620">+INDEX(Partidas!$A:$J,MATCH('Resultados dashboard'!$B620,Partidas!$C:$C,0),2)</f>
        <v>45513</v>
      </c>
      <c r="B620" s="56">
        <f>+IF(COUNTIF($B$2:B619,B619)=VLOOKUP(B619,Partidas!$C:$J,8,0),B619+1,B619)</f>
        <v>140</v>
      </c>
      <c r="C620" s="41" t="str">
        <f t="array" ref="C620">+INDEX(Partidas!$A:$J,MATCH('Resultados dashboard'!$B620,Partidas!$C:$C,0),3+COUNTIF($B$2:B620,'Resultados dashboard'!$B620))</f>
        <v>Hugo</v>
      </c>
      <c r="D620" s="54">
        <v>5</v>
      </c>
      <c r="E620" s="54">
        <v>1</v>
      </c>
      <c r="F620" s="53"/>
      <c r="G620" s="53"/>
      <c r="H620" s="38">
        <f t="shared" si="5"/>
        <v>6</v>
      </c>
      <c r="I620" s="38">
        <f t="shared" si="4"/>
        <v>3</v>
      </c>
      <c r="J620" s="55"/>
    </row>
    <row r="621" spans="1:10" ht="12.75" customHeight="1" x14ac:dyDescent="0.2">
      <c r="A621" s="50">
        <f t="array" ref="A621">+INDEX(Partidas!$A:$J,MATCH('Resultados dashboard'!$B621,Partidas!$C:$C,0),2)</f>
        <v>45513</v>
      </c>
      <c r="B621" s="56">
        <f>+IF(COUNTIF($B$2:B620,B620)=VLOOKUP(B620,Partidas!$C:$J,8,0),B620+1,B620)</f>
        <v>140</v>
      </c>
      <c r="C621" s="41" t="str">
        <f t="array" ref="C621">+INDEX(Partidas!$A:$J,MATCH('Resultados dashboard'!$B621,Partidas!$C:$C,0),3+COUNTIF($B$2:B621,'Resultados dashboard'!$B621))</f>
        <v>Gaspa</v>
      </c>
      <c r="D621" s="54">
        <v>8</v>
      </c>
      <c r="E621" s="53"/>
      <c r="F621" s="53"/>
      <c r="G621" s="54">
        <v>1</v>
      </c>
      <c r="H621" s="38">
        <f t="shared" si="5"/>
        <v>10</v>
      </c>
      <c r="I621" s="38">
        <f t="shared" si="4"/>
        <v>1</v>
      </c>
      <c r="J621" s="55"/>
    </row>
    <row r="622" spans="1:10" ht="12.75" customHeight="1" x14ac:dyDescent="0.2">
      <c r="A622" s="50">
        <f t="array" ref="A622">+INDEX(Partidas!$A:$J,MATCH('Resultados dashboard'!$B622,Partidas!$C:$C,0),2)</f>
        <v>45513</v>
      </c>
      <c r="B622" s="56">
        <f>+IF(COUNTIF($B$2:B621,B621)=VLOOKUP(B621,Partidas!$C:$J,8,0),B621+1,B621)</f>
        <v>141</v>
      </c>
      <c r="C622" s="41" t="str">
        <f t="array" ref="C622">+INDEX(Partidas!$A:$J,MATCH('Resultados dashboard'!$B622,Partidas!$C:$C,0),3+COUNTIF($B$2:B622,'Resultados dashboard'!$B622))</f>
        <v>Gallo</v>
      </c>
      <c r="D622" s="54">
        <v>6</v>
      </c>
      <c r="E622" s="53"/>
      <c r="F622" s="53"/>
      <c r="G622" s="53"/>
      <c r="H622" s="38">
        <f t="shared" si="5"/>
        <v>6</v>
      </c>
      <c r="I622" s="38">
        <f t="shared" si="4"/>
        <v>4</v>
      </c>
      <c r="J622" s="55"/>
    </row>
    <row r="623" spans="1:10" ht="12.75" customHeight="1" x14ac:dyDescent="0.2">
      <c r="A623" s="50">
        <f t="array" ref="A623">+INDEX(Partidas!$A:$J,MATCH('Resultados dashboard'!$B623,Partidas!$C:$C,0),2)</f>
        <v>45513</v>
      </c>
      <c r="B623" s="56">
        <f>+IF(COUNTIF($B$2:B622,B622)=VLOOKUP(B622,Partidas!$C:$J,8,0),B622+1,B622)</f>
        <v>141</v>
      </c>
      <c r="C623" s="41" t="str">
        <f t="array" ref="C623">+INDEX(Partidas!$A:$J,MATCH('Resultados dashboard'!$B623,Partidas!$C:$C,0),3+COUNTIF($B$2:B623,'Resultados dashboard'!$B623))</f>
        <v>Max</v>
      </c>
      <c r="D623" s="54">
        <v>7</v>
      </c>
      <c r="E623" s="54">
        <v>1</v>
      </c>
      <c r="F623" s="53"/>
      <c r="G623" s="53"/>
      <c r="H623" s="38">
        <f t="shared" si="5"/>
        <v>8</v>
      </c>
      <c r="I623" s="38">
        <f t="shared" si="4"/>
        <v>2</v>
      </c>
      <c r="J623" s="55"/>
    </row>
    <row r="624" spans="1:10" ht="12.75" customHeight="1" x14ac:dyDescent="0.2">
      <c r="A624" s="50">
        <f t="array" ref="A624">+INDEX(Partidas!$A:$J,MATCH('Resultados dashboard'!$B624,Partidas!$C:$C,0),2)</f>
        <v>45513</v>
      </c>
      <c r="B624" s="56">
        <f>+IF(COUNTIF($B$2:B623,B623)=VLOOKUP(B623,Partidas!$C:$J,8,0),B623+1,B623)</f>
        <v>141</v>
      </c>
      <c r="C624" s="41" t="str">
        <f t="array" ref="C624">+INDEX(Partidas!$A:$J,MATCH('Resultados dashboard'!$B624,Partidas!$C:$C,0),3+COUNTIF($B$2:B624,'Resultados dashboard'!$B624))</f>
        <v>Hugo</v>
      </c>
      <c r="D624" s="54">
        <v>5</v>
      </c>
      <c r="E624" s="53"/>
      <c r="F624" s="54">
        <v>1</v>
      </c>
      <c r="G624" s="53"/>
      <c r="H624" s="38">
        <f t="shared" si="5"/>
        <v>7</v>
      </c>
      <c r="I624" s="38">
        <f t="shared" si="4"/>
        <v>3</v>
      </c>
      <c r="J624" s="55"/>
    </row>
    <row r="625" spans="1:10" ht="12.75" customHeight="1" x14ac:dyDescent="0.2">
      <c r="A625" s="50">
        <f t="array" ref="A625">+INDEX(Partidas!$A:$J,MATCH('Resultados dashboard'!$B625,Partidas!$C:$C,0),2)</f>
        <v>45513</v>
      </c>
      <c r="B625" s="56">
        <f>+IF(COUNTIF($B$2:B624,B624)=VLOOKUP(B624,Partidas!$C:$J,8,0),B624+1,B624)</f>
        <v>141</v>
      </c>
      <c r="C625" s="41" t="str">
        <f t="array" ref="C625">+INDEX(Partidas!$A:$J,MATCH('Resultados dashboard'!$B625,Partidas!$C:$C,0),3+COUNTIF($B$2:B625,'Resultados dashboard'!$B625))</f>
        <v>Gaspa</v>
      </c>
      <c r="D625" s="54">
        <v>7</v>
      </c>
      <c r="E625" s="54">
        <v>2</v>
      </c>
      <c r="F625" s="53"/>
      <c r="G625" s="54">
        <v>1</v>
      </c>
      <c r="H625" s="38">
        <f t="shared" si="5"/>
        <v>11</v>
      </c>
      <c r="I625" s="38">
        <f t="shared" si="4"/>
        <v>1</v>
      </c>
      <c r="J625" s="55"/>
    </row>
    <row r="626" spans="1:10" ht="12.75" customHeight="1" x14ac:dyDescent="0.2">
      <c r="A626" s="50">
        <f t="array" ref="A626">+INDEX(Partidas!$A:$J,MATCH('Resultados dashboard'!$B626,Partidas!$C:$C,0),2)</f>
        <v>45513</v>
      </c>
      <c r="B626" s="56">
        <f>+IF(COUNTIF($B$2:B625,B625)=VLOOKUP(B625,Partidas!$C:$J,8,0),B625+1,B625)</f>
        <v>142</v>
      </c>
      <c r="C626" s="41" t="str">
        <f t="array" ref="C626">+INDEX(Partidas!$A:$J,MATCH('Resultados dashboard'!$B626,Partidas!$C:$C,0),3+COUNTIF($B$2:B626,'Resultados dashboard'!$B626))</f>
        <v>Gallo</v>
      </c>
      <c r="D626" s="54">
        <v>6</v>
      </c>
      <c r="E626" s="54">
        <v>1</v>
      </c>
      <c r="F626" s="53"/>
      <c r="G626" s="53"/>
      <c r="H626" s="38">
        <f t="shared" si="5"/>
        <v>7</v>
      </c>
      <c r="I626" s="38">
        <f t="shared" si="4"/>
        <v>2</v>
      </c>
      <c r="J626" s="55"/>
    </row>
    <row r="627" spans="1:10" ht="12.75" customHeight="1" x14ac:dyDescent="0.2">
      <c r="A627" s="50">
        <f t="array" ref="A627">+INDEX(Partidas!$A:$J,MATCH('Resultados dashboard'!$B627,Partidas!$C:$C,0),2)</f>
        <v>45513</v>
      </c>
      <c r="B627" s="56">
        <f>+IF(COUNTIF($B$2:B626,B626)=VLOOKUP(B626,Partidas!$C:$J,8,0),B626+1,B626)</f>
        <v>142</v>
      </c>
      <c r="C627" s="41" t="str">
        <f t="array" ref="C627">+INDEX(Partidas!$A:$J,MATCH('Resultados dashboard'!$B627,Partidas!$C:$C,0),3+COUNTIF($B$2:B627,'Resultados dashboard'!$B627))</f>
        <v>Max</v>
      </c>
      <c r="D627" s="54">
        <v>2</v>
      </c>
      <c r="E627" s="53"/>
      <c r="F627" s="53"/>
      <c r="G627" s="53"/>
      <c r="H627" s="38">
        <f t="shared" si="5"/>
        <v>2</v>
      </c>
      <c r="I627" s="38">
        <f t="shared" si="4"/>
        <v>4</v>
      </c>
      <c r="J627" s="55"/>
    </row>
    <row r="628" spans="1:10" ht="12.75" customHeight="1" x14ac:dyDescent="0.2">
      <c r="A628" s="50">
        <f t="array" ref="A628">+INDEX(Partidas!$A:$J,MATCH('Resultados dashboard'!$B628,Partidas!$C:$C,0),2)</f>
        <v>45513</v>
      </c>
      <c r="B628" s="56">
        <f>+IF(COUNTIF($B$2:B627,B627)=VLOOKUP(B627,Partidas!$C:$J,8,0),B627+1,B627)</f>
        <v>142</v>
      </c>
      <c r="C628" s="41" t="str">
        <f t="array" ref="C628">+INDEX(Partidas!$A:$J,MATCH('Resultados dashboard'!$B628,Partidas!$C:$C,0),3+COUNTIF($B$2:B628,'Resultados dashboard'!$B628))</f>
        <v>Hugo</v>
      </c>
      <c r="D628" s="54">
        <v>5</v>
      </c>
      <c r="E628" s="53"/>
      <c r="F628" s="53"/>
      <c r="G628" s="53"/>
      <c r="H628" s="38">
        <f t="shared" si="5"/>
        <v>5</v>
      </c>
      <c r="I628" s="38">
        <f t="shared" si="4"/>
        <v>3</v>
      </c>
      <c r="J628" s="55"/>
    </row>
    <row r="629" spans="1:10" ht="12.75" customHeight="1" x14ac:dyDescent="0.2">
      <c r="A629" s="50">
        <f t="array" ref="A629">+INDEX(Partidas!$A:$J,MATCH('Resultados dashboard'!$B629,Partidas!$C:$C,0),2)</f>
        <v>45513</v>
      </c>
      <c r="B629" s="56">
        <f>+IF(COUNTIF($B$2:B628,B628)=VLOOKUP(B628,Partidas!$C:$J,8,0),B628+1,B628)</f>
        <v>142</v>
      </c>
      <c r="C629" s="41" t="str">
        <f t="array" ref="C629">+INDEX(Partidas!$A:$J,MATCH('Resultados dashboard'!$B629,Partidas!$C:$C,0),3+COUNTIF($B$2:B629,'Resultados dashboard'!$B629))</f>
        <v>Gaspa</v>
      </c>
      <c r="D629" s="54">
        <v>6</v>
      </c>
      <c r="E629" s="53"/>
      <c r="F629" s="54">
        <v>1</v>
      </c>
      <c r="G629" s="54">
        <v>1</v>
      </c>
      <c r="H629" s="38">
        <f t="shared" si="5"/>
        <v>10</v>
      </c>
      <c r="I629" s="38">
        <f t="shared" si="4"/>
        <v>1</v>
      </c>
      <c r="J629" s="55"/>
    </row>
    <row r="630" spans="1:10" ht="12.75" customHeight="1" x14ac:dyDescent="0.2">
      <c r="A630" s="50">
        <f t="array" ref="A630">+INDEX(Partidas!$A:$J,MATCH('Resultados dashboard'!$B630,Partidas!$C:$C,0),2)</f>
        <v>45513</v>
      </c>
      <c r="B630" s="56">
        <f>+IF(COUNTIF($B$2:B629,B629)=VLOOKUP(B629,Partidas!$C:$J,8,0),B629+1,B629)</f>
        <v>143</v>
      </c>
      <c r="C630" s="41" t="str">
        <f t="array" ref="C630">+INDEX(Partidas!$A:$J,MATCH('Resultados dashboard'!$B630,Partidas!$C:$C,0),3+COUNTIF($B$2:B630,'Resultados dashboard'!$B630))</f>
        <v>Gallo</v>
      </c>
      <c r="D630" s="54">
        <v>7</v>
      </c>
      <c r="E630" s="53"/>
      <c r="F630" s="53"/>
      <c r="G630" s="53"/>
      <c r="H630" s="38">
        <f t="shared" si="5"/>
        <v>7</v>
      </c>
      <c r="I630" s="38">
        <f t="shared" si="4"/>
        <v>4</v>
      </c>
      <c r="J630" s="55"/>
    </row>
    <row r="631" spans="1:10" ht="12.75" customHeight="1" x14ac:dyDescent="0.2">
      <c r="A631" s="50">
        <f t="array" ref="A631">+INDEX(Partidas!$A:$J,MATCH('Resultados dashboard'!$B631,Partidas!$C:$C,0),2)</f>
        <v>45513</v>
      </c>
      <c r="B631" s="56">
        <f>+IF(COUNTIF($B$2:B630,B630)=VLOOKUP(B630,Partidas!$C:$J,8,0),B630+1,B630)</f>
        <v>143</v>
      </c>
      <c r="C631" s="41" t="str">
        <f t="array" ref="C631">+INDEX(Partidas!$A:$J,MATCH('Resultados dashboard'!$B631,Partidas!$C:$C,0),3+COUNTIF($B$2:B631,'Resultados dashboard'!$B631))</f>
        <v>Max</v>
      </c>
      <c r="D631" s="54">
        <v>7</v>
      </c>
      <c r="E631" s="54">
        <v>1</v>
      </c>
      <c r="F631" s="53"/>
      <c r="G631" s="53"/>
      <c r="H631" s="38">
        <f t="shared" si="5"/>
        <v>8</v>
      </c>
      <c r="I631" s="38">
        <f t="shared" si="4"/>
        <v>3</v>
      </c>
      <c r="J631" s="55"/>
    </row>
    <row r="632" spans="1:10" ht="12.75" customHeight="1" x14ac:dyDescent="0.2">
      <c r="A632" s="50">
        <f t="array" ref="A632">+INDEX(Partidas!$A:$J,MATCH('Resultados dashboard'!$B632,Partidas!$C:$C,0),2)</f>
        <v>45513</v>
      </c>
      <c r="B632" s="56">
        <f>+IF(COUNTIF($B$2:B631,B631)=VLOOKUP(B631,Partidas!$C:$J,8,0),B631+1,B631)</f>
        <v>143</v>
      </c>
      <c r="C632" s="41" t="str">
        <f t="array" ref="C632">+INDEX(Partidas!$A:$J,MATCH('Resultados dashboard'!$B632,Partidas!$C:$C,0),3+COUNTIF($B$2:B632,'Resultados dashboard'!$B632))</f>
        <v>Hugo</v>
      </c>
      <c r="D632" s="54">
        <v>8</v>
      </c>
      <c r="E632" s="53"/>
      <c r="F632" s="54">
        <v>1</v>
      </c>
      <c r="G632" s="53"/>
      <c r="H632" s="38">
        <f t="shared" si="5"/>
        <v>10</v>
      </c>
      <c r="I632" s="38">
        <f t="shared" si="4"/>
        <v>1</v>
      </c>
      <c r="J632" s="55"/>
    </row>
    <row r="633" spans="1:10" ht="12.75" customHeight="1" x14ac:dyDescent="0.2">
      <c r="A633" s="50">
        <f t="array" ref="A633">+INDEX(Partidas!$A:$J,MATCH('Resultados dashboard'!$B633,Partidas!$C:$C,0),2)</f>
        <v>45513</v>
      </c>
      <c r="B633" s="56">
        <f>+IF(COUNTIF($B$2:B632,B632)=VLOOKUP(B632,Partidas!$C:$J,8,0),B632+1,B632)</f>
        <v>143</v>
      </c>
      <c r="C633" s="41" t="str">
        <f t="array" ref="C633">+INDEX(Partidas!$A:$J,MATCH('Resultados dashboard'!$B633,Partidas!$C:$C,0),3+COUNTIF($B$2:B633,'Resultados dashboard'!$B633))</f>
        <v>Gaspa</v>
      </c>
      <c r="D633" s="54">
        <v>5</v>
      </c>
      <c r="E633" s="54">
        <v>2</v>
      </c>
      <c r="F633" s="53"/>
      <c r="G633" s="54">
        <v>1</v>
      </c>
      <c r="H633" s="38">
        <f t="shared" si="5"/>
        <v>9</v>
      </c>
      <c r="I633" s="38">
        <f t="shared" si="4"/>
        <v>2</v>
      </c>
      <c r="J633" s="55"/>
    </row>
    <row r="634" spans="1:10" ht="12.75" customHeight="1" x14ac:dyDescent="0.2">
      <c r="A634" s="50">
        <f t="array" ref="A634">+INDEX(Partidas!$A:$J,MATCH('Resultados dashboard'!$B634,Partidas!$C:$C,0),2)</f>
        <v>45521</v>
      </c>
      <c r="B634" s="56">
        <f>+IF(COUNTIF($B$2:B633,B633)=VLOOKUP(B633,Partidas!$C:$J,8,0),B633+1,B633)</f>
        <v>144</v>
      </c>
      <c r="C634" s="41" t="str">
        <f t="array" ref="C634">+INDEX(Partidas!$A:$J,MATCH('Resultados dashboard'!$B634,Partidas!$C:$C,0),3+COUNTIF($B$2:B634,'Resultados dashboard'!$B634))</f>
        <v>Hugo</v>
      </c>
      <c r="D634" s="54">
        <v>5</v>
      </c>
      <c r="E634" s="54"/>
      <c r="F634" s="53"/>
      <c r="G634" s="53"/>
      <c r="H634" s="38">
        <f t="shared" si="5"/>
        <v>5</v>
      </c>
      <c r="I634" s="38">
        <f t="shared" si="4"/>
        <v>4</v>
      </c>
      <c r="J634" s="55"/>
    </row>
    <row r="635" spans="1:10" ht="12.75" customHeight="1" x14ac:dyDescent="0.2">
      <c r="A635" s="50">
        <f t="array" ref="A635">+INDEX(Partidas!$A:$J,MATCH('Resultados dashboard'!$B635,Partidas!$C:$C,0),2)</f>
        <v>45521</v>
      </c>
      <c r="B635" s="56">
        <f>+IF(COUNTIF($B$2:B634,B634)=VLOOKUP(B634,Partidas!$C:$J,8,0),B634+1,B634)</f>
        <v>144</v>
      </c>
      <c r="C635" s="41" t="str">
        <f t="array" ref="C635">+INDEX(Partidas!$A:$J,MATCH('Resultados dashboard'!$B635,Partidas!$C:$C,0),3+COUNTIF($B$2:B635,'Resultados dashboard'!$B635))</f>
        <v>Max</v>
      </c>
      <c r="D635" s="54">
        <v>8</v>
      </c>
      <c r="E635" s="54">
        <v>2</v>
      </c>
      <c r="F635" s="53"/>
      <c r="G635" s="53"/>
      <c r="H635" s="38">
        <f t="shared" si="5"/>
        <v>10</v>
      </c>
      <c r="I635" s="38">
        <f t="shared" si="4"/>
        <v>1</v>
      </c>
      <c r="J635" s="55"/>
    </row>
    <row r="636" spans="1:10" ht="12.75" customHeight="1" x14ac:dyDescent="0.2">
      <c r="A636" s="50">
        <f t="array" ref="A636">+INDEX(Partidas!$A:$J,MATCH('Resultados dashboard'!$B636,Partidas!$C:$C,0),2)</f>
        <v>45521</v>
      </c>
      <c r="B636" s="56">
        <f>+IF(COUNTIF($B$2:B635,B635)=VLOOKUP(B635,Partidas!$C:$J,8,0),B635+1,B635)</f>
        <v>144</v>
      </c>
      <c r="C636" s="41" t="str">
        <f t="array" ref="C636">+INDEX(Partidas!$A:$J,MATCH('Resultados dashboard'!$B636,Partidas!$C:$C,0),3+COUNTIF($B$2:B636,'Resultados dashboard'!$B636))</f>
        <v>Gaspa</v>
      </c>
      <c r="D636" s="54">
        <v>5</v>
      </c>
      <c r="E636" s="53"/>
      <c r="F636" s="53"/>
      <c r="G636" s="54">
        <v>1</v>
      </c>
      <c r="H636" s="38">
        <f t="shared" si="5"/>
        <v>7</v>
      </c>
      <c r="I636" s="38">
        <f t="shared" si="4"/>
        <v>2</v>
      </c>
      <c r="J636" s="55"/>
    </row>
    <row r="637" spans="1:10" ht="12.75" customHeight="1" x14ac:dyDescent="0.2">
      <c r="A637" s="50">
        <f t="array" ref="A637">+INDEX(Partidas!$A:$J,MATCH('Resultados dashboard'!$B637,Partidas!$C:$C,0),2)</f>
        <v>45521</v>
      </c>
      <c r="B637" s="56">
        <f>+IF(COUNTIF($B$2:B636,B636)=VLOOKUP(B636,Partidas!$C:$J,8,0),B636+1,B636)</f>
        <v>144</v>
      </c>
      <c r="C637" s="41" t="str">
        <f t="array" ref="C637">+INDEX(Partidas!$A:$J,MATCH('Resultados dashboard'!$B637,Partidas!$C:$C,0),3+COUNTIF($B$2:B637,'Resultados dashboard'!$B637))</f>
        <v>Moch</v>
      </c>
      <c r="D637" s="54">
        <v>7</v>
      </c>
      <c r="E637" s="53"/>
      <c r="F637" s="53"/>
      <c r="G637" s="53"/>
      <c r="H637" s="38">
        <f t="shared" si="5"/>
        <v>7</v>
      </c>
      <c r="I637" s="38">
        <f t="shared" si="4"/>
        <v>2</v>
      </c>
      <c r="J637" s="55"/>
    </row>
    <row r="638" spans="1:10" ht="12.75" customHeight="1" x14ac:dyDescent="0.2">
      <c r="A638" s="50">
        <f t="array" ref="A638">+INDEX(Partidas!$A:$J,MATCH('Resultados dashboard'!$B638,Partidas!$C:$C,0),2)</f>
        <v>45521</v>
      </c>
      <c r="B638" s="56">
        <f>+IF(COUNTIF($B$2:B637,B637)=VLOOKUP(B637,Partidas!$C:$J,8,0),B637+1,B637)</f>
        <v>145</v>
      </c>
      <c r="C638" s="41" t="str">
        <f t="array" ref="C638">+INDEX(Partidas!$A:$J,MATCH('Resultados dashboard'!$B638,Partidas!$C:$C,0),3+COUNTIF($B$2:B638,'Resultados dashboard'!$B638))</f>
        <v>Hugo</v>
      </c>
      <c r="D638" s="54">
        <v>6</v>
      </c>
      <c r="E638" s="54">
        <v>1</v>
      </c>
      <c r="F638" s="53"/>
      <c r="G638" s="53"/>
      <c r="H638" s="38">
        <f t="shared" si="5"/>
        <v>7</v>
      </c>
      <c r="I638" s="38">
        <f t="shared" si="4"/>
        <v>2</v>
      </c>
      <c r="J638" s="55"/>
    </row>
    <row r="639" spans="1:10" ht="12.75" customHeight="1" x14ac:dyDescent="0.2">
      <c r="A639" s="50">
        <f t="array" ref="A639">+INDEX(Partidas!$A:$J,MATCH('Resultados dashboard'!$B639,Partidas!$C:$C,0),2)</f>
        <v>45521</v>
      </c>
      <c r="B639" s="56">
        <f>+IF(COUNTIF($B$2:B638,B638)=VLOOKUP(B638,Partidas!$C:$J,8,0),B638+1,B638)</f>
        <v>145</v>
      </c>
      <c r="C639" s="41" t="str">
        <f t="array" ref="C639">+INDEX(Partidas!$A:$J,MATCH('Resultados dashboard'!$B639,Partidas!$C:$C,0),3+COUNTIF($B$2:B639,'Resultados dashboard'!$B639))</f>
        <v>Max</v>
      </c>
      <c r="D639" s="54">
        <v>6</v>
      </c>
      <c r="E639" s="54">
        <v>1</v>
      </c>
      <c r="F639" s="53"/>
      <c r="G639" s="53"/>
      <c r="H639" s="38">
        <f t="shared" si="5"/>
        <v>7</v>
      </c>
      <c r="I639" s="38">
        <f t="shared" si="4"/>
        <v>2</v>
      </c>
      <c r="J639" s="55"/>
    </row>
    <row r="640" spans="1:10" ht="12.75" customHeight="1" x14ac:dyDescent="0.2">
      <c r="A640" s="50">
        <f t="array" ref="A640">+INDEX(Partidas!$A:$J,MATCH('Resultados dashboard'!$B640,Partidas!$C:$C,0),2)</f>
        <v>45521</v>
      </c>
      <c r="B640" s="56">
        <f>+IF(COUNTIF($B$2:B639,B639)=VLOOKUP(B639,Partidas!$C:$J,8,0),B639+1,B639)</f>
        <v>145</v>
      </c>
      <c r="C640" s="41" t="str">
        <f t="array" ref="C640">+INDEX(Partidas!$A:$J,MATCH('Resultados dashboard'!$B640,Partidas!$C:$C,0),3+COUNTIF($B$2:B640,'Resultados dashboard'!$B640))</f>
        <v>Gaspa</v>
      </c>
      <c r="D640" s="54">
        <v>5</v>
      </c>
      <c r="E640" s="54">
        <v>1</v>
      </c>
      <c r="F640" s="54">
        <v>1</v>
      </c>
      <c r="G640" s="54">
        <v>1</v>
      </c>
      <c r="H640" s="38">
        <f t="shared" si="5"/>
        <v>10</v>
      </c>
      <c r="I640" s="38">
        <f t="shared" si="4"/>
        <v>1</v>
      </c>
      <c r="J640" s="55"/>
    </row>
    <row r="641" spans="1:10" ht="12.75" customHeight="1" x14ac:dyDescent="0.2">
      <c r="A641" s="50">
        <f t="array" ref="A641">+INDEX(Partidas!$A:$J,MATCH('Resultados dashboard'!$B641,Partidas!$C:$C,0),2)</f>
        <v>45521</v>
      </c>
      <c r="B641" s="56">
        <f>+IF(COUNTIF($B$2:B640,B640)=VLOOKUP(B640,Partidas!$C:$J,8,0),B640+1,B640)</f>
        <v>145</v>
      </c>
      <c r="C641" s="41" t="str">
        <f t="array" ref="C641">+INDEX(Partidas!$A:$J,MATCH('Resultados dashboard'!$B641,Partidas!$C:$C,0),3+COUNTIF($B$2:B641,'Resultados dashboard'!$B641))</f>
        <v>Moch</v>
      </c>
      <c r="D641" s="54">
        <v>6</v>
      </c>
      <c r="E641" s="54">
        <v>1</v>
      </c>
      <c r="F641" s="53"/>
      <c r="G641" s="53"/>
      <c r="H641" s="38">
        <f t="shared" si="5"/>
        <v>7</v>
      </c>
      <c r="I641" s="38">
        <f t="shared" si="4"/>
        <v>2</v>
      </c>
      <c r="J641" s="55"/>
    </row>
    <row r="642" spans="1:10" ht="12.75" customHeight="1" x14ac:dyDescent="0.2">
      <c r="A642" s="50">
        <f t="array" ref="A642">+INDEX(Partidas!$A:$J,MATCH('Resultados dashboard'!$B642,Partidas!$C:$C,0),2)</f>
        <v>45528</v>
      </c>
      <c r="B642" s="56">
        <f>+IF(COUNTIF($B$2:B641,B641)=VLOOKUP(B641,Partidas!$C:$J,8,0),B641+1,B641)</f>
        <v>146</v>
      </c>
      <c r="C642" s="41" t="str">
        <f t="array" ref="C642">+INDEX(Partidas!$A:$J,MATCH('Resultados dashboard'!$B642,Partidas!$C:$C,0),3+COUNTIF($B$2:B642,'Resultados dashboard'!$B642))</f>
        <v>Gallo</v>
      </c>
      <c r="D642" s="54">
        <v>5</v>
      </c>
      <c r="E642" s="54">
        <v>1</v>
      </c>
      <c r="F642" s="53"/>
      <c r="G642" s="54">
        <v>1</v>
      </c>
      <c r="H642" s="38">
        <f t="shared" si="5"/>
        <v>8</v>
      </c>
      <c r="I642" s="38">
        <f t="shared" si="4"/>
        <v>2</v>
      </c>
      <c r="J642" s="55"/>
    </row>
    <row r="643" spans="1:10" ht="12.75" customHeight="1" x14ac:dyDescent="0.2">
      <c r="A643" s="50">
        <f t="array" ref="A643">+INDEX(Partidas!$A:$J,MATCH('Resultados dashboard'!$B643,Partidas!$C:$C,0),2)</f>
        <v>45528</v>
      </c>
      <c r="B643" s="56">
        <f>+IF(COUNTIF($B$2:B642,B642)=VLOOKUP(B642,Partidas!$C:$J,8,0),B642+1,B642)</f>
        <v>146</v>
      </c>
      <c r="C643" s="41" t="str">
        <f t="array" ref="C643">+INDEX(Partidas!$A:$J,MATCH('Resultados dashboard'!$B643,Partidas!$C:$C,0),3+COUNTIF($B$2:B643,'Resultados dashboard'!$B643))</f>
        <v>Ivo</v>
      </c>
      <c r="D643" s="54">
        <v>5</v>
      </c>
      <c r="E643" s="53"/>
      <c r="F643" s="53"/>
      <c r="G643" s="53"/>
      <c r="H643" s="38">
        <f t="shared" si="5"/>
        <v>5</v>
      </c>
      <c r="I643" s="38">
        <f t="shared" si="4"/>
        <v>4</v>
      </c>
      <c r="J643" s="55"/>
    </row>
    <row r="644" spans="1:10" ht="12.75" customHeight="1" x14ac:dyDescent="0.2">
      <c r="A644" s="50">
        <f t="array" ref="A644">+INDEX(Partidas!$A:$J,MATCH('Resultados dashboard'!$B644,Partidas!$C:$C,0),2)</f>
        <v>45528</v>
      </c>
      <c r="B644" s="56">
        <f>+IF(COUNTIF($B$2:B643,B643)=VLOOKUP(B643,Partidas!$C:$J,8,0),B643+1,B643)</f>
        <v>146</v>
      </c>
      <c r="C644" s="41" t="str">
        <f t="array" ref="C644">+INDEX(Partidas!$A:$J,MATCH('Resultados dashboard'!$B644,Partidas!$C:$C,0),3+COUNTIF($B$2:B644,'Resultados dashboard'!$B644))</f>
        <v>Max</v>
      </c>
      <c r="D644" s="54">
        <v>9</v>
      </c>
      <c r="E644" s="54">
        <v>1</v>
      </c>
      <c r="F644" s="53"/>
      <c r="G644" s="53"/>
      <c r="H644" s="38">
        <f t="shared" si="5"/>
        <v>10</v>
      </c>
      <c r="I644" s="38">
        <f t="shared" si="4"/>
        <v>1</v>
      </c>
      <c r="J644" s="55"/>
    </row>
    <row r="645" spans="1:10" ht="12.75" customHeight="1" x14ac:dyDescent="0.2">
      <c r="A645" s="50">
        <f t="array" ref="A645">+INDEX(Partidas!$A:$J,MATCH('Resultados dashboard'!$B645,Partidas!$C:$C,0),2)</f>
        <v>45528</v>
      </c>
      <c r="B645" s="56">
        <f>+IF(COUNTIF($B$2:B644,B644)=VLOOKUP(B644,Partidas!$C:$J,8,0),B644+1,B644)</f>
        <v>146</v>
      </c>
      <c r="C645" s="41" t="str">
        <f t="array" ref="C645">+INDEX(Partidas!$A:$J,MATCH('Resultados dashboard'!$B645,Partidas!$C:$C,0),3+COUNTIF($B$2:B645,'Resultados dashboard'!$B645))</f>
        <v>Hugo</v>
      </c>
      <c r="D645" s="54">
        <v>5</v>
      </c>
      <c r="E645" s="54">
        <v>1</v>
      </c>
      <c r="F645" s="54">
        <v>1</v>
      </c>
      <c r="G645" s="53"/>
      <c r="H645" s="38">
        <f t="shared" si="5"/>
        <v>8</v>
      </c>
      <c r="I645" s="38">
        <f t="shared" si="4"/>
        <v>2</v>
      </c>
      <c r="J645" s="55"/>
    </row>
    <row r="646" spans="1:10" ht="12.75" customHeight="1" x14ac:dyDescent="0.2">
      <c r="A646" s="50">
        <f t="array" ref="A646">+INDEX(Partidas!$A:$J,MATCH('Resultados dashboard'!$B646,Partidas!$C:$C,0),2)</f>
        <v>45528</v>
      </c>
      <c r="B646" s="56">
        <f>+IF(COUNTIF($B$2:B645,B645)=VLOOKUP(B645,Partidas!$C:$J,8,0),B645+1,B645)</f>
        <v>147</v>
      </c>
      <c r="C646" s="41" t="str">
        <f t="array" ref="C646">+INDEX(Partidas!$A:$J,MATCH('Resultados dashboard'!$B646,Partidas!$C:$C,0),3+COUNTIF($B$2:B646,'Resultados dashboard'!$B646))</f>
        <v>Gallo</v>
      </c>
      <c r="D646" s="54">
        <v>8</v>
      </c>
      <c r="E646" s="53"/>
      <c r="F646" s="53"/>
      <c r="G646" s="54">
        <v>1</v>
      </c>
      <c r="H646" s="38">
        <f t="shared" si="5"/>
        <v>10</v>
      </c>
      <c r="I646" s="38">
        <f t="shared" si="4"/>
        <v>1</v>
      </c>
      <c r="J646" s="55"/>
    </row>
    <row r="647" spans="1:10" ht="12.75" customHeight="1" x14ac:dyDescent="0.2">
      <c r="A647" s="50">
        <f t="array" ref="A647">+INDEX(Partidas!$A:$J,MATCH('Resultados dashboard'!$B647,Partidas!$C:$C,0),2)</f>
        <v>45528</v>
      </c>
      <c r="B647" s="56">
        <f>+IF(COUNTIF($B$2:B646,B646)=VLOOKUP(B646,Partidas!$C:$J,8,0),B646+1,B646)</f>
        <v>147</v>
      </c>
      <c r="C647" s="41" t="str">
        <f t="array" ref="C647">+INDEX(Partidas!$A:$J,MATCH('Resultados dashboard'!$B647,Partidas!$C:$C,0),3+COUNTIF($B$2:B647,'Resultados dashboard'!$B647))</f>
        <v>Ivo</v>
      </c>
      <c r="D647" s="54">
        <v>6</v>
      </c>
      <c r="E647" s="53"/>
      <c r="F647" s="53"/>
      <c r="G647" s="53"/>
      <c r="H647" s="38">
        <f t="shared" si="5"/>
        <v>6</v>
      </c>
      <c r="I647" s="38">
        <f t="shared" si="4"/>
        <v>3</v>
      </c>
      <c r="J647" s="55"/>
    </row>
    <row r="648" spans="1:10" ht="12.75" customHeight="1" x14ac:dyDescent="0.2">
      <c r="A648" s="50">
        <f t="array" ref="A648">+INDEX(Partidas!$A:$J,MATCH('Resultados dashboard'!$B648,Partidas!$C:$C,0),2)</f>
        <v>45528</v>
      </c>
      <c r="B648" s="56">
        <f>+IF(COUNTIF($B$2:B647,B647)=VLOOKUP(B647,Partidas!$C:$J,8,0),B647+1,B647)</f>
        <v>147</v>
      </c>
      <c r="C648" s="41" t="str">
        <f t="array" ref="C648">+INDEX(Partidas!$A:$J,MATCH('Resultados dashboard'!$B648,Partidas!$C:$C,0),3+COUNTIF($B$2:B648,'Resultados dashboard'!$B648))</f>
        <v>Max</v>
      </c>
      <c r="D648" s="54">
        <v>9</v>
      </c>
      <c r="E648" s="53"/>
      <c r="F648" s="53"/>
      <c r="G648" s="53"/>
      <c r="H648" s="38">
        <f t="shared" si="5"/>
        <v>9</v>
      </c>
      <c r="I648" s="38">
        <f t="shared" si="4"/>
        <v>2</v>
      </c>
      <c r="J648" s="55"/>
    </row>
    <row r="649" spans="1:10" ht="12.75" customHeight="1" x14ac:dyDescent="0.2">
      <c r="A649" s="50">
        <f t="array" ref="A649">+INDEX(Partidas!$A:$J,MATCH('Resultados dashboard'!$B649,Partidas!$C:$C,0),2)</f>
        <v>45528</v>
      </c>
      <c r="B649" s="56">
        <f>+IF(COUNTIF($B$2:B648,B648)=VLOOKUP(B648,Partidas!$C:$J,8,0),B648+1,B648)</f>
        <v>147</v>
      </c>
      <c r="C649" s="41" t="str">
        <f t="array" ref="C649">+INDEX(Partidas!$A:$J,MATCH('Resultados dashboard'!$B649,Partidas!$C:$C,0),3+COUNTIF($B$2:B649,'Resultados dashboard'!$B649))</f>
        <v>Hugo</v>
      </c>
      <c r="D649" s="54">
        <v>5</v>
      </c>
      <c r="E649" s="54">
        <v>1</v>
      </c>
      <c r="F649" s="53"/>
      <c r="G649" s="53"/>
      <c r="H649" s="38">
        <f t="shared" si="5"/>
        <v>6</v>
      </c>
      <c r="I649" s="38">
        <f t="shared" si="4"/>
        <v>3</v>
      </c>
      <c r="J649" s="55"/>
    </row>
    <row r="650" spans="1:10" ht="12.75" customHeight="1" x14ac:dyDescent="0.2">
      <c r="A650" s="50">
        <f t="array" ref="A650">+INDEX(Partidas!$A:$J,MATCH('Resultados dashboard'!$B650,Partidas!$C:$C,0),2)</f>
        <v>45528</v>
      </c>
      <c r="B650" s="56">
        <f>+IF(COUNTIF($B$2:B649,B649)=VLOOKUP(B649,Partidas!$C:$J,8,0),B649+1,B649)</f>
        <v>147</v>
      </c>
      <c r="C650" s="41" t="str">
        <f t="array" ref="C650">+INDEX(Partidas!$A:$J,MATCH('Resultados dashboard'!$B650,Partidas!$C:$C,0),3+COUNTIF($B$2:B650,'Resultados dashboard'!$B650))</f>
        <v>Moch</v>
      </c>
      <c r="D650" s="54">
        <v>4</v>
      </c>
      <c r="E650" s="53"/>
      <c r="F650" s="54">
        <v>1</v>
      </c>
      <c r="G650" s="53"/>
      <c r="H650" s="38">
        <f t="shared" si="5"/>
        <v>6</v>
      </c>
      <c r="I650" s="38">
        <f t="shared" si="4"/>
        <v>3</v>
      </c>
      <c r="J650" s="55"/>
    </row>
    <row r="651" spans="1:10" ht="12.75" customHeight="1" x14ac:dyDescent="0.2">
      <c r="A651" s="50">
        <f t="array" ref="A651">+INDEX(Partidas!$A:$J,MATCH('Resultados dashboard'!$B651,Partidas!$C:$C,0),2)</f>
        <v>45528</v>
      </c>
      <c r="B651" s="56">
        <f>+IF(COUNTIF($B$2:B650,B650)=VLOOKUP(B650,Partidas!$C:$J,8,0),B650+1,B650)</f>
        <v>148</v>
      </c>
      <c r="C651" s="41" t="str">
        <f t="array" ref="C651">+INDEX(Partidas!$A:$J,MATCH('Resultados dashboard'!$B651,Partidas!$C:$C,0),3+COUNTIF($B$2:B651,'Resultados dashboard'!$B651))</f>
        <v>Gallo</v>
      </c>
      <c r="D651" s="54">
        <v>6</v>
      </c>
      <c r="E651" s="53"/>
      <c r="F651" s="53"/>
      <c r="G651" s="53"/>
      <c r="H651" s="38">
        <f t="shared" si="5"/>
        <v>6</v>
      </c>
      <c r="I651" s="38">
        <f t="shared" si="4"/>
        <v>5</v>
      </c>
      <c r="J651" s="55"/>
    </row>
    <row r="652" spans="1:10" ht="12.75" customHeight="1" x14ac:dyDescent="0.2">
      <c r="A652" s="50">
        <f t="array" ref="A652">+INDEX(Partidas!$A:$J,MATCH('Resultados dashboard'!$B652,Partidas!$C:$C,0),2)</f>
        <v>45528</v>
      </c>
      <c r="B652" s="56">
        <f>+IF(COUNTIF($B$2:B651,B651)=VLOOKUP(B651,Partidas!$C:$J,8,0),B651+1,B651)</f>
        <v>148</v>
      </c>
      <c r="C652" s="41" t="str">
        <f t="array" ref="C652">+INDEX(Partidas!$A:$J,MATCH('Resultados dashboard'!$B652,Partidas!$C:$C,0),3+COUNTIF($B$2:B652,'Resultados dashboard'!$B652))</f>
        <v>Ivo</v>
      </c>
      <c r="D652" s="54">
        <v>4</v>
      </c>
      <c r="E652" s="53"/>
      <c r="F652" s="53"/>
      <c r="G652" s="54">
        <v>1</v>
      </c>
      <c r="H652" s="38">
        <f t="shared" si="5"/>
        <v>6</v>
      </c>
      <c r="I652" s="38">
        <f t="shared" si="4"/>
        <v>5</v>
      </c>
      <c r="J652" s="55"/>
    </row>
    <row r="653" spans="1:10" ht="12.75" customHeight="1" x14ac:dyDescent="0.2">
      <c r="A653" s="50">
        <f t="array" ref="A653">+INDEX(Partidas!$A:$J,MATCH('Resultados dashboard'!$B653,Partidas!$C:$C,0),2)</f>
        <v>45528</v>
      </c>
      <c r="B653" s="56">
        <f>+IF(COUNTIF($B$2:B652,B652)=VLOOKUP(B652,Partidas!$C:$J,8,0),B652+1,B652)</f>
        <v>148</v>
      </c>
      <c r="C653" s="41" t="str">
        <f t="array" ref="C653">+INDEX(Partidas!$A:$J,MATCH('Resultados dashboard'!$B653,Partidas!$C:$C,0),3+COUNTIF($B$2:B653,'Resultados dashboard'!$B653))</f>
        <v>Max</v>
      </c>
      <c r="D653" s="54">
        <v>6</v>
      </c>
      <c r="E653" s="54">
        <v>1</v>
      </c>
      <c r="F653" s="53"/>
      <c r="G653" s="53"/>
      <c r="H653" s="38">
        <f t="shared" si="5"/>
        <v>7</v>
      </c>
      <c r="I653" s="38">
        <f t="shared" si="4"/>
        <v>2</v>
      </c>
      <c r="J653" s="55"/>
    </row>
    <row r="654" spans="1:10" ht="12.75" customHeight="1" x14ac:dyDescent="0.2">
      <c r="A654" s="50">
        <f t="array" ref="A654">+INDEX(Partidas!$A:$J,MATCH('Resultados dashboard'!$B654,Partidas!$C:$C,0),2)</f>
        <v>45528</v>
      </c>
      <c r="B654" s="56">
        <f>+IF(COUNTIF($B$2:B653,B653)=VLOOKUP(B653,Partidas!$C:$J,8,0),B653+1,B653)</f>
        <v>148</v>
      </c>
      <c r="C654" s="41" t="str">
        <f t="array" ref="C654">+INDEX(Partidas!$A:$J,MATCH('Resultados dashboard'!$B654,Partidas!$C:$C,0),3+COUNTIF($B$2:B654,'Resultados dashboard'!$B654))</f>
        <v>Hugo</v>
      </c>
      <c r="D654" s="54">
        <v>7</v>
      </c>
      <c r="E654" s="54">
        <v>3</v>
      </c>
      <c r="F654" s="53"/>
      <c r="G654" s="53"/>
      <c r="H654" s="38">
        <f t="shared" si="5"/>
        <v>10</v>
      </c>
      <c r="I654" s="38">
        <f t="shared" si="4"/>
        <v>1</v>
      </c>
      <c r="J654" s="55"/>
    </row>
    <row r="655" spans="1:10" ht="12.75" customHeight="1" x14ac:dyDescent="0.2">
      <c r="A655" s="50">
        <f t="array" ref="A655">+INDEX(Partidas!$A:$J,MATCH('Resultados dashboard'!$B655,Partidas!$C:$C,0),2)</f>
        <v>45528</v>
      </c>
      <c r="B655" s="56">
        <f>+IF(COUNTIF($B$2:B654,B654)=VLOOKUP(B654,Partidas!$C:$J,8,0),B654+1,B654)</f>
        <v>148</v>
      </c>
      <c r="C655" s="41" t="str">
        <f t="array" ref="C655">+INDEX(Partidas!$A:$J,MATCH('Resultados dashboard'!$B655,Partidas!$C:$C,0),3+COUNTIF($B$2:B655,'Resultados dashboard'!$B655))</f>
        <v>Gaspa</v>
      </c>
      <c r="D655" s="54">
        <v>7</v>
      </c>
      <c r="E655" s="53"/>
      <c r="F655" s="53"/>
      <c r="G655" s="53"/>
      <c r="H655" s="38">
        <f t="shared" si="5"/>
        <v>7</v>
      </c>
      <c r="I655" s="38">
        <f t="shared" si="4"/>
        <v>2</v>
      </c>
      <c r="J655" s="55"/>
    </row>
    <row r="656" spans="1:10" ht="12.75" customHeight="1" x14ac:dyDescent="0.2">
      <c r="A656" s="50">
        <f t="array" ref="A656">+INDEX(Partidas!$A:$J,MATCH('Resultados dashboard'!$B656,Partidas!$C:$C,0),2)</f>
        <v>45528</v>
      </c>
      <c r="B656" s="56">
        <f>+IF(COUNTIF($B$2:B655,B655)=VLOOKUP(B655,Partidas!$C:$J,8,0),B655+1,B655)</f>
        <v>148</v>
      </c>
      <c r="C656" s="41" t="str">
        <f t="array" ref="C656">+INDEX(Partidas!$A:$J,MATCH('Resultados dashboard'!$B656,Partidas!$C:$C,0),3+COUNTIF($B$2:B656,'Resultados dashboard'!$B656))</f>
        <v>Moch</v>
      </c>
      <c r="D656" s="54">
        <v>4</v>
      </c>
      <c r="E656" s="54">
        <v>1</v>
      </c>
      <c r="F656" s="54">
        <v>1</v>
      </c>
      <c r="G656" s="53"/>
      <c r="H656" s="38">
        <f t="shared" si="5"/>
        <v>7</v>
      </c>
      <c r="I656" s="38">
        <f t="shared" si="4"/>
        <v>2</v>
      </c>
      <c r="J656" s="55"/>
    </row>
    <row r="657" spans="1:10" ht="12.75" customHeight="1" x14ac:dyDescent="0.2">
      <c r="A657" s="50">
        <f t="array" ref="A657">+INDEX(Partidas!$A:$J,MATCH('Resultados dashboard'!$B657,Partidas!$C:$C,0),2)</f>
        <v>45528</v>
      </c>
      <c r="B657" s="56">
        <f>+IF(COUNTIF($B$2:B656,B656)=VLOOKUP(B656,Partidas!$C:$J,8,0),B656+1,B656)</f>
        <v>149</v>
      </c>
      <c r="C657" s="41" t="str">
        <f t="array" ref="C657">+INDEX(Partidas!$A:$J,MATCH('Resultados dashboard'!$B657,Partidas!$C:$C,0),3+COUNTIF($B$2:B657,'Resultados dashboard'!$B657))</f>
        <v>Gallo</v>
      </c>
      <c r="D657" s="54">
        <v>5</v>
      </c>
      <c r="E657" s="54">
        <v>3</v>
      </c>
      <c r="F657" s="53"/>
      <c r="G657" s="53"/>
      <c r="H657" s="38">
        <f t="shared" si="5"/>
        <v>8</v>
      </c>
      <c r="I657" s="38">
        <f t="shared" si="4"/>
        <v>2</v>
      </c>
      <c r="J657" s="55"/>
    </row>
    <row r="658" spans="1:10" ht="12.75" customHeight="1" x14ac:dyDescent="0.2">
      <c r="A658" s="50">
        <f t="array" ref="A658">+INDEX(Partidas!$A:$J,MATCH('Resultados dashboard'!$B658,Partidas!$C:$C,0),2)</f>
        <v>45528</v>
      </c>
      <c r="B658" s="56">
        <f>+IF(COUNTIF($B$2:B657,B657)=VLOOKUP(B657,Partidas!$C:$J,8,0),B657+1,B657)</f>
        <v>149</v>
      </c>
      <c r="C658" s="41" t="str">
        <f t="array" ref="C658">+INDEX(Partidas!$A:$J,MATCH('Resultados dashboard'!$B658,Partidas!$C:$C,0),3+COUNTIF($B$2:B658,'Resultados dashboard'!$B658))</f>
        <v>Ivo</v>
      </c>
      <c r="D658" s="54">
        <v>5</v>
      </c>
      <c r="E658" s="54">
        <v>1</v>
      </c>
      <c r="F658" s="54">
        <v>1</v>
      </c>
      <c r="G658" s="54">
        <v>1</v>
      </c>
      <c r="H658" s="38">
        <f t="shared" si="5"/>
        <v>10</v>
      </c>
      <c r="I658" s="38">
        <f t="shared" si="4"/>
        <v>1</v>
      </c>
      <c r="J658" s="55"/>
    </row>
    <row r="659" spans="1:10" ht="12.75" customHeight="1" x14ac:dyDescent="0.2">
      <c r="A659" s="50">
        <f t="array" ref="A659">+INDEX(Partidas!$A:$J,MATCH('Resultados dashboard'!$B659,Partidas!$C:$C,0),2)</f>
        <v>45528</v>
      </c>
      <c r="B659" s="56">
        <f>+IF(COUNTIF($B$2:B658,B658)=VLOOKUP(B658,Partidas!$C:$J,8,0),B658+1,B658)</f>
        <v>149</v>
      </c>
      <c r="C659" s="41" t="str">
        <f t="array" ref="C659">+INDEX(Partidas!$A:$J,MATCH('Resultados dashboard'!$B659,Partidas!$C:$C,0),3+COUNTIF($B$2:B659,'Resultados dashboard'!$B659))</f>
        <v>Max</v>
      </c>
      <c r="D659" s="54">
        <v>6</v>
      </c>
      <c r="E659" s="53"/>
      <c r="F659" s="53"/>
      <c r="G659" s="53"/>
      <c r="H659" s="38">
        <f t="shared" si="5"/>
        <v>6</v>
      </c>
      <c r="I659" s="38">
        <f t="shared" si="4"/>
        <v>5</v>
      </c>
      <c r="J659" s="55"/>
    </row>
    <row r="660" spans="1:10" ht="12.75" customHeight="1" x14ac:dyDescent="0.2">
      <c r="A660" s="50">
        <f t="array" ref="A660">+INDEX(Partidas!$A:$J,MATCH('Resultados dashboard'!$B660,Partidas!$C:$C,0),2)</f>
        <v>45528</v>
      </c>
      <c r="B660" s="56">
        <f>+IF(COUNTIF($B$2:B659,B659)=VLOOKUP(B659,Partidas!$C:$J,8,0),B659+1,B659)</f>
        <v>149</v>
      </c>
      <c r="C660" s="41" t="str">
        <f t="array" ref="C660">+INDEX(Partidas!$A:$J,MATCH('Resultados dashboard'!$B660,Partidas!$C:$C,0),3+COUNTIF($B$2:B660,'Resultados dashboard'!$B660))</f>
        <v>Hugo</v>
      </c>
      <c r="D660" s="54">
        <v>7</v>
      </c>
      <c r="E660" s="53"/>
      <c r="F660" s="53"/>
      <c r="G660" s="53"/>
      <c r="H660" s="38">
        <f t="shared" si="5"/>
        <v>7</v>
      </c>
      <c r="I660" s="38">
        <f t="shared" si="4"/>
        <v>3</v>
      </c>
      <c r="J660" s="55"/>
    </row>
    <row r="661" spans="1:10" ht="12.75" customHeight="1" x14ac:dyDescent="0.2">
      <c r="A661" s="50">
        <f t="array" ref="A661">+INDEX(Partidas!$A:$J,MATCH('Resultados dashboard'!$B661,Partidas!$C:$C,0),2)</f>
        <v>45528</v>
      </c>
      <c r="B661" s="56">
        <f>+IF(COUNTIF($B$2:B660,B660)=VLOOKUP(B660,Partidas!$C:$J,8,0),B660+1,B660)</f>
        <v>149</v>
      </c>
      <c r="C661" s="41" t="str">
        <f t="array" ref="C661">+INDEX(Partidas!$A:$J,MATCH('Resultados dashboard'!$B661,Partidas!$C:$C,0),3+COUNTIF($B$2:B661,'Resultados dashboard'!$B661))</f>
        <v>Gaspa</v>
      </c>
      <c r="D661" s="54">
        <v>7</v>
      </c>
      <c r="E661" s="53"/>
      <c r="F661" s="53"/>
      <c r="G661" s="53"/>
      <c r="H661" s="38">
        <f t="shared" si="5"/>
        <v>7</v>
      </c>
      <c r="I661" s="38">
        <f t="shared" si="4"/>
        <v>3</v>
      </c>
      <c r="J661" s="55"/>
    </row>
    <row r="662" spans="1:10" ht="12.75" customHeight="1" x14ac:dyDescent="0.2">
      <c r="A662" s="50">
        <f t="array" ref="A662">+INDEX(Partidas!$A:$J,MATCH('Resultados dashboard'!$B662,Partidas!$C:$C,0),2)</f>
        <v>45528</v>
      </c>
      <c r="B662" s="56">
        <f>+IF(COUNTIF($B$2:B661,B661)=VLOOKUP(B661,Partidas!$C:$J,8,0),B661+1,B661)</f>
        <v>149</v>
      </c>
      <c r="C662" s="41" t="str">
        <f t="array" ref="C662">+INDEX(Partidas!$A:$J,MATCH('Resultados dashboard'!$B662,Partidas!$C:$C,0),3+COUNTIF($B$2:B662,'Resultados dashboard'!$B662))</f>
        <v>Moch</v>
      </c>
      <c r="D662" s="54">
        <v>6</v>
      </c>
      <c r="E662" s="53"/>
      <c r="F662" s="53"/>
      <c r="G662" s="53"/>
      <c r="H662" s="38">
        <f t="shared" si="5"/>
        <v>6</v>
      </c>
      <c r="I662" s="38">
        <f t="shared" si="4"/>
        <v>5</v>
      </c>
      <c r="J662" s="55"/>
    </row>
    <row r="663" spans="1:10" ht="12.75" customHeight="1" x14ac:dyDescent="0.2">
      <c r="A663" s="50">
        <f t="array" ref="A663">+INDEX(Partidas!$A:$J,MATCH('Resultados dashboard'!$B663,Partidas!$C:$C,0),2)</f>
        <v>45528</v>
      </c>
      <c r="B663" s="56">
        <f>+IF(COUNTIF($B$2:B662,B662)=VLOOKUP(B662,Partidas!$C:$J,8,0),B662+1,B662)</f>
        <v>150</v>
      </c>
      <c r="C663" s="41" t="str">
        <f t="array" ref="C663">+INDEX(Partidas!$A:$J,MATCH('Resultados dashboard'!$B663,Partidas!$C:$C,0),3+COUNTIF($B$2:B663,'Resultados dashboard'!$B663))</f>
        <v>Gallo</v>
      </c>
      <c r="D663" s="54">
        <v>8</v>
      </c>
      <c r="E663" s="53"/>
      <c r="F663" s="53"/>
      <c r="G663" s="54">
        <v>1</v>
      </c>
      <c r="H663" s="38">
        <f t="shared" si="5"/>
        <v>10</v>
      </c>
      <c r="I663" s="38">
        <f t="shared" si="4"/>
        <v>1</v>
      </c>
      <c r="J663" s="55"/>
    </row>
    <row r="664" spans="1:10" ht="12.75" customHeight="1" x14ac:dyDescent="0.2">
      <c r="A664" s="50">
        <f t="array" ref="A664">+INDEX(Partidas!$A:$J,MATCH('Resultados dashboard'!$B664,Partidas!$C:$C,0),2)</f>
        <v>45528</v>
      </c>
      <c r="B664" s="56">
        <f>+IF(COUNTIF($B$2:B663,B663)=VLOOKUP(B663,Partidas!$C:$J,8,0),B663+1,B663)</f>
        <v>150</v>
      </c>
      <c r="C664" s="41" t="str">
        <f t="array" ref="C664">+INDEX(Partidas!$A:$J,MATCH('Resultados dashboard'!$B664,Partidas!$C:$C,0),3+COUNTIF($B$2:B664,'Resultados dashboard'!$B664))</f>
        <v>Ivo</v>
      </c>
      <c r="D664" s="54">
        <v>4</v>
      </c>
      <c r="E664" s="53"/>
      <c r="F664" s="53"/>
      <c r="G664" s="53"/>
      <c r="H664" s="38">
        <f t="shared" si="5"/>
        <v>4</v>
      </c>
      <c r="I664" s="38">
        <f t="shared" si="4"/>
        <v>5</v>
      </c>
      <c r="J664" s="55"/>
    </row>
    <row r="665" spans="1:10" ht="12.75" customHeight="1" x14ac:dyDescent="0.2">
      <c r="A665" s="50">
        <f t="array" ref="A665">+INDEX(Partidas!$A:$J,MATCH('Resultados dashboard'!$B665,Partidas!$C:$C,0),2)</f>
        <v>45528</v>
      </c>
      <c r="B665" s="56">
        <f>+IF(COUNTIF($B$2:B664,B664)=VLOOKUP(B664,Partidas!$C:$J,8,0),B664+1,B664)</f>
        <v>150</v>
      </c>
      <c r="C665" s="41" t="str">
        <f t="array" ref="C665">+INDEX(Partidas!$A:$J,MATCH('Resultados dashboard'!$B665,Partidas!$C:$C,0),3+COUNTIF($B$2:B665,'Resultados dashboard'!$B665))</f>
        <v>Max</v>
      </c>
      <c r="D665" s="54">
        <v>6</v>
      </c>
      <c r="E665" s="53"/>
      <c r="F665" s="53"/>
      <c r="G665" s="53"/>
      <c r="H665" s="38">
        <f t="shared" si="5"/>
        <v>6</v>
      </c>
      <c r="I665" s="38">
        <f t="shared" si="4"/>
        <v>4</v>
      </c>
      <c r="J665" s="55"/>
    </row>
    <row r="666" spans="1:10" ht="12.75" customHeight="1" x14ac:dyDescent="0.2">
      <c r="A666" s="50">
        <f t="array" ref="A666">+INDEX(Partidas!$A:$J,MATCH('Resultados dashboard'!$B666,Partidas!$C:$C,0),2)</f>
        <v>45528</v>
      </c>
      <c r="B666" s="56">
        <f>+IF(COUNTIF($B$2:B665,B665)=VLOOKUP(B665,Partidas!$C:$J,8,0),B665+1,B665)</f>
        <v>150</v>
      </c>
      <c r="C666" s="41" t="str">
        <f t="array" ref="C666">+INDEX(Partidas!$A:$J,MATCH('Resultados dashboard'!$B666,Partidas!$C:$C,0),3+COUNTIF($B$2:B666,'Resultados dashboard'!$B666))</f>
        <v>Hugo</v>
      </c>
      <c r="D666" s="54">
        <v>3</v>
      </c>
      <c r="E666" s="53"/>
      <c r="F666" s="53"/>
      <c r="G666" s="53"/>
      <c r="H666" s="38">
        <f t="shared" si="5"/>
        <v>3</v>
      </c>
      <c r="I666" s="38">
        <f t="shared" si="4"/>
        <v>6</v>
      </c>
      <c r="J666" s="55"/>
    </row>
    <row r="667" spans="1:10" ht="12.75" customHeight="1" x14ac:dyDescent="0.2">
      <c r="A667" s="50">
        <f t="array" ref="A667">+INDEX(Partidas!$A:$J,MATCH('Resultados dashboard'!$B667,Partidas!$C:$C,0),2)</f>
        <v>45528</v>
      </c>
      <c r="B667" s="56">
        <f>+IF(COUNTIF($B$2:B666,B666)=VLOOKUP(B666,Partidas!$C:$J,8,0),B666+1,B666)</f>
        <v>150</v>
      </c>
      <c r="C667" s="41" t="str">
        <f t="array" ref="C667">+INDEX(Partidas!$A:$J,MATCH('Resultados dashboard'!$B667,Partidas!$C:$C,0),3+COUNTIF($B$2:B667,'Resultados dashboard'!$B667))</f>
        <v>Gaspa</v>
      </c>
      <c r="D667" s="54">
        <v>4</v>
      </c>
      <c r="E667" s="54">
        <v>3</v>
      </c>
      <c r="F667" s="54">
        <v>1</v>
      </c>
      <c r="G667" s="53"/>
      <c r="H667" s="38">
        <f t="shared" si="5"/>
        <v>9</v>
      </c>
      <c r="I667" s="38">
        <f t="shared" si="4"/>
        <v>2</v>
      </c>
      <c r="J667" s="55"/>
    </row>
    <row r="668" spans="1:10" ht="12.75" customHeight="1" x14ac:dyDescent="0.2">
      <c r="A668" s="50">
        <f t="array" ref="A668">+INDEX(Partidas!$A:$J,MATCH('Resultados dashboard'!$B668,Partidas!$C:$C,0),2)</f>
        <v>45528</v>
      </c>
      <c r="B668" s="56">
        <f>+IF(COUNTIF($B$2:B667,B667)=VLOOKUP(B667,Partidas!$C:$J,8,0),B667+1,B667)</f>
        <v>150</v>
      </c>
      <c r="C668" s="41" t="str">
        <f t="array" ref="C668">+INDEX(Partidas!$A:$J,MATCH('Resultados dashboard'!$B668,Partidas!$C:$C,0),3+COUNTIF($B$2:B668,'Resultados dashboard'!$B668))</f>
        <v>Moch</v>
      </c>
      <c r="D668" s="54">
        <v>6</v>
      </c>
      <c r="E668" s="54">
        <v>1</v>
      </c>
      <c r="F668" s="53"/>
      <c r="G668" s="53"/>
      <c r="H668" s="38">
        <f t="shared" si="5"/>
        <v>7</v>
      </c>
      <c r="I668" s="38">
        <f t="shared" si="4"/>
        <v>3</v>
      </c>
      <c r="J668" s="55"/>
    </row>
    <row r="669" spans="1:10" ht="12.75" customHeight="1" x14ac:dyDescent="0.2">
      <c r="A669" s="50">
        <f t="array" ref="A669">+INDEX(Partidas!$A:$J,MATCH('Resultados dashboard'!$B669,Partidas!$C:$C,0),2)</f>
        <v>45528</v>
      </c>
      <c r="B669" s="56">
        <f>+IF(COUNTIF($B$2:B668,B668)=VLOOKUP(B668,Partidas!$C:$J,8,0),B668+1,B668)</f>
        <v>151</v>
      </c>
      <c r="C669" s="41" t="str">
        <f t="array" ref="C669">+INDEX(Partidas!$A:$J,MATCH('Resultados dashboard'!$B669,Partidas!$C:$C,0),3+COUNTIF($B$2:B669,'Resultados dashboard'!$B669))</f>
        <v>Ivo</v>
      </c>
      <c r="D669" s="54">
        <v>5</v>
      </c>
      <c r="E669" s="54">
        <v>2</v>
      </c>
      <c r="F669" s="53"/>
      <c r="G669" s="53"/>
      <c r="H669" s="38">
        <f t="shared" si="5"/>
        <v>7</v>
      </c>
      <c r="I669" s="38">
        <f t="shared" si="4"/>
        <v>3</v>
      </c>
      <c r="J669" s="55"/>
    </row>
    <row r="670" spans="1:10" ht="12.75" customHeight="1" x14ac:dyDescent="0.2">
      <c r="A670" s="50">
        <f t="array" ref="A670">+INDEX(Partidas!$A:$J,MATCH('Resultados dashboard'!$B670,Partidas!$C:$C,0),2)</f>
        <v>45528</v>
      </c>
      <c r="B670" s="56">
        <f>+IF(COUNTIF($B$2:B669,B669)=VLOOKUP(B669,Partidas!$C:$J,8,0),B669+1,B669)</f>
        <v>151</v>
      </c>
      <c r="C670" s="41" t="str">
        <f t="array" ref="C670">+INDEX(Partidas!$A:$J,MATCH('Resultados dashboard'!$B670,Partidas!$C:$C,0),3+COUNTIF($B$2:B670,'Resultados dashboard'!$B670))</f>
        <v>Max</v>
      </c>
      <c r="D670" s="54">
        <v>10</v>
      </c>
      <c r="E670" s="53"/>
      <c r="F670" s="53"/>
      <c r="G670" s="53"/>
      <c r="H670" s="38">
        <f t="shared" si="5"/>
        <v>10</v>
      </c>
      <c r="I670" s="38">
        <f t="shared" si="4"/>
        <v>1</v>
      </c>
      <c r="J670" s="55"/>
    </row>
    <row r="671" spans="1:10" ht="12.75" customHeight="1" x14ac:dyDescent="0.2">
      <c r="A671" s="50">
        <f t="array" ref="A671">+INDEX(Partidas!$A:$J,MATCH('Resultados dashboard'!$B671,Partidas!$C:$C,0),2)</f>
        <v>45528</v>
      </c>
      <c r="B671" s="56">
        <f>+IF(COUNTIF($B$2:B670,B670)=VLOOKUP(B670,Partidas!$C:$J,8,0),B670+1,B670)</f>
        <v>151</v>
      </c>
      <c r="C671" s="41" t="str">
        <f t="array" ref="C671">+INDEX(Partidas!$A:$J,MATCH('Resultados dashboard'!$B671,Partidas!$C:$C,0),3+COUNTIF($B$2:B671,'Resultados dashboard'!$B671))</f>
        <v>Hugo</v>
      </c>
      <c r="D671" s="54">
        <v>5</v>
      </c>
      <c r="E671" s="54">
        <v>1</v>
      </c>
      <c r="F671" s="54">
        <v>1</v>
      </c>
      <c r="G671" s="53"/>
      <c r="H671" s="38">
        <f t="shared" si="5"/>
        <v>8</v>
      </c>
      <c r="I671" s="38">
        <f t="shared" si="4"/>
        <v>2</v>
      </c>
      <c r="J671" s="55"/>
    </row>
    <row r="672" spans="1:10" ht="12.75" customHeight="1" x14ac:dyDescent="0.2">
      <c r="A672" s="50">
        <f t="array" ref="A672">+INDEX(Partidas!$A:$J,MATCH('Resultados dashboard'!$B672,Partidas!$C:$C,0),2)</f>
        <v>45528</v>
      </c>
      <c r="B672" s="56">
        <f>+IF(COUNTIF($B$2:B671,B671)=VLOOKUP(B671,Partidas!$C:$J,8,0),B671+1,B671)</f>
        <v>151</v>
      </c>
      <c r="C672" s="41" t="str">
        <f t="array" ref="C672">+INDEX(Partidas!$A:$J,MATCH('Resultados dashboard'!$B672,Partidas!$C:$C,0),3+COUNTIF($B$2:B672,'Resultados dashboard'!$B672))</f>
        <v>Gaspa</v>
      </c>
      <c r="D672" s="54">
        <v>5</v>
      </c>
      <c r="E672" s="53"/>
      <c r="F672" s="53"/>
      <c r="G672" s="53"/>
      <c r="H672" s="38">
        <f t="shared" si="5"/>
        <v>5</v>
      </c>
      <c r="I672" s="38">
        <f t="shared" si="4"/>
        <v>5</v>
      </c>
      <c r="J672" s="55"/>
    </row>
    <row r="673" spans="1:10" ht="12.75" customHeight="1" x14ac:dyDescent="0.2">
      <c r="A673" s="50">
        <f t="array" ref="A673">+INDEX(Partidas!$A:$J,MATCH('Resultados dashboard'!$B673,Partidas!$C:$C,0),2)</f>
        <v>45528</v>
      </c>
      <c r="B673" s="56">
        <f>+IF(COUNTIF($B$2:B672,B672)=VLOOKUP(B672,Partidas!$C:$J,8,0),B672+1,B672)</f>
        <v>151</v>
      </c>
      <c r="C673" s="41" t="str">
        <f t="array" ref="C673">+INDEX(Partidas!$A:$J,MATCH('Resultados dashboard'!$B673,Partidas!$C:$C,0),3+COUNTIF($B$2:B673,'Resultados dashboard'!$B673))</f>
        <v>Moch</v>
      </c>
      <c r="D673" s="54">
        <v>5</v>
      </c>
      <c r="E673" s="53"/>
      <c r="F673" s="53"/>
      <c r="G673" s="54">
        <v>1</v>
      </c>
      <c r="H673" s="38">
        <f t="shared" si="5"/>
        <v>7</v>
      </c>
      <c r="I673" s="38">
        <f t="shared" si="4"/>
        <v>3</v>
      </c>
      <c r="J673" s="55"/>
    </row>
    <row r="674" spans="1:10" ht="12.75" customHeight="1" x14ac:dyDescent="0.2">
      <c r="A674" s="50">
        <f t="array" ref="A674">+INDEX(Partidas!$A:$J,MATCH('Resultados dashboard'!$B674,Partidas!$C:$C,0),2)</f>
        <v>45535</v>
      </c>
      <c r="B674" s="56">
        <f>+IF(COUNTIF($B$2:B673,B673)=VLOOKUP(B673,Partidas!$C:$J,8,0),B673+1,B673)</f>
        <v>152</v>
      </c>
      <c r="C674" s="41" t="str">
        <f t="array" ref="C674">+INDEX(Partidas!$A:$J,MATCH('Resultados dashboard'!$B674,Partidas!$C:$C,0),3+COUNTIF($B$2:B674,'Resultados dashboard'!$B674))</f>
        <v>Gallo</v>
      </c>
      <c r="D674" s="54">
        <v>10</v>
      </c>
      <c r="E674" s="53"/>
      <c r="F674" s="53"/>
      <c r="G674" s="53"/>
      <c r="H674" s="38">
        <f t="shared" si="5"/>
        <v>10</v>
      </c>
      <c r="I674" s="58">
        <v>2</v>
      </c>
      <c r="J674" s="55"/>
    </row>
    <row r="675" spans="1:10" ht="12.75" customHeight="1" x14ac:dyDescent="0.2">
      <c r="A675" s="50">
        <f t="array" ref="A675">+INDEX(Partidas!$A:$J,MATCH('Resultados dashboard'!$B675,Partidas!$C:$C,0),2)</f>
        <v>45535</v>
      </c>
      <c r="B675" s="56">
        <f>+IF(COUNTIF($B$2:B674,B674)=VLOOKUP(B674,Partidas!$C:$J,8,0),B674+1,B674)</f>
        <v>152</v>
      </c>
      <c r="C675" s="41" t="str">
        <f t="array" ref="C675">+INDEX(Partidas!$A:$J,MATCH('Resultados dashboard'!$B675,Partidas!$C:$C,0),3+COUNTIF($B$2:B675,'Resultados dashboard'!$B675))</f>
        <v>Ivo</v>
      </c>
      <c r="D675" s="54">
        <v>7</v>
      </c>
      <c r="E675" s="53"/>
      <c r="F675" s="53"/>
      <c r="G675" s="53"/>
      <c r="H675" s="38">
        <f t="shared" si="5"/>
        <v>7</v>
      </c>
      <c r="I675" s="38">
        <f t="shared" ref="I675:I929" si="6">COUNTIFS($B$2:$B$1075,B675,$H$2:$H$1075,"&gt;" &amp; H675)+1</f>
        <v>3</v>
      </c>
      <c r="J675" s="55"/>
    </row>
    <row r="676" spans="1:10" ht="12.75" customHeight="1" x14ac:dyDescent="0.2">
      <c r="A676" s="50">
        <f t="array" ref="A676">+INDEX(Partidas!$A:$J,MATCH('Resultados dashboard'!$B676,Partidas!$C:$C,0),2)</f>
        <v>45535</v>
      </c>
      <c r="B676" s="56">
        <f>+IF(COUNTIF($B$2:B675,B675)=VLOOKUP(B675,Partidas!$C:$J,8,0),B675+1,B675)</f>
        <v>152</v>
      </c>
      <c r="C676" s="41" t="str">
        <f t="array" ref="C676">+INDEX(Partidas!$A:$J,MATCH('Resultados dashboard'!$B676,Partidas!$C:$C,0),3+COUNTIF($B$2:B676,'Resultados dashboard'!$B676))</f>
        <v>Max</v>
      </c>
      <c r="D676" s="54">
        <v>8</v>
      </c>
      <c r="E676" s="53"/>
      <c r="F676" s="53"/>
      <c r="G676" s="54">
        <v>1</v>
      </c>
      <c r="H676" s="38">
        <f t="shared" si="5"/>
        <v>10</v>
      </c>
      <c r="I676" s="38">
        <f t="shared" si="6"/>
        <v>1</v>
      </c>
      <c r="J676" s="55"/>
    </row>
    <row r="677" spans="1:10" ht="12.75" customHeight="1" x14ac:dyDescent="0.2">
      <c r="A677" s="50">
        <f t="array" ref="A677">+INDEX(Partidas!$A:$J,MATCH('Resultados dashboard'!$B677,Partidas!$C:$C,0),2)</f>
        <v>45535</v>
      </c>
      <c r="B677" s="56">
        <f>+IF(COUNTIF($B$2:B676,B676)=VLOOKUP(B676,Partidas!$C:$J,8,0),B676+1,B676)</f>
        <v>152</v>
      </c>
      <c r="C677" s="41" t="str">
        <f t="array" ref="C677">+INDEX(Partidas!$A:$J,MATCH('Resultados dashboard'!$B677,Partidas!$C:$C,0),3+COUNTIF($B$2:B677,'Resultados dashboard'!$B677))</f>
        <v>Gaspa</v>
      </c>
      <c r="D677" s="54">
        <v>4</v>
      </c>
      <c r="E677" s="53"/>
      <c r="F677" s="54">
        <v>1</v>
      </c>
      <c r="G677" s="53"/>
      <c r="H677" s="38">
        <f t="shared" si="5"/>
        <v>6</v>
      </c>
      <c r="I677" s="38">
        <f t="shared" si="6"/>
        <v>4</v>
      </c>
      <c r="J677" s="55"/>
    </row>
    <row r="678" spans="1:10" ht="12.75" customHeight="1" x14ac:dyDescent="0.2">
      <c r="A678" s="50">
        <f t="array" ref="A678">+INDEX(Partidas!$A:$J,MATCH('Resultados dashboard'!$B678,Partidas!$C:$C,0),2)</f>
        <v>45535</v>
      </c>
      <c r="B678" s="56">
        <f>+IF(COUNTIF($B$2:B677,B677)=VLOOKUP(B677,Partidas!$C:$J,8,0),B677+1,B677)</f>
        <v>152</v>
      </c>
      <c r="C678" s="41" t="str">
        <f t="array" ref="C678">+INDEX(Partidas!$A:$J,MATCH('Resultados dashboard'!$B678,Partidas!$C:$C,0),3+COUNTIF($B$2:B678,'Resultados dashboard'!$B678))</f>
        <v>Sofi</v>
      </c>
      <c r="D678" s="54">
        <v>5</v>
      </c>
      <c r="E678" s="54">
        <v>1</v>
      </c>
      <c r="F678" s="53"/>
      <c r="G678" s="53"/>
      <c r="H678" s="38">
        <f t="shared" si="5"/>
        <v>6</v>
      </c>
      <c r="I678" s="38">
        <f t="shared" si="6"/>
        <v>4</v>
      </c>
      <c r="J678" s="55"/>
    </row>
    <row r="679" spans="1:10" ht="12.75" customHeight="1" x14ac:dyDescent="0.2">
      <c r="A679" s="50">
        <f t="array" ref="A679">+INDEX(Partidas!$A:$J,MATCH('Resultados dashboard'!$B679,Partidas!$C:$C,0),2)</f>
        <v>45535</v>
      </c>
      <c r="B679" s="56">
        <f>+IF(COUNTIF($B$2:B678,B678)=VLOOKUP(B678,Partidas!$C:$J,8,0),B678+1,B678)</f>
        <v>153</v>
      </c>
      <c r="C679" s="41" t="str">
        <f t="array" ref="C679">+INDEX(Partidas!$A:$J,MATCH('Resultados dashboard'!$B679,Partidas!$C:$C,0),3+COUNTIF($B$2:B679,'Resultados dashboard'!$B679))</f>
        <v>Gallo</v>
      </c>
      <c r="D679" s="54">
        <v>8</v>
      </c>
      <c r="E679" s="53"/>
      <c r="F679" s="53"/>
      <c r="G679" s="54">
        <v>1</v>
      </c>
      <c r="H679" s="38">
        <f t="shared" si="5"/>
        <v>10</v>
      </c>
      <c r="I679" s="38">
        <f t="shared" si="6"/>
        <v>1</v>
      </c>
      <c r="J679" s="55"/>
    </row>
    <row r="680" spans="1:10" ht="12.75" customHeight="1" x14ac:dyDescent="0.2">
      <c r="A680" s="50">
        <f t="array" ref="A680">+INDEX(Partidas!$A:$J,MATCH('Resultados dashboard'!$B680,Partidas!$C:$C,0),2)</f>
        <v>45535</v>
      </c>
      <c r="B680" s="56">
        <f>+IF(COUNTIF($B$2:B679,B679)=VLOOKUP(B679,Partidas!$C:$J,8,0),B679+1,B679)</f>
        <v>153</v>
      </c>
      <c r="C680" s="41" t="str">
        <f t="array" ref="C680">+INDEX(Partidas!$A:$J,MATCH('Resultados dashboard'!$B680,Partidas!$C:$C,0),3+COUNTIF($B$2:B680,'Resultados dashboard'!$B680))</f>
        <v>Ivo</v>
      </c>
      <c r="D680" s="54">
        <v>4</v>
      </c>
      <c r="E680" s="54">
        <v>2</v>
      </c>
      <c r="F680" s="54">
        <v>1</v>
      </c>
      <c r="G680" s="53"/>
      <c r="H680" s="38">
        <f t="shared" si="5"/>
        <v>8</v>
      </c>
      <c r="I680" s="38">
        <f t="shared" si="6"/>
        <v>3</v>
      </c>
      <c r="J680" s="55"/>
    </row>
    <row r="681" spans="1:10" ht="12.75" customHeight="1" x14ac:dyDescent="0.2">
      <c r="A681" s="50">
        <f t="array" ref="A681">+INDEX(Partidas!$A:$J,MATCH('Resultados dashboard'!$B681,Partidas!$C:$C,0),2)</f>
        <v>45535</v>
      </c>
      <c r="B681" s="56">
        <f>+IF(COUNTIF($B$2:B680,B680)=VLOOKUP(B680,Partidas!$C:$J,8,0),B680+1,B680)</f>
        <v>153</v>
      </c>
      <c r="C681" s="41" t="str">
        <f t="array" ref="C681">+INDEX(Partidas!$A:$J,MATCH('Resultados dashboard'!$B681,Partidas!$C:$C,0),3+COUNTIF($B$2:B681,'Resultados dashboard'!$B681))</f>
        <v>Max</v>
      </c>
      <c r="D681" s="54">
        <v>8</v>
      </c>
      <c r="E681" s="53"/>
      <c r="F681" s="53"/>
      <c r="G681" s="53"/>
      <c r="H681" s="38">
        <f t="shared" si="5"/>
        <v>8</v>
      </c>
      <c r="I681" s="38">
        <f t="shared" si="6"/>
        <v>3</v>
      </c>
      <c r="J681" s="55"/>
    </row>
    <row r="682" spans="1:10" ht="12.75" customHeight="1" x14ac:dyDescent="0.2">
      <c r="A682" s="50">
        <f t="array" ref="A682">+INDEX(Partidas!$A:$J,MATCH('Resultados dashboard'!$B682,Partidas!$C:$C,0),2)</f>
        <v>45535</v>
      </c>
      <c r="B682" s="56">
        <f>+IF(COUNTIF($B$2:B681,B681)=VLOOKUP(B681,Partidas!$C:$J,8,0),B681+1,B681)</f>
        <v>153</v>
      </c>
      <c r="C682" s="41" t="str">
        <f t="array" ref="C682">+INDEX(Partidas!$A:$J,MATCH('Resultados dashboard'!$B682,Partidas!$C:$C,0),3+COUNTIF($B$2:B682,'Resultados dashboard'!$B682))</f>
        <v>Gaspa</v>
      </c>
      <c r="D682" s="54">
        <v>8</v>
      </c>
      <c r="E682" s="53"/>
      <c r="F682" s="53"/>
      <c r="G682" s="53"/>
      <c r="H682" s="38">
        <f t="shared" si="5"/>
        <v>8</v>
      </c>
      <c r="I682" s="38">
        <f t="shared" si="6"/>
        <v>3</v>
      </c>
      <c r="J682" s="55"/>
    </row>
    <row r="683" spans="1:10" ht="12.75" customHeight="1" x14ac:dyDescent="0.2">
      <c r="A683" s="50">
        <f t="array" ref="A683">+INDEX(Partidas!$A:$J,MATCH('Resultados dashboard'!$B683,Partidas!$C:$C,0),2)</f>
        <v>45535</v>
      </c>
      <c r="B683" s="56">
        <f>+IF(COUNTIF($B$2:B682,B682)=VLOOKUP(B682,Partidas!$C:$J,8,0),B682+1,B682)</f>
        <v>153</v>
      </c>
      <c r="C683" s="41" t="str">
        <f t="array" ref="C683">+INDEX(Partidas!$A:$J,MATCH('Resultados dashboard'!$B683,Partidas!$C:$C,0),3+COUNTIF($B$2:B683,'Resultados dashboard'!$B683))</f>
        <v>Hugo</v>
      </c>
      <c r="D683" s="54">
        <v>8</v>
      </c>
      <c r="E683" s="54">
        <v>1</v>
      </c>
      <c r="F683" s="53"/>
      <c r="G683" s="53"/>
      <c r="H683" s="38">
        <f t="shared" si="5"/>
        <v>9</v>
      </c>
      <c r="I683" s="38">
        <f t="shared" si="6"/>
        <v>2</v>
      </c>
      <c r="J683" s="55"/>
    </row>
    <row r="684" spans="1:10" ht="12.75" customHeight="1" x14ac:dyDescent="0.2">
      <c r="A684" s="50">
        <f t="array" ref="A684">+INDEX(Partidas!$A:$J,MATCH('Resultados dashboard'!$B684,Partidas!$C:$C,0),2)</f>
        <v>45535</v>
      </c>
      <c r="B684" s="56">
        <f>+IF(COUNTIF($B$2:B683,B683)=VLOOKUP(B683,Partidas!$C:$J,8,0),B683+1,B683)</f>
        <v>153</v>
      </c>
      <c r="C684" s="41" t="str">
        <f t="array" ref="C684">+INDEX(Partidas!$A:$J,MATCH('Resultados dashboard'!$B684,Partidas!$C:$C,0),3+COUNTIF($B$2:B684,'Resultados dashboard'!$B684))</f>
        <v>Sofi</v>
      </c>
      <c r="D684" s="54">
        <v>6</v>
      </c>
      <c r="E684" s="54">
        <v>1</v>
      </c>
      <c r="F684" s="53"/>
      <c r="G684" s="53"/>
      <c r="H684" s="38">
        <f t="shared" si="5"/>
        <v>7</v>
      </c>
      <c r="I684" s="38">
        <f t="shared" si="6"/>
        <v>6</v>
      </c>
      <c r="J684" s="55"/>
    </row>
    <row r="685" spans="1:10" ht="12.75" customHeight="1" x14ac:dyDescent="0.2">
      <c r="A685" s="50">
        <f t="array" ref="A685">+INDEX(Partidas!$A:$J,MATCH('Resultados dashboard'!$B685,Partidas!$C:$C,0),2)</f>
        <v>45535</v>
      </c>
      <c r="B685" s="56">
        <f>+IF(COUNTIF($B$2:B684,B684)=VLOOKUP(B684,Partidas!$C:$J,8,0),B684+1,B684)</f>
        <v>154</v>
      </c>
      <c r="C685" s="41" t="str">
        <f t="array" ref="C685">+INDEX(Partidas!$A:$J,MATCH('Resultados dashboard'!$B685,Partidas!$C:$C,0),3+COUNTIF($B$2:B685,'Resultados dashboard'!$B685))</f>
        <v>Gallo</v>
      </c>
      <c r="D685" s="54">
        <v>8</v>
      </c>
      <c r="E685" s="54">
        <v>1</v>
      </c>
      <c r="F685" s="54">
        <v>1</v>
      </c>
      <c r="G685" s="53"/>
      <c r="H685" s="38">
        <f t="shared" si="5"/>
        <v>11</v>
      </c>
      <c r="I685" s="38">
        <f t="shared" si="6"/>
        <v>1</v>
      </c>
      <c r="J685" s="55"/>
    </row>
    <row r="686" spans="1:10" ht="12.75" customHeight="1" x14ac:dyDescent="0.2">
      <c r="A686" s="50">
        <f t="array" ref="A686">+INDEX(Partidas!$A:$J,MATCH('Resultados dashboard'!$B686,Partidas!$C:$C,0),2)</f>
        <v>45535</v>
      </c>
      <c r="B686" s="56">
        <f>+IF(COUNTIF($B$2:B685,B685)=VLOOKUP(B685,Partidas!$C:$J,8,0),B685+1,B685)</f>
        <v>154</v>
      </c>
      <c r="C686" s="41" t="str">
        <f t="array" ref="C686">+INDEX(Partidas!$A:$J,MATCH('Resultados dashboard'!$B686,Partidas!$C:$C,0),3+COUNTIF($B$2:B686,'Resultados dashboard'!$B686))</f>
        <v>Ivo</v>
      </c>
      <c r="D686" s="54">
        <v>5</v>
      </c>
      <c r="E686" s="53"/>
      <c r="F686" s="53"/>
      <c r="G686" s="53"/>
      <c r="H686" s="38">
        <f t="shared" si="5"/>
        <v>5</v>
      </c>
      <c r="I686" s="38">
        <f t="shared" si="6"/>
        <v>4</v>
      </c>
      <c r="J686" s="55"/>
    </row>
    <row r="687" spans="1:10" ht="12.75" customHeight="1" x14ac:dyDescent="0.2">
      <c r="A687" s="50">
        <f t="array" ref="A687">+INDEX(Partidas!$A:$J,MATCH('Resultados dashboard'!$B687,Partidas!$C:$C,0),2)</f>
        <v>45535</v>
      </c>
      <c r="B687" s="56">
        <f>+IF(COUNTIF($B$2:B686,B686)=VLOOKUP(B686,Partidas!$C:$J,8,0),B686+1,B686)</f>
        <v>154</v>
      </c>
      <c r="C687" s="41" t="str">
        <f t="array" ref="C687">+INDEX(Partidas!$A:$J,MATCH('Resultados dashboard'!$B687,Partidas!$C:$C,0),3+COUNTIF($B$2:B687,'Resultados dashboard'!$B687))</f>
        <v>Max</v>
      </c>
      <c r="D687" s="54">
        <v>8</v>
      </c>
      <c r="E687" s="53"/>
      <c r="F687" s="53"/>
      <c r="G687" s="53"/>
      <c r="H687" s="38">
        <f t="shared" si="5"/>
        <v>8</v>
      </c>
      <c r="I687" s="38">
        <f t="shared" si="6"/>
        <v>2</v>
      </c>
      <c r="J687" s="55"/>
    </row>
    <row r="688" spans="1:10" ht="12.75" customHeight="1" x14ac:dyDescent="0.2">
      <c r="A688" s="50">
        <f t="array" ref="A688">+INDEX(Partidas!$A:$J,MATCH('Resultados dashboard'!$B688,Partidas!$C:$C,0),2)</f>
        <v>45535</v>
      </c>
      <c r="B688" s="56">
        <f>+IF(COUNTIF($B$2:B687,B687)=VLOOKUP(B687,Partidas!$C:$J,8,0),B687+1,B687)</f>
        <v>154</v>
      </c>
      <c r="C688" s="41" t="str">
        <f t="array" ref="C688">+INDEX(Partidas!$A:$J,MATCH('Resultados dashboard'!$B688,Partidas!$C:$C,0),3+COUNTIF($B$2:B688,'Resultados dashboard'!$B688))</f>
        <v>Gaspa</v>
      </c>
      <c r="D688" s="54">
        <v>4</v>
      </c>
      <c r="E688" s="53"/>
      <c r="F688" s="53"/>
      <c r="G688" s="54">
        <v>1</v>
      </c>
      <c r="H688" s="38">
        <f t="shared" si="5"/>
        <v>6</v>
      </c>
      <c r="I688" s="38">
        <f t="shared" si="6"/>
        <v>3</v>
      </c>
      <c r="J688" s="55"/>
    </row>
    <row r="689" spans="1:10" ht="12.75" customHeight="1" x14ac:dyDescent="0.2">
      <c r="A689" s="50">
        <f t="array" ref="A689">+INDEX(Partidas!$A:$J,MATCH('Resultados dashboard'!$B689,Partidas!$C:$C,0),2)</f>
        <v>45535</v>
      </c>
      <c r="B689" s="56">
        <f>+IF(COUNTIF($B$2:B688,B688)=VLOOKUP(B688,Partidas!$C:$J,8,0),B688+1,B688)</f>
        <v>155</v>
      </c>
      <c r="C689" s="41" t="str">
        <f t="array" ref="C689">+INDEX(Partidas!$A:$J,MATCH('Resultados dashboard'!$B689,Partidas!$C:$C,0),3+COUNTIF($B$2:B689,'Resultados dashboard'!$B689))</f>
        <v>Gallo</v>
      </c>
      <c r="D689" s="54">
        <v>7</v>
      </c>
      <c r="E689" s="53"/>
      <c r="F689" s="53"/>
      <c r="G689" s="53"/>
      <c r="H689" s="38">
        <f t="shared" si="5"/>
        <v>7</v>
      </c>
      <c r="I689" s="38">
        <f t="shared" si="6"/>
        <v>4</v>
      </c>
      <c r="J689" s="55"/>
    </row>
    <row r="690" spans="1:10" ht="12.75" customHeight="1" x14ac:dyDescent="0.2">
      <c r="A690" s="50">
        <f t="array" ref="A690">+INDEX(Partidas!$A:$J,MATCH('Resultados dashboard'!$B690,Partidas!$C:$C,0),2)</f>
        <v>45535</v>
      </c>
      <c r="B690" s="56">
        <f>+IF(COUNTIF($B$2:B689,B689)=VLOOKUP(B689,Partidas!$C:$J,8,0),B689+1,B689)</f>
        <v>155</v>
      </c>
      <c r="C690" s="41" t="str">
        <f t="array" ref="C690">+INDEX(Partidas!$A:$J,MATCH('Resultados dashboard'!$B690,Partidas!$C:$C,0),3+COUNTIF($B$2:B690,'Resultados dashboard'!$B690))</f>
        <v>Ivo</v>
      </c>
      <c r="D690" s="54">
        <v>7</v>
      </c>
      <c r="E690" s="54">
        <v>1</v>
      </c>
      <c r="F690" s="54">
        <v>1</v>
      </c>
      <c r="G690" s="53"/>
      <c r="H690" s="38">
        <f t="shared" si="5"/>
        <v>10</v>
      </c>
      <c r="I690" s="38">
        <f t="shared" si="6"/>
        <v>1</v>
      </c>
      <c r="J690" s="55"/>
    </row>
    <row r="691" spans="1:10" ht="12.75" customHeight="1" x14ac:dyDescent="0.2">
      <c r="A691" s="50">
        <f t="array" ref="A691">+INDEX(Partidas!$A:$J,MATCH('Resultados dashboard'!$B691,Partidas!$C:$C,0),2)</f>
        <v>45535</v>
      </c>
      <c r="B691" s="56">
        <f>+IF(COUNTIF($B$2:B690,B690)=VLOOKUP(B690,Partidas!$C:$J,8,0),B690+1,B690)</f>
        <v>155</v>
      </c>
      <c r="C691" s="41" t="str">
        <f t="array" ref="C691">+INDEX(Partidas!$A:$J,MATCH('Resultados dashboard'!$B691,Partidas!$C:$C,0),3+COUNTIF($B$2:B691,'Resultados dashboard'!$B691))</f>
        <v>Max</v>
      </c>
      <c r="D691" s="54">
        <v>7</v>
      </c>
      <c r="E691" s="53"/>
      <c r="F691" s="53"/>
      <c r="G691" s="54">
        <v>1</v>
      </c>
      <c r="H691" s="38">
        <f t="shared" si="5"/>
        <v>9</v>
      </c>
      <c r="I691" s="38">
        <f t="shared" si="6"/>
        <v>2</v>
      </c>
      <c r="J691" s="55"/>
    </row>
    <row r="692" spans="1:10" ht="12.75" customHeight="1" x14ac:dyDescent="0.2">
      <c r="A692" s="50">
        <f t="array" ref="A692">+INDEX(Partidas!$A:$J,MATCH('Resultados dashboard'!$B692,Partidas!$C:$C,0),2)</f>
        <v>45535</v>
      </c>
      <c r="B692" s="56">
        <f>+IF(COUNTIF($B$2:B691,B691)=VLOOKUP(B691,Partidas!$C:$J,8,0),B691+1,B691)</f>
        <v>155</v>
      </c>
      <c r="C692" s="41" t="str">
        <f t="array" ref="C692">+INDEX(Partidas!$A:$J,MATCH('Resultados dashboard'!$B692,Partidas!$C:$C,0),3+COUNTIF($B$2:B692,'Resultados dashboard'!$B692))</f>
        <v>Gaspa</v>
      </c>
      <c r="D692" s="54">
        <v>7</v>
      </c>
      <c r="E692" s="54">
        <v>1</v>
      </c>
      <c r="F692" s="53"/>
      <c r="G692" s="53"/>
      <c r="H692" s="38">
        <f t="shared" si="5"/>
        <v>8</v>
      </c>
      <c r="I692" s="38">
        <f t="shared" si="6"/>
        <v>3</v>
      </c>
      <c r="J692" s="55"/>
    </row>
    <row r="693" spans="1:10" ht="12.75" customHeight="1" x14ac:dyDescent="0.2">
      <c r="A693" s="50">
        <f t="array" ref="A693">+INDEX(Partidas!$A:$J,MATCH('Resultados dashboard'!$B693,Partidas!$C:$C,0),2)</f>
        <v>45540</v>
      </c>
      <c r="B693" s="56">
        <f>+IF(COUNTIF($B$2:B692,B692)=VLOOKUP(B692,Partidas!$C:$J,8,0),B692+1,B692)</f>
        <v>156</v>
      </c>
      <c r="C693" s="41" t="str">
        <f t="array" ref="C693">+INDEX(Partidas!$A:$J,MATCH('Resultados dashboard'!$B693,Partidas!$C:$C,0),3+COUNTIF($B$2:B693,'Resultados dashboard'!$B693))</f>
        <v>Ivo</v>
      </c>
      <c r="D693" s="54">
        <v>3</v>
      </c>
      <c r="E693" s="54">
        <v>1</v>
      </c>
      <c r="F693" s="53"/>
      <c r="G693" s="53"/>
      <c r="H693" s="38">
        <f t="shared" si="5"/>
        <v>4</v>
      </c>
      <c r="I693" s="38">
        <f t="shared" si="6"/>
        <v>4</v>
      </c>
      <c r="J693" s="55"/>
    </row>
    <row r="694" spans="1:10" ht="12.75" customHeight="1" x14ac:dyDescent="0.2">
      <c r="A694" s="50">
        <f t="array" ref="A694">+INDEX(Partidas!$A:$J,MATCH('Resultados dashboard'!$B694,Partidas!$C:$C,0),2)</f>
        <v>45540</v>
      </c>
      <c r="B694" s="56">
        <f>+IF(COUNTIF($B$2:B693,B693)=VLOOKUP(B693,Partidas!$C:$J,8,0),B693+1,B693)</f>
        <v>156</v>
      </c>
      <c r="C694" s="41" t="str">
        <f t="array" ref="C694">+INDEX(Partidas!$A:$J,MATCH('Resultados dashboard'!$B694,Partidas!$C:$C,0),3+COUNTIF($B$2:B694,'Resultados dashboard'!$B694))</f>
        <v>Max</v>
      </c>
      <c r="D694" s="54">
        <v>5</v>
      </c>
      <c r="E694" s="53"/>
      <c r="F694" s="53"/>
      <c r="G694" s="53"/>
      <c r="H694" s="38">
        <f t="shared" si="5"/>
        <v>5</v>
      </c>
      <c r="I694" s="38">
        <f t="shared" si="6"/>
        <v>3</v>
      </c>
      <c r="J694" s="55"/>
    </row>
    <row r="695" spans="1:10" ht="12.75" customHeight="1" x14ac:dyDescent="0.2">
      <c r="A695" s="50">
        <f t="array" ref="A695">+INDEX(Partidas!$A:$J,MATCH('Resultados dashboard'!$B695,Partidas!$C:$C,0),2)</f>
        <v>45540</v>
      </c>
      <c r="B695" s="56">
        <f>+IF(COUNTIF($B$2:B694,B694)=VLOOKUP(B694,Partidas!$C:$J,8,0),B694+1,B694)</f>
        <v>156</v>
      </c>
      <c r="C695" s="41" t="str">
        <f t="array" ref="C695">+INDEX(Partidas!$A:$J,MATCH('Resultados dashboard'!$B695,Partidas!$C:$C,0),3+COUNTIF($B$2:B695,'Resultados dashboard'!$B695))</f>
        <v>Hugo</v>
      </c>
      <c r="D695" s="54">
        <v>7</v>
      </c>
      <c r="E695" s="54">
        <v>1</v>
      </c>
      <c r="F695" s="53"/>
      <c r="G695" s="53"/>
      <c r="H695" s="38">
        <f t="shared" si="5"/>
        <v>8</v>
      </c>
      <c r="I695" s="38">
        <f t="shared" si="6"/>
        <v>2</v>
      </c>
      <c r="J695" s="55"/>
    </row>
    <row r="696" spans="1:10" ht="12.75" customHeight="1" x14ac:dyDescent="0.2">
      <c r="A696" s="50">
        <f t="array" ref="A696">+INDEX(Partidas!$A:$J,MATCH('Resultados dashboard'!$B696,Partidas!$C:$C,0),2)</f>
        <v>45540</v>
      </c>
      <c r="B696" s="56">
        <f>+IF(COUNTIF($B$2:B695,B695)=VLOOKUP(B695,Partidas!$C:$J,8,0),B695+1,B695)</f>
        <v>156</v>
      </c>
      <c r="C696" s="41" t="str">
        <f t="array" ref="C696">+INDEX(Partidas!$A:$J,MATCH('Resultados dashboard'!$B696,Partidas!$C:$C,0),3+COUNTIF($B$2:B696,'Resultados dashboard'!$B696))</f>
        <v>Gaspa</v>
      </c>
      <c r="D696" s="54">
        <v>8</v>
      </c>
      <c r="E696" s="54">
        <v>1</v>
      </c>
      <c r="F696" s="53"/>
      <c r="G696" s="54">
        <v>1</v>
      </c>
      <c r="H696" s="38">
        <f t="shared" si="5"/>
        <v>11</v>
      </c>
      <c r="I696" s="38">
        <f t="shared" si="6"/>
        <v>1</v>
      </c>
      <c r="J696" s="55"/>
    </row>
    <row r="697" spans="1:10" ht="12.75" customHeight="1" x14ac:dyDescent="0.2">
      <c r="A697" s="50">
        <f t="array" ref="A697">+INDEX(Partidas!$A:$J,MATCH('Resultados dashboard'!$B697,Partidas!$C:$C,0),2)</f>
        <v>45540</v>
      </c>
      <c r="B697" s="56">
        <f>+IF(COUNTIF($B$2:B696,B696)=VLOOKUP(B696,Partidas!$C:$J,8,0),B696+1,B696)</f>
        <v>157</v>
      </c>
      <c r="C697" s="41" t="str">
        <f t="array" ref="C697">+INDEX(Partidas!$A:$J,MATCH('Resultados dashboard'!$B697,Partidas!$C:$C,0),3+COUNTIF($B$2:B697,'Resultados dashboard'!$B697))</f>
        <v>Ivo</v>
      </c>
      <c r="D697" s="54">
        <v>7</v>
      </c>
      <c r="E697" s="53"/>
      <c r="F697" s="53"/>
      <c r="G697" s="53"/>
      <c r="H697" s="38">
        <f t="shared" si="5"/>
        <v>7</v>
      </c>
      <c r="I697" s="38">
        <f t="shared" si="6"/>
        <v>2</v>
      </c>
      <c r="J697" s="55"/>
    </row>
    <row r="698" spans="1:10" ht="12.75" customHeight="1" x14ac:dyDescent="0.2">
      <c r="A698" s="50">
        <f t="array" ref="A698">+INDEX(Partidas!$A:$J,MATCH('Resultados dashboard'!$B698,Partidas!$C:$C,0),2)</f>
        <v>45540</v>
      </c>
      <c r="B698" s="56">
        <f>+IF(COUNTIF($B$2:B697,B697)=VLOOKUP(B697,Partidas!$C:$J,8,0),B697+1,B697)</f>
        <v>157</v>
      </c>
      <c r="C698" s="41" t="str">
        <f t="array" ref="C698">+INDEX(Partidas!$A:$J,MATCH('Resultados dashboard'!$B698,Partidas!$C:$C,0),3+COUNTIF($B$2:B698,'Resultados dashboard'!$B698))</f>
        <v>Max</v>
      </c>
      <c r="D698" s="54">
        <v>8</v>
      </c>
      <c r="E698" s="53"/>
      <c r="F698" s="53"/>
      <c r="G698" s="54">
        <v>1</v>
      </c>
      <c r="H698" s="38">
        <f t="shared" si="5"/>
        <v>10</v>
      </c>
      <c r="I698" s="38">
        <f t="shared" si="6"/>
        <v>1</v>
      </c>
      <c r="J698" s="55"/>
    </row>
    <row r="699" spans="1:10" ht="12.75" customHeight="1" x14ac:dyDescent="0.2">
      <c r="A699" s="50">
        <f t="array" ref="A699">+INDEX(Partidas!$A:$J,MATCH('Resultados dashboard'!$B699,Partidas!$C:$C,0),2)</f>
        <v>45540</v>
      </c>
      <c r="B699" s="56">
        <f>+IF(COUNTIF($B$2:B698,B698)=VLOOKUP(B698,Partidas!$C:$J,8,0),B698+1,B698)</f>
        <v>157</v>
      </c>
      <c r="C699" s="41" t="str">
        <f t="array" ref="C699">+INDEX(Partidas!$A:$J,MATCH('Resultados dashboard'!$B699,Partidas!$C:$C,0),3+COUNTIF($B$2:B699,'Resultados dashboard'!$B699))</f>
        <v>Hugo</v>
      </c>
      <c r="D699" s="54">
        <v>5</v>
      </c>
      <c r="E699" s="54">
        <v>1</v>
      </c>
      <c r="F699" s="53"/>
      <c r="G699" s="53"/>
      <c r="H699" s="38">
        <f t="shared" si="5"/>
        <v>6</v>
      </c>
      <c r="I699" s="38">
        <f t="shared" si="6"/>
        <v>3</v>
      </c>
      <c r="J699" s="55"/>
    </row>
    <row r="700" spans="1:10" ht="12.75" customHeight="1" x14ac:dyDescent="0.2">
      <c r="A700" s="50">
        <f t="array" ref="A700">+INDEX(Partidas!$A:$J,MATCH('Resultados dashboard'!$B700,Partidas!$C:$C,0),2)</f>
        <v>45540</v>
      </c>
      <c r="B700" s="56">
        <f>+IF(COUNTIF($B$2:B699,B699)=VLOOKUP(B699,Partidas!$C:$J,8,0),B699+1,B699)</f>
        <v>157</v>
      </c>
      <c r="C700" s="41" t="str">
        <f t="array" ref="C700">+INDEX(Partidas!$A:$J,MATCH('Resultados dashboard'!$B700,Partidas!$C:$C,0),3+COUNTIF($B$2:B700,'Resultados dashboard'!$B700))</f>
        <v>Gaspa</v>
      </c>
      <c r="D700" s="54">
        <v>5</v>
      </c>
      <c r="E700" s="53"/>
      <c r="F700" s="53"/>
      <c r="G700" s="53"/>
      <c r="H700" s="38">
        <f t="shared" si="5"/>
        <v>5</v>
      </c>
      <c r="I700" s="38">
        <f t="shared" si="6"/>
        <v>4</v>
      </c>
      <c r="J700" s="55"/>
    </row>
    <row r="701" spans="1:10" ht="12.75" customHeight="1" x14ac:dyDescent="0.2">
      <c r="A701" s="50">
        <f t="array" ref="A701">+INDEX(Partidas!$A:$J,MATCH('Resultados dashboard'!$B701,Partidas!$C:$C,0),2)</f>
        <v>45540</v>
      </c>
      <c r="B701" s="56">
        <f>+IF(COUNTIF($B$2:B700,B700)=VLOOKUP(B700,Partidas!$C:$J,8,0),B700+1,B700)</f>
        <v>158</v>
      </c>
      <c r="C701" s="41" t="str">
        <f t="array" ref="C701">+INDEX(Partidas!$A:$J,MATCH('Resultados dashboard'!$B701,Partidas!$C:$C,0),3+COUNTIF($B$2:B701,'Resultados dashboard'!$B701))</f>
        <v>Ivo</v>
      </c>
      <c r="D701" s="54">
        <v>5</v>
      </c>
      <c r="E701" s="54">
        <v>1</v>
      </c>
      <c r="F701" s="53"/>
      <c r="G701" s="53"/>
      <c r="H701" s="38">
        <f t="shared" si="5"/>
        <v>6</v>
      </c>
      <c r="I701" s="38">
        <f t="shared" si="6"/>
        <v>2</v>
      </c>
      <c r="J701" s="55"/>
    </row>
    <row r="702" spans="1:10" ht="12.75" customHeight="1" x14ac:dyDescent="0.2">
      <c r="A702" s="50">
        <f t="array" ref="A702">+INDEX(Partidas!$A:$J,MATCH('Resultados dashboard'!$B702,Partidas!$C:$C,0),2)</f>
        <v>45540</v>
      </c>
      <c r="B702" s="56">
        <f>+IF(COUNTIF($B$2:B701,B701)=VLOOKUP(B701,Partidas!$C:$J,8,0),B701+1,B701)</f>
        <v>158</v>
      </c>
      <c r="C702" s="41" t="str">
        <f t="array" ref="C702">+INDEX(Partidas!$A:$J,MATCH('Resultados dashboard'!$B702,Partidas!$C:$C,0),3+COUNTIF($B$2:B702,'Resultados dashboard'!$B702))</f>
        <v>Max</v>
      </c>
      <c r="D702" s="54">
        <v>8</v>
      </c>
      <c r="E702" s="53"/>
      <c r="F702" s="53"/>
      <c r="G702" s="54">
        <v>1</v>
      </c>
      <c r="H702" s="38">
        <f t="shared" si="5"/>
        <v>10</v>
      </c>
      <c r="I702" s="38">
        <f t="shared" si="6"/>
        <v>1</v>
      </c>
      <c r="J702" s="55"/>
    </row>
    <row r="703" spans="1:10" ht="12.75" customHeight="1" x14ac:dyDescent="0.2">
      <c r="A703" s="50">
        <f t="array" ref="A703">+INDEX(Partidas!$A:$J,MATCH('Resultados dashboard'!$B703,Partidas!$C:$C,0),2)</f>
        <v>45540</v>
      </c>
      <c r="B703" s="56">
        <f>+IF(COUNTIF($B$2:B702,B702)=VLOOKUP(B702,Partidas!$C:$J,8,0),B702+1,B702)</f>
        <v>158</v>
      </c>
      <c r="C703" s="41" t="str">
        <f t="array" ref="C703">+INDEX(Partidas!$A:$J,MATCH('Resultados dashboard'!$B703,Partidas!$C:$C,0),3+COUNTIF($B$2:B703,'Resultados dashboard'!$B703))</f>
        <v>Hugo</v>
      </c>
      <c r="D703" s="54">
        <v>5</v>
      </c>
      <c r="E703" s="53"/>
      <c r="F703" s="53"/>
      <c r="G703" s="53"/>
      <c r="H703" s="38">
        <f t="shared" si="5"/>
        <v>5</v>
      </c>
      <c r="I703" s="38">
        <f t="shared" si="6"/>
        <v>4</v>
      </c>
      <c r="J703" s="55"/>
    </row>
    <row r="704" spans="1:10" ht="12.75" customHeight="1" x14ac:dyDescent="0.2">
      <c r="A704" s="50">
        <f t="array" ref="A704">+INDEX(Partidas!$A:$J,MATCH('Resultados dashboard'!$B704,Partidas!$C:$C,0),2)</f>
        <v>45540</v>
      </c>
      <c r="B704" s="56">
        <f>+IF(COUNTIF($B$2:B703,B703)=VLOOKUP(B703,Partidas!$C:$J,8,0),B703+1,B703)</f>
        <v>158</v>
      </c>
      <c r="C704" s="41" t="str">
        <f t="array" ref="C704">+INDEX(Partidas!$A:$J,MATCH('Resultados dashboard'!$B704,Partidas!$C:$C,0),3+COUNTIF($B$2:B704,'Resultados dashboard'!$B704))</f>
        <v>Gaspa</v>
      </c>
      <c r="D704" s="54">
        <v>4</v>
      </c>
      <c r="E704" s="54">
        <v>2</v>
      </c>
      <c r="F704" s="53"/>
      <c r="G704" s="53"/>
      <c r="H704" s="38">
        <f t="shared" si="5"/>
        <v>6</v>
      </c>
      <c r="I704" s="38">
        <f t="shared" si="6"/>
        <v>2</v>
      </c>
      <c r="J704" s="55"/>
    </row>
    <row r="705" spans="1:10" ht="12.75" customHeight="1" x14ac:dyDescent="0.2">
      <c r="A705" s="50">
        <f t="array" ref="A705">+INDEX(Partidas!$A:$J,MATCH('Resultados dashboard'!$B705,Partidas!$C:$C,0),2)</f>
        <v>45540</v>
      </c>
      <c r="B705" s="56">
        <f>+IF(COUNTIF($B$2:B704,B704)=VLOOKUP(B704,Partidas!$C:$J,8,0),B704+1,B704)</f>
        <v>159</v>
      </c>
      <c r="C705" s="41" t="str">
        <f t="array" ref="C705">+INDEX(Partidas!$A:$J,MATCH('Resultados dashboard'!$B705,Partidas!$C:$C,0),3+COUNTIF($B$2:B705,'Resultados dashboard'!$B705))</f>
        <v>Ivo</v>
      </c>
      <c r="D705" s="54">
        <v>5</v>
      </c>
      <c r="E705" s="53"/>
      <c r="F705" s="53"/>
      <c r="G705" s="53"/>
      <c r="H705" s="38">
        <f t="shared" si="5"/>
        <v>5</v>
      </c>
      <c r="I705" s="38">
        <f t="shared" si="6"/>
        <v>4</v>
      </c>
      <c r="J705" s="55"/>
    </row>
    <row r="706" spans="1:10" ht="12.75" customHeight="1" x14ac:dyDescent="0.2">
      <c r="A706" s="50">
        <f t="array" ref="A706">+INDEX(Partidas!$A:$J,MATCH('Resultados dashboard'!$B706,Partidas!$C:$C,0),2)</f>
        <v>45540</v>
      </c>
      <c r="B706" s="56">
        <f>+IF(COUNTIF($B$2:B705,B705)=VLOOKUP(B705,Partidas!$C:$J,8,0),B705+1,B705)</f>
        <v>159</v>
      </c>
      <c r="C706" s="41" t="str">
        <f t="array" ref="C706">+INDEX(Partidas!$A:$J,MATCH('Resultados dashboard'!$B706,Partidas!$C:$C,0),3+COUNTIF($B$2:B706,'Resultados dashboard'!$B706))</f>
        <v>Max</v>
      </c>
      <c r="D706" s="54">
        <v>6</v>
      </c>
      <c r="E706" s="53"/>
      <c r="F706" s="53"/>
      <c r="G706" s="53"/>
      <c r="H706" s="38">
        <f t="shared" si="5"/>
        <v>6</v>
      </c>
      <c r="I706" s="38">
        <f t="shared" si="6"/>
        <v>2</v>
      </c>
      <c r="J706" s="55"/>
    </row>
    <row r="707" spans="1:10" ht="12.75" customHeight="1" x14ac:dyDescent="0.2">
      <c r="A707" s="50">
        <f t="array" ref="A707">+INDEX(Partidas!$A:$J,MATCH('Resultados dashboard'!$B707,Partidas!$C:$C,0),2)</f>
        <v>45540</v>
      </c>
      <c r="B707" s="56">
        <f>+IF(COUNTIF($B$2:B706,B706)=VLOOKUP(B706,Partidas!$C:$J,8,0),B706+1,B706)</f>
        <v>159</v>
      </c>
      <c r="C707" s="41" t="str">
        <f t="array" ref="C707">+INDEX(Partidas!$A:$J,MATCH('Resultados dashboard'!$B707,Partidas!$C:$C,0),3+COUNTIF($B$2:B707,'Resultados dashboard'!$B707))</f>
        <v>Hugo</v>
      </c>
      <c r="D707" s="54">
        <v>5</v>
      </c>
      <c r="E707" s="54">
        <v>2</v>
      </c>
      <c r="F707" s="54">
        <v>1</v>
      </c>
      <c r="G707" s="54">
        <v>1</v>
      </c>
      <c r="H707" s="38">
        <f t="shared" si="5"/>
        <v>11</v>
      </c>
      <c r="I707" s="38">
        <f t="shared" si="6"/>
        <v>1</v>
      </c>
      <c r="J707" s="55"/>
    </row>
    <row r="708" spans="1:10" ht="12.75" customHeight="1" x14ac:dyDescent="0.2">
      <c r="A708" s="50">
        <f t="array" ref="A708">+INDEX(Partidas!$A:$J,MATCH('Resultados dashboard'!$B708,Partidas!$C:$C,0),2)</f>
        <v>45540</v>
      </c>
      <c r="B708" s="56">
        <f>+IF(COUNTIF($B$2:B707,B707)=VLOOKUP(B707,Partidas!$C:$J,8,0),B707+1,B707)</f>
        <v>159</v>
      </c>
      <c r="C708" s="41" t="str">
        <f t="array" ref="C708">+INDEX(Partidas!$A:$J,MATCH('Resultados dashboard'!$B708,Partidas!$C:$C,0),3+COUNTIF($B$2:B708,'Resultados dashboard'!$B708))</f>
        <v>Gaspa</v>
      </c>
      <c r="D708" s="54">
        <v>6</v>
      </c>
      <c r="E708" s="53"/>
      <c r="F708" s="53"/>
      <c r="G708" s="53"/>
      <c r="H708" s="38">
        <f t="shared" si="5"/>
        <v>6</v>
      </c>
      <c r="I708" s="38">
        <f t="shared" si="6"/>
        <v>2</v>
      </c>
      <c r="J708" s="55"/>
    </row>
    <row r="709" spans="1:10" ht="12.75" customHeight="1" x14ac:dyDescent="0.2">
      <c r="A709" s="50">
        <f t="array" ref="A709">+INDEX(Partidas!$A:$J,MATCH('Resultados dashboard'!$B709,Partidas!$C:$C,0),2)</f>
        <v>45548</v>
      </c>
      <c r="B709" s="56">
        <f>+IF(COUNTIF($B$2:B708,B708)=VLOOKUP(B708,Partidas!$C:$J,8,0),B708+1,B708)</f>
        <v>160</v>
      </c>
      <c r="C709" s="41" t="str">
        <f t="array" ref="C709">+INDEX(Partidas!$A:$J,MATCH('Resultados dashboard'!$B709,Partidas!$C:$C,0),3+COUNTIF($B$2:B709,'Resultados dashboard'!$B709))</f>
        <v>Gallo</v>
      </c>
      <c r="D709" s="54">
        <v>6</v>
      </c>
      <c r="E709" s="53"/>
      <c r="F709" s="53"/>
      <c r="G709" s="54">
        <v>1</v>
      </c>
      <c r="H709" s="38">
        <f t="shared" si="5"/>
        <v>8</v>
      </c>
      <c r="I709" s="38">
        <f t="shared" si="6"/>
        <v>2</v>
      </c>
      <c r="J709" s="55"/>
    </row>
    <row r="710" spans="1:10" ht="12.75" customHeight="1" x14ac:dyDescent="0.2">
      <c r="A710" s="50">
        <f t="array" ref="A710">+INDEX(Partidas!$A:$J,MATCH('Resultados dashboard'!$B710,Partidas!$C:$C,0),2)</f>
        <v>45548</v>
      </c>
      <c r="B710" s="56">
        <f>+IF(COUNTIF($B$2:B709,B709)=VLOOKUP(B709,Partidas!$C:$J,8,0),B709+1,B709)</f>
        <v>160</v>
      </c>
      <c r="C710" s="41" t="str">
        <f t="array" ref="C710">+INDEX(Partidas!$A:$J,MATCH('Resultados dashboard'!$B710,Partidas!$C:$C,0),3+COUNTIF($B$2:B710,'Resultados dashboard'!$B710))</f>
        <v>Ivo</v>
      </c>
      <c r="D710" s="54">
        <v>5</v>
      </c>
      <c r="E710" s="53"/>
      <c r="F710" s="54">
        <v>1</v>
      </c>
      <c r="G710" s="53"/>
      <c r="H710" s="38">
        <f t="shared" si="5"/>
        <v>7</v>
      </c>
      <c r="I710" s="38">
        <f t="shared" si="6"/>
        <v>3</v>
      </c>
      <c r="J710" s="55"/>
    </row>
    <row r="711" spans="1:10" ht="12.75" customHeight="1" x14ac:dyDescent="0.2">
      <c r="A711" s="50">
        <f t="array" ref="A711">+INDEX(Partidas!$A:$J,MATCH('Resultados dashboard'!$B711,Partidas!$C:$C,0),2)</f>
        <v>45548</v>
      </c>
      <c r="B711" s="56">
        <f>+IF(COUNTIF($B$2:B710,B710)=VLOOKUP(B710,Partidas!$C:$J,8,0),B710+1,B710)</f>
        <v>160</v>
      </c>
      <c r="C711" s="41" t="str">
        <f t="array" ref="C711">+INDEX(Partidas!$A:$J,MATCH('Resultados dashboard'!$B711,Partidas!$C:$C,0),3+COUNTIF($B$2:B711,'Resultados dashboard'!$B711))</f>
        <v>Max</v>
      </c>
      <c r="D711" s="54">
        <v>6</v>
      </c>
      <c r="E711" s="53"/>
      <c r="F711" s="53"/>
      <c r="G711" s="53"/>
      <c r="H711" s="38">
        <f t="shared" si="5"/>
        <v>6</v>
      </c>
      <c r="I711" s="38">
        <f t="shared" si="6"/>
        <v>4</v>
      </c>
      <c r="J711" s="55"/>
    </row>
    <row r="712" spans="1:10" ht="12.75" customHeight="1" x14ac:dyDescent="0.2">
      <c r="A712" s="50">
        <f t="array" ref="A712">+INDEX(Partidas!$A:$J,MATCH('Resultados dashboard'!$B712,Partidas!$C:$C,0),2)</f>
        <v>45548</v>
      </c>
      <c r="B712" s="56">
        <f>+IF(COUNTIF($B$2:B711,B711)=VLOOKUP(B711,Partidas!$C:$J,8,0),B711+1,B711)</f>
        <v>160</v>
      </c>
      <c r="C712" s="41" t="str">
        <f t="array" ref="C712">+INDEX(Partidas!$A:$J,MATCH('Resultados dashboard'!$B712,Partidas!$C:$C,0),3+COUNTIF($B$2:B712,'Resultados dashboard'!$B712))</f>
        <v>Gaspa</v>
      </c>
      <c r="D712" s="54">
        <v>5</v>
      </c>
      <c r="E712" s="54">
        <v>1</v>
      </c>
      <c r="F712" s="53"/>
      <c r="G712" s="53"/>
      <c r="H712" s="38">
        <f t="shared" si="5"/>
        <v>6</v>
      </c>
      <c r="I712" s="38">
        <f t="shared" si="6"/>
        <v>4</v>
      </c>
      <c r="J712" s="55"/>
    </row>
    <row r="713" spans="1:10" ht="12.75" customHeight="1" x14ac:dyDescent="0.2">
      <c r="A713" s="50">
        <f t="array" ref="A713">+INDEX(Partidas!$A:$J,MATCH('Resultados dashboard'!$B713,Partidas!$C:$C,0),2)</f>
        <v>45548</v>
      </c>
      <c r="B713" s="56">
        <f>+IF(COUNTIF($B$2:B712,B712)=VLOOKUP(B712,Partidas!$C:$J,8,0),B712+1,B712)</f>
        <v>160</v>
      </c>
      <c r="C713" s="41" t="str">
        <f t="array" ref="C713">+INDEX(Partidas!$A:$J,MATCH('Resultados dashboard'!$B713,Partidas!$C:$C,0),3+COUNTIF($B$2:B713,'Resultados dashboard'!$B713))</f>
        <v>Hugo</v>
      </c>
      <c r="D713" s="54">
        <v>8</v>
      </c>
      <c r="E713" s="54">
        <v>2</v>
      </c>
      <c r="F713" s="53"/>
      <c r="G713" s="53"/>
      <c r="H713" s="38">
        <f t="shared" si="5"/>
        <v>10</v>
      </c>
      <c r="I713" s="38">
        <f t="shared" si="6"/>
        <v>1</v>
      </c>
      <c r="J713" s="55"/>
    </row>
    <row r="714" spans="1:10" ht="12.75" customHeight="1" x14ac:dyDescent="0.2">
      <c r="A714" s="50">
        <f t="array" ref="A714">+INDEX(Partidas!$A:$J,MATCH('Resultados dashboard'!$B714,Partidas!$C:$C,0),2)</f>
        <v>45548</v>
      </c>
      <c r="B714" s="56">
        <f>+IF(COUNTIF($B$2:B713,B713)=VLOOKUP(B713,Partidas!$C:$J,8,0),B713+1,B713)</f>
        <v>161</v>
      </c>
      <c r="C714" s="41" t="str">
        <f t="array" ref="C714">+INDEX(Partidas!$A:$J,MATCH('Resultados dashboard'!$B714,Partidas!$C:$C,0),3+COUNTIF($B$2:B714,'Resultados dashboard'!$B714))</f>
        <v>Gallo</v>
      </c>
      <c r="D714" s="54">
        <v>8</v>
      </c>
      <c r="E714" s="53"/>
      <c r="F714" s="53"/>
      <c r="G714" s="53"/>
      <c r="H714" s="38">
        <f t="shared" si="5"/>
        <v>8</v>
      </c>
      <c r="I714" s="38">
        <f t="shared" si="6"/>
        <v>3</v>
      </c>
      <c r="J714" s="55"/>
    </row>
    <row r="715" spans="1:10" ht="12.75" customHeight="1" x14ac:dyDescent="0.2">
      <c r="A715" s="50">
        <f t="array" ref="A715">+INDEX(Partidas!$A:$J,MATCH('Resultados dashboard'!$B715,Partidas!$C:$C,0),2)</f>
        <v>45548</v>
      </c>
      <c r="B715" s="56">
        <f>+IF(COUNTIF($B$2:B714,B714)=VLOOKUP(B714,Partidas!$C:$J,8,0),B714+1,B714)</f>
        <v>161</v>
      </c>
      <c r="C715" s="41" t="str">
        <f t="array" ref="C715">+INDEX(Partidas!$A:$J,MATCH('Resultados dashboard'!$B715,Partidas!$C:$C,0),3+COUNTIF($B$2:B715,'Resultados dashboard'!$B715))</f>
        <v>Ivo</v>
      </c>
      <c r="D715" s="54">
        <v>7</v>
      </c>
      <c r="E715" s="54">
        <v>1</v>
      </c>
      <c r="F715" s="53"/>
      <c r="G715" s="53"/>
      <c r="H715" s="38">
        <f t="shared" si="5"/>
        <v>8</v>
      </c>
      <c r="I715" s="38">
        <f t="shared" si="6"/>
        <v>3</v>
      </c>
      <c r="J715" s="55"/>
    </row>
    <row r="716" spans="1:10" ht="12.75" customHeight="1" x14ac:dyDescent="0.2">
      <c r="A716" s="50">
        <f t="array" ref="A716">+INDEX(Partidas!$A:$J,MATCH('Resultados dashboard'!$B716,Partidas!$C:$C,0),2)</f>
        <v>45548</v>
      </c>
      <c r="B716" s="56">
        <f>+IF(COUNTIF($B$2:B715,B715)=VLOOKUP(B715,Partidas!$C:$J,8,0),B715+1,B715)</f>
        <v>161</v>
      </c>
      <c r="C716" s="41" t="str">
        <f t="array" ref="C716">+INDEX(Partidas!$A:$J,MATCH('Resultados dashboard'!$B716,Partidas!$C:$C,0),3+COUNTIF($B$2:B716,'Resultados dashboard'!$B716))</f>
        <v>Max</v>
      </c>
      <c r="D716" s="54">
        <v>10</v>
      </c>
      <c r="E716" s="53"/>
      <c r="F716" s="53"/>
      <c r="G716" s="53"/>
      <c r="H716" s="38">
        <f t="shared" si="5"/>
        <v>10</v>
      </c>
      <c r="I716" s="38">
        <f t="shared" si="6"/>
        <v>1</v>
      </c>
      <c r="J716" s="55"/>
    </row>
    <row r="717" spans="1:10" ht="12.75" customHeight="1" x14ac:dyDescent="0.2">
      <c r="A717" s="50">
        <f t="array" ref="A717">+INDEX(Partidas!$A:$J,MATCH('Resultados dashboard'!$B717,Partidas!$C:$C,0),2)</f>
        <v>45548</v>
      </c>
      <c r="B717" s="56">
        <f>+IF(COUNTIF($B$2:B716,B716)=VLOOKUP(B716,Partidas!$C:$J,8,0),B716+1,B716)</f>
        <v>161</v>
      </c>
      <c r="C717" s="41" t="str">
        <f t="array" ref="C717">+INDEX(Partidas!$A:$J,MATCH('Resultados dashboard'!$B717,Partidas!$C:$C,0),3+COUNTIF($B$2:B717,'Resultados dashboard'!$B717))</f>
        <v>Gaspa</v>
      </c>
      <c r="D717" s="54">
        <v>7</v>
      </c>
      <c r="E717" s="53"/>
      <c r="F717" s="53"/>
      <c r="G717" s="54">
        <v>1</v>
      </c>
      <c r="H717" s="38">
        <f t="shared" si="5"/>
        <v>9</v>
      </c>
      <c r="I717" s="38">
        <f t="shared" si="6"/>
        <v>2</v>
      </c>
      <c r="J717" s="55"/>
    </row>
    <row r="718" spans="1:10" ht="12.75" customHeight="1" x14ac:dyDescent="0.2">
      <c r="A718" s="50">
        <f t="array" ref="A718">+INDEX(Partidas!$A:$J,MATCH('Resultados dashboard'!$B718,Partidas!$C:$C,0),2)</f>
        <v>45548</v>
      </c>
      <c r="B718" s="56">
        <f>+IF(COUNTIF($B$2:B717,B717)=VLOOKUP(B717,Partidas!$C:$J,8,0),B717+1,B717)</f>
        <v>161</v>
      </c>
      <c r="C718" s="41" t="str">
        <f t="array" ref="C718">+INDEX(Partidas!$A:$J,MATCH('Resultados dashboard'!$B718,Partidas!$C:$C,0),3+COUNTIF($B$2:B718,'Resultados dashboard'!$B718))</f>
        <v>Hugo</v>
      </c>
      <c r="D718" s="54">
        <v>5</v>
      </c>
      <c r="E718" s="53"/>
      <c r="F718" s="54">
        <v>1</v>
      </c>
      <c r="G718" s="53"/>
      <c r="H718" s="38">
        <f t="shared" si="5"/>
        <v>7</v>
      </c>
      <c r="I718" s="38">
        <f t="shared" si="6"/>
        <v>5</v>
      </c>
      <c r="J718" s="55"/>
    </row>
    <row r="719" spans="1:10" ht="12.75" customHeight="1" x14ac:dyDescent="0.2">
      <c r="A719" s="50">
        <f t="array" ref="A719">+INDEX(Partidas!$A:$J,MATCH('Resultados dashboard'!$B719,Partidas!$C:$C,0),2)</f>
        <v>45548</v>
      </c>
      <c r="B719" s="56">
        <f>+IF(COUNTIF($B$2:B718,B718)=VLOOKUP(B718,Partidas!$C:$J,8,0),B718+1,B718)</f>
        <v>162</v>
      </c>
      <c r="C719" s="41" t="str">
        <f t="array" ref="C719">+INDEX(Partidas!$A:$J,MATCH('Resultados dashboard'!$B719,Partidas!$C:$C,0),3+COUNTIF($B$2:B719,'Resultados dashboard'!$B719))</f>
        <v>Gallo</v>
      </c>
      <c r="D719" s="54">
        <v>8</v>
      </c>
      <c r="E719" s="53"/>
      <c r="F719" s="53"/>
      <c r="G719" s="54">
        <v>1</v>
      </c>
      <c r="H719" s="38">
        <f t="shared" si="5"/>
        <v>10</v>
      </c>
      <c r="I719" s="38">
        <f t="shared" si="6"/>
        <v>1</v>
      </c>
      <c r="J719" s="55"/>
    </row>
    <row r="720" spans="1:10" ht="12.75" customHeight="1" x14ac:dyDescent="0.2">
      <c r="A720" s="50">
        <f t="array" ref="A720">+INDEX(Partidas!$A:$J,MATCH('Resultados dashboard'!$B720,Partidas!$C:$C,0),2)</f>
        <v>45548</v>
      </c>
      <c r="B720" s="56">
        <f>+IF(COUNTIF($B$2:B719,B719)=VLOOKUP(B719,Partidas!$C:$J,8,0),B719+1,B719)</f>
        <v>162</v>
      </c>
      <c r="C720" s="41" t="str">
        <f t="array" ref="C720">+INDEX(Partidas!$A:$J,MATCH('Resultados dashboard'!$B720,Partidas!$C:$C,0),3+COUNTIF($B$2:B720,'Resultados dashboard'!$B720))</f>
        <v>Ivo</v>
      </c>
      <c r="D720" s="54">
        <v>5</v>
      </c>
      <c r="E720" s="53"/>
      <c r="F720" s="53"/>
      <c r="G720" s="53"/>
      <c r="H720" s="38">
        <f t="shared" si="5"/>
        <v>5</v>
      </c>
      <c r="I720" s="38">
        <f t="shared" si="6"/>
        <v>5</v>
      </c>
      <c r="J720" s="55"/>
    </row>
    <row r="721" spans="1:10" ht="12.75" customHeight="1" x14ac:dyDescent="0.2">
      <c r="A721" s="50">
        <f t="array" ref="A721">+INDEX(Partidas!$A:$J,MATCH('Resultados dashboard'!$B721,Partidas!$C:$C,0),2)</f>
        <v>45548</v>
      </c>
      <c r="B721" s="56">
        <f>+IF(COUNTIF($B$2:B720,B720)=VLOOKUP(B720,Partidas!$C:$J,8,0),B720+1,B720)</f>
        <v>162</v>
      </c>
      <c r="C721" s="41" t="str">
        <f t="array" ref="C721">+INDEX(Partidas!$A:$J,MATCH('Resultados dashboard'!$B721,Partidas!$C:$C,0),3+COUNTIF($B$2:B721,'Resultados dashboard'!$B721))</f>
        <v>Max</v>
      </c>
      <c r="D721" s="54">
        <v>8</v>
      </c>
      <c r="E721" s="53"/>
      <c r="F721" s="53"/>
      <c r="G721" s="53"/>
      <c r="H721" s="38">
        <f t="shared" si="5"/>
        <v>8</v>
      </c>
      <c r="I721" s="38">
        <f t="shared" si="6"/>
        <v>2</v>
      </c>
      <c r="J721" s="55"/>
    </row>
    <row r="722" spans="1:10" ht="12.75" customHeight="1" x14ac:dyDescent="0.2">
      <c r="A722" s="50">
        <f t="array" ref="A722">+INDEX(Partidas!$A:$J,MATCH('Resultados dashboard'!$B722,Partidas!$C:$C,0),2)</f>
        <v>45548</v>
      </c>
      <c r="B722" s="56">
        <f>+IF(COUNTIF($B$2:B721,B721)=VLOOKUP(B721,Partidas!$C:$J,8,0),B721+1,B721)</f>
        <v>162</v>
      </c>
      <c r="C722" s="41" t="str">
        <f t="array" ref="C722">+INDEX(Partidas!$A:$J,MATCH('Resultados dashboard'!$B722,Partidas!$C:$C,0),3+COUNTIF($B$2:B722,'Resultados dashboard'!$B722))</f>
        <v>Gaspa</v>
      </c>
      <c r="D722" s="54">
        <v>4</v>
      </c>
      <c r="E722" s="54">
        <v>1</v>
      </c>
      <c r="F722" s="54">
        <v>1</v>
      </c>
      <c r="G722" s="53"/>
      <c r="H722" s="38">
        <f t="shared" si="5"/>
        <v>7</v>
      </c>
      <c r="I722" s="38">
        <f t="shared" si="6"/>
        <v>4</v>
      </c>
      <c r="J722" s="55"/>
    </row>
    <row r="723" spans="1:10" ht="12.75" customHeight="1" x14ac:dyDescent="0.2">
      <c r="A723" s="50">
        <f t="array" ref="A723">+INDEX(Partidas!$A:$J,MATCH('Resultados dashboard'!$B723,Partidas!$C:$C,0),2)</f>
        <v>45548</v>
      </c>
      <c r="B723" s="56">
        <f>+IF(COUNTIF($B$2:B722,B722)=VLOOKUP(B722,Partidas!$C:$J,8,0),B722+1,B722)</f>
        <v>162</v>
      </c>
      <c r="C723" s="41" t="str">
        <f t="array" ref="C723">+INDEX(Partidas!$A:$J,MATCH('Resultados dashboard'!$B723,Partidas!$C:$C,0),3+COUNTIF($B$2:B723,'Resultados dashboard'!$B723))</f>
        <v>Hugo</v>
      </c>
      <c r="D723" s="54">
        <v>8</v>
      </c>
      <c r="E723" s="53"/>
      <c r="F723" s="53"/>
      <c r="G723" s="53"/>
      <c r="H723" s="38">
        <f t="shared" si="5"/>
        <v>8</v>
      </c>
      <c r="I723" s="38">
        <f t="shared" si="6"/>
        <v>2</v>
      </c>
      <c r="J723" s="55"/>
    </row>
    <row r="724" spans="1:10" ht="12.75" customHeight="1" x14ac:dyDescent="0.2">
      <c r="A724" s="50">
        <f t="array" ref="A724">+INDEX(Partidas!$A:$J,MATCH('Resultados dashboard'!$B724,Partidas!$C:$C,0),2)</f>
        <v>45548</v>
      </c>
      <c r="B724" s="56">
        <f>+IF(COUNTIF($B$2:B723,B723)=VLOOKUP(B723,Partidas!$C:$J,8,0),B723+1,B723)</f>
        <v>163</v>
      </c>
      <c r="C724" s="41" t="str">
        <f t="array" ref="C724">+INDEX(Partidas!$A:$J,MATCH('Resultados dashboard'!$B724,Partidas!$C:$C,0),3+COUNTIF($B$2:B724,'Resultados dashboard'!$B724))</f>
        <v>Gallo</v>
      </c>
      <c r="D724" s="54">
        <v>7</v>
      </c>
      <c r="E724" s="53"/>
      <c r="F724" s="53"/>
      <c r="G724" s="53"/>
      <c r="H724" s="38">
        <f t="shared" si="5"/>
        <v>7</v>
      </c>
      <c r="I724" s="38">
        <f t="shared" si="6"/>
        <v>3</v>
      </c>
      <c r="J724" s="55"/>
    </row>
    <row r="725" spans="1:10" ht="12.75" customHeight="1" x14ac:dyDescent="0.2">
      <c r="A725" s="50">
        <f t="array" ref="A725">+INDEX(Partidas!$A:$J,MATCH('Resultados dashboard'!$B725,Partidas!$C:$C,0),2)</f>
        <v>45548</v>
      </c>
      <c r="B725" s="56">
        <f>+IF(COUNTIF($B$2:B724,B724)=VLOOKUP(B724,Partidas!$C:$J,8,0),B724+1,B724)</f>
        <v>163</v>
      </c>
      <c r="C725" s="41" t="str">
        <f t="array" ref="C725">+INDEX(Partidas!$A:$J,MATCH('Resultados dashboard'!$B725,Partidas!$C:$C,0),3+COUNTIF($B$2:B725,'Resultados dashboard'!$B725))</f>
        <v>Ivo</v>
      </c>
      <c r="D725" s="54">
        <v>6</v>
      </c>
      <c r="E725" s="54">
        <v>1</v>
      </c>
      <c r="F725" s="54">
        <v>1</v>
      </c>
      <c r="G725" s="54">
        <v>1</v>
      </c>
      <c r="H725" s="38">
        <f t="shared" si="5"/>
        <v>11</v>
      </c>
      <c r="I725" s="38">
        <f t="shared" si="6"/>
        <v>1</v>
      </c>
      <c r="J725" s="55"/>
    </row>
    <row r="726" spans="1:10" ht="12.75" customHeight="1" x14ac:dyDescent="0.2">
      <c r="A726" s="50">
        <f t="array" ref="A726">+INDEX(Partidas!$A:$J,MATCH('Resultados dashboard'!$B726,Partidas!$C:$C,0),2)</f>
        <v>45548</v>
      </c>
      <c r="B726" s="56">
        <f>+IF(COUNTIF($B$2:B725,B725)=VLOOKUP(B725,Partidas!$C:$J,8,0),B725+1,B725)</f>
        <v>163</v>
      </c>
      <c r="C726" s="41" t="str">
        <f t="array" ref="C726">+INDEX(Partidas!$A:$J,MATCH('Resultados dashboard'!$B726,Partidas!$C:$C,0),3+COUNTIF($B$2:B726,'Resultados dashboard'!$B726))</f>
        <v>Max</v>
      </c>
      <c r="D726" s="54">
        <v>8</v>
      </c>
      <c r="E726" s="53"/>
      <c r="F726" s="53"/>
      <c r="G726" s="53"/>
      <c r="H726" s="38">
        <f t="shared" si="5"/>
        <v>8</v>
      </c>
      <c r="I726" s="38">
        <f t="shared" si="6"/>
        <v>2</v>
      </c>
      <c r="J726" s="55"/>
    </row>
    <row r="727" spans="1:10" ht="12.75" customHeight="1" x14ac:dyDescent="0.2">
      <c r="A727" s="50">
        <f t="array" ref="A727">+INDEX(Partidas!$A:$J,MATCH('Resultados dashboard'!$B727,Partidas!$C:$C,0),2)</f>
        <v>45548</v>
      </c>
      <c r="B727" s="56">
        <f>+IF(COUNTIF($B$2:B726,B726)=VLOOKUP(B726,Partidas!$C:$J,8,0),B726+1,B726)</f>
        <v>163</v>
      </c>
      <c r="C727" s="41" t="str">
        <f t="array" ref="C727">+INDEX(Partidas!$A:$J,MATCH('Resultados dashboard'!$B727,Partidas!$C:$C,0),3+COUNTIF($B$2:B727,'Resultados dashboard'!$B727))</f>
        <v>Gaspa</v>
      </c>
      <c r="D727" s="54">
        <v>6</v>
      </c>
      <c r="E727" s="54">
        <v>1</v>
      </c>
      <c r="F727" s="53"/>
      <c r="G727" s="53"/>
      <c r="H727" s="38">
        <f t="shared" si="5"/>
        <v>7</v>
      </c>
      <c r="I727" s="38">
        <f t="shared" si="6"/>
        <v>3</v>
      </c>
      <c r="J727" s="55"/>
    </row>
    <row r="728" spans="1:10" ht="12.75" customHeight="1" x14ac:dyDescent="0.2">
      <c r="A728" s="50">
        <f t="array" ref="A728">+INDEX(Partidas!$A:$J,MATCH('Resultados dashboard'!$B728,Partidas!$C:$C,0),2)</f>
        <v>45548</v>
      </c>
      <c r="B728" s="56">
        <f>+IF(COUNTIF($B$2:B727,B727)=VLOOKUP(B727,Partidas!$C:$J,8,0),B727+1,B727)</f>
        <v>163</v>
      </c>
      <c r="C728" s="41" t="str">
        <f t="array" ref="C728">+INDEX(Partidas!$A:$J,MATCH('Resultados dashboard'!$B728,Partidas!$C:$C,0),3+COUNTIF($B$2:B728,'Resultados dashboard'!$B728))</f>
        <v>Hugo</v>
      </c>
      <c r="D728" s="54">
        <v>5</v>
      </c>
      <c r="E728" s="53"/>
      <c r="F728" s="53"/>
      <c r="G728" s="53"/>
      <c r="H728" s="38">
        <f t="shared" si="5"/>
        <v>5</v>
      </c>
      <c r="I728" s="38">
        <f t="shared" si="6"/>
        <v>5</v>
      </c>
      <c r="J728" s="55"/>
    </row>
    <row r="729" spans="1:10" ht="12.75" customHeight="1" x14ac:dyDescent="0.2">
      <c r="A729" s="50">
        <f t="array" ref="A729">+INDEX(Partidas!$A:$J,MATCH('Resultados dashboard'!$B729,Partidas!$C:$C,0),2)</f>
        <v>45555</v>
      </c>
      <c r="B729" s="56">
        <f>+IF(COUNTIF($B$2:B728,B728)=VLOOKUP(B728,Partidas!$C:$J,8,0),B728+1,B728)</f>
        <v>164</v>
      </c>
      <c r="C729" s="41" t="str">
        <f t="array" ref="C729">+INDEX(Partidas!$A:$J,MATCH('Resultados dashboard'!$B729,Partidas!$C:$C,0),3+COUNTIF($B$2:B729,'Resultados dashboard'!$B729))</f>
        <v>Gallo</v>
      </c>
      <c r="D729" s="54">
        <v>5</v>
      </c>
      <c r="E729" s="53"/>
      <c r="F729" s="54">
        <v>1</v>
      </c>
      <c r="G729" s="53"/>
      <c r="H729" s="38">
        <f t="shared" si="5"/>
        <v>7</v>
      </c>
      <c r="I729" s="38">
        <f t="shared" si="6"/>
        <v>2</v>
      </c>
      <c r="J729" s="55"/>
    </row>
    <row r="730" spans="1:10" ht="12.75" customHeight="1" x14ac:dyDescent="0.2">
      <c r="A730" s="50">
        <f t="array" ref="A730">+INDEX(Partidas!$A:$J,MATCH('Resultados dashboard'!$B730,Partidas!$C:$C,0),2)</f>
        <v>45555</v>
      </c>
      <c r="B730" s="56">
        <f>+IF(COUNTIF($B$2:B729,B729)=VLOOKUP(B729,Partidas!$C:$J,8,0),B729+1,B729)</f>
        <v>164</v>
      </c>
      <c r="C730" s="41" t="str">
        <f t="array" ref="C730">+INDEX(Partidas!$A:$J,MATCH('Resultados dashboard'!$B730,Partidas!$C:$C,0),3+COUNTIF($B$2:B730,'Resultados dashboard'!$B730))</f>
        <v>Ivo</v>
      </c>
      <c r="D730" s="54">
        <v>5</v>
      </c>
      <c r="E730" s="53"/>
      <c r="F730" s="53"/>
      <c r="G730" s="53"/>
      <c r="H730" s="38">
        <f t="shared" si="5"/>
        <v>5</v>
      </c>
      <c r="I730" s="38">
        <f t="shared" si="6"/>
        <v>3</v>
      </c>
      <c r="J730" s="55"/>
    </row>
    <row r="731" spans="1:10" ht="12.75" customHeight="1" x14ac:dyDescent="0.2">
      <c r="A731" s="50">
        <f t="array" ref="A731">+INDEX(Partidas!$A:$J,MATCH('Resultados dashboard'!$B731,Partidas!$C:$C,0),2)</f>
        <v>45555</v>
      </c>
      <c r="B731" s="56">
        <f>+IF(COUNTIF($B$2:B730,B730)=VLOOKUP(B730,Partidas!$C:$J,8,0),B730+1,B730)</f>
        <v>164</v>
      </c>
      <c r="C731" s="41" t="str">
        <f t="array" ref="C731">+INDEX(Partidas!$A:$J,MATCH('Resultados dashboard'!$B731,Partidas!$C:$C,0),3+COUNTIF($B$2:B731,'Resultados dashboard'!$B731))</f>
        <v>Gaspa</v>
      </c>
      <c r="D731" s="54">
        <v>4</v>
      </c>
      <c r="E731" s="53"/>
      <c r="F731" s="53"/>
      <c r="G731" s="53"/>
      <c r="H731" s="38">
        <f t="shared" si="5"/>
        <v>4</v>
      </c>
      <c r="I731" s="38">
        <f t="shared" si="6"/>
        <v>4</v>
      </c>
      <c r="J731" s="55"/>
    </row>
    <row r="732" spans="1:10" ht="12.75" customHeight="1" x14ac:dyDescent="0.2">
      <c r="A732" s="50">
        <f t="array" ref="A732">+INDEX(Partidas!$A:$J,MATCH('Resultados dashboard'!$B732,Partidas!$C:$C,0),2)</f>
        <v>45555</v>
      </c>
      <c r="B732" s="56">
        <f>+IF(COUNTIF($B$2:B731,B731)=VLOOKUP(B731,Partidas!$C:$J,8,0),B731+1,B731)</f>
        <v>164</v>
      </c>
      <c r="C732" s="41" t="str">
        <f t="array" ref="C732">+INDEX(Partidas!$A:$J,MATCH('Resultados dashboard'!$B732,Partidas!$C:$C,0),3+COUNTIF($B$2:B732,'Resultados dashboard'!$B732))</f>
        <v>Moch</v>
      </c>
      <c r="D732" s="54">
        <v>7</v>
      </c>
      <c r="E732" s="54">
        <v>1</v>
      </c>
      <c r="F732" s="53"/>
      <c r="G732" s="54">
        <v>1</v>
      </c>
      <c r="H732" s="38">
        <f t="shared" si="5"/>
        <v>10</v>
      </c>
      <c r="I732" s="38">
        <f t="shared" si="6"/>
        <v>1</v>
      </c>
      <c r="J732" s="55"/>
    </row>
    <row r="733" spans="1:10" ht="12.75" customHeight="1" x14ac:dyDescent="0.2">
      <c r="A733" s="50">
        <f t="array" ref="A733">+INDEX(Partidas!$A:$J,MATCH('Resultados dashboard'!$B733,Partidas!$C:$C,0),2)</f>
        <v>45555</v>
      </c>
      <c r="B733" s="56">
        <f>+IF(COUNTIF($B$2:B732,B732)=VLOOKUP(B732,Partidas!$C:$J,8,0),B732+1,B732)</f>
        <v>165</v>
      </c>
      <c r="C733" s="41" t="str">
        <f t="array" ref="C733">+INDEX(Partidas!$A:$J,MATCH('Resultados dashboard'!$B733,Partidas!$C:$C,0),3+COUNTIF($B$2:B733,'Resultados dashboard'!$B733))</f>
        <v>Gallo</v>
      </c>
      <c r="D733" s="54">
        <v>7</v>
      </c>
      <c r="E733" s="54">
        <v>1</v>
      </c>
      <c r="F733" s="54">
        <v>1</v>
      </c>
      <c r="G733" s="53"/>
      <c r="H733" s="38">
        <f t="shared" si="5"/>
        <v>10</v>
      </c>
      <c r="I733" s="38">
        <f t="shared" si="6"/>
        <v>1</v>
      </c>
      <c r="J733" s="55"/>
    </row>
    <row r="734" spans="1:10" ht="12.75" customHeight="1" x14ac:dyDescent="0.2">
      <c r="A734" s="50">
        <f t="array" ref="A734">+INDEX(Partidas!$A:$J,MATCH('Resultados dashboard'!$B734,Partidas!$C:$C,0),2)</f>
        <v>45555</v>
      </c>
      <c r="B734" s="56">
        <f>+IF(COUNTIF($B$2:B733,B733)=VLOOKUP(B733,Partidas!$C:$J,8,0),B733+1,B733)</f>
        <v>165</v>
      </c>
      <c r="C734" s="41" t="str">
        <f t="array" ref="C734">+INDEX(Partidas!$A:$J,MATCH('Resultados dashboard'!$B734,Partidas!$C:$C,0),3+COUNTIF($B$2:B734,'Resultados dashboard'!$B734))</f>
        <v>Ivo</v>
      </c>
      <c r="D734" s="54">
        <v>5</v>
      </c>
      <c r="E734" s="54">
        <v>1</v>
      </c>
      <c r="F734" s="53"/>
      <c r="G734" s="53"/>
      <c r="H734" s="38">
        <f t="shared" si="5"/>
        <v>6</v>
      </c>
      <c r="I734" s="38">
        <f t="shared" si="6"/>
        <v>2</v>
      </c>
      <c r="J734" s="55"/>
    </row>
    <row r="735" spans="1:10" ht="12.75" customHeight="1" x14ac:dyDescent="0.2">
      <c r="A735" s="50">
        <f t="array" ref="A735">+INDEX(Partidas!$A:$J,MATCH('Resultados dashboard'!$B735,Partidas!$C:$C,0),2)</f>
        <v>45555</v>
      </c>
      <c r="B735" s="56">
        <f>+IF(COUNTIF($B$2:B734,B734)=VLOOKUP(B734,Partidas!$C:$J,8,0),B734+1,B734)</f>
        <v>165</v>
      </c>
      <c r="C735" s="41" t="str">
        <f t="array" ref="C735">+INDEX(Partidas!$A:$J,MATCH('Resultados dashboard'!$B735,Partidas!$C:$C,0),3+COUNTIF($B$2:B735,'Resultados dashboard'!$B735))</f>
        <v>Gaspa</v>
      </c>
      <c r="D735" s="54">
        <v>3</v>
      </c>
      <c r="E735" s="53"/>
      <c r="F735" s="53"/>
      <c r="G735" s="54">
        <v>1</v>
      </c>
      <c r="H735" s="38">
        <f t="shared" si="5"/>
        <v>5</v>
      </c>
      <c r="I735" s="38">
        <f t="shared" si="6"/>
        <v>3</v>
      </c>
      <c r="J735" s="55"/>
    </row>
    <row r="736" spans="1:10" ht="12.75" customHeight="1" x14ac:dyDescent="0.2">
      <c r="A736" s="50">
        <f t="array" ref="A736">+INDEX(Partidas!$A:$J,MATCH('Resultados dashboard'!$B736,Partidas!$C:$C,0),2)</f>
        <v>45555</v>
      </c>
      <c r="B736" s="56">
        <f>+IF(COUNTIF($B$2:B735,B735)=VLOOKUP(B735,Partidas!$C:$J,8,0),B735+1,B735)</f>
        <v>165</v>
      </c>
      <c r="C736" s="41" t="str">
        <f t="array" ref="C736">+INDEX(Partidas!$A:$J,MATCH('Resultados dashboard'!$B736,Partidas!$C:$C,0),3+COUNTIF($B$2:B736,'Resultados dashboard'!$B736))</f>
        <v>Moch</v>
      </c>
      <c r="D736" s="54">
        <v>4</v>
      </c>
      <c r="E736" s="54">
        <v>1</v>
      </c>
      <c r="F736" s="53"/>
      <c r="G736" s="53"/>
      <c r="H736" s="38">
        <f t="shared" si="5"/>
        <v>5</v>
      </c>
      <c r="I736" s="38">
        <f t="shared" si="6"/>
        <v>3</v>
      </c>
      <c r="J736" s="55"/>
    </row>
    <row r="737" spans="1:10" ht="12.75" customHeight="1" x14ac:dyDescent="0.2">
      <c r="A737" s="50">
        <f t="array" ref="A737">+INDEX(Partidas!$A:$J,MATCH('Resultados dashboard'!$B737,Partidas!$C:$C,0),2)</f>
        <v>45555</v>
      </c>
      <c r="B737" s="56">
        <f>+IF(COUNTIF($B$2:B736,B736)=VLOOKUP(B736,Partidas!$C:$J,8,0),B736+1,B736)</f>
        <v>166</v>
      </c>
      <c r="C737" s="41" t="str">
        <f t="array" ref="C737">+INDEX(Partidas!$A:$J,MATCH('Resultados dashboard'!$B737,Partidas!$C:$C,0),3+COUNTIF($B$2:B737,'Resultados dashboard'!$B737))</f>
        <v>Gallo</v>
      </c>
      <c r="D737" s="54">
        <v>6</v>
      </c>
      <c r="E737" s="54">
        <v>3</v>
      </c>
      <c r="F737" s="53"/>
      <c r="G737" s="54">
        <v>1</v>
      </c>
      <c r="H737" s="38">
        <f t="shared" si="5"/>
        <v>11</v>
      </c>
      <c r="I737" s="38">
        <f t="shared" si="6"/>
        <v>1</v>
      </c>
      <c r="J737" s="55"/>
    </row>
    <row r="738" spans="1:10" ht="12.75" customHeight="1" x14ac:dyDescent="0.2">
      <c r="A738" s="50">
        <f t="array" ref="A738">+INDEX(Partidas!$A:$J,MATCH('Resultados dashboard'!$B738,Partidas!$C:$C,0),2)</f>
        <v>45555</v>
      </c>
      <c r="B738" s="56">
        <f>+IF(COUNTIF($B$2:B737,B737)=VLOOKUP(B737,Partidas!$C:$J,8,0),B737+1,B737)</f>
        <v>166</v>
      </c>
      <c r="C738" s="41" t="str">
        <f t="array" ref="C738">+INDEX(Partidas!$A:$J,MATCH('Resultados dashboard'!$B738,Partidas!$C:$C,0),3+COUNTIF($B$2:B738,'Resultados dashboard'!$B738))</f>
        <v>Ivo</v>
      </c>
      <c r="D738" s="54">
        <v>4</v>
      </c>
      <c r="E738" s="54">
        <v>2</v>
      </c>
      <c r="F738" s="54">
        <v>1</v>
      </c>
      <c r="G738" s="53"/>
      <c r="H738" s="38">
        <f t="shared" si="5"/>
        <v>8</v>
      </c>
      <c r="I738" s="38">
        <f t="shared" si="6"/>
        <v>2</v>
      </c>
      <c r="J738" s="55"/>
    </row>
    <row r="739" spans="1:10" ht="12.75" customHeight="1" x14ac:dyDescent="0.2">
      <c r="A739" s="50">
        <f t="array" ref="A739">+INDEX(Partidas!$A:$J,MATCH('Resultados dashboard'!$B739,Partidas!$C:$C,0),2)</f>
        <v>45555</v>
      </c>
      <c r="B739" s="56">
        <f>+IF(COUNTIF($B$2:B738,B738)=VLOOKUP(B738,Partidas!$C:$J,8,0),B738+1,B738)</f>
        <v>166</v>
      </c>
      <c r="C739" s="41" t="str">
        <f t="array" ref="C739">+INDEX(Partidas!$A:$J,MATCH('Resultados dashboard'!$B739,Partidas!$C:$C,0),3+COUNTIF($B$2:B739,'Resultados dashboard'!$B739))</f>
        <v>Gaspa</v>
      </c>
      <c r="D739" s="54">
        <v>7</v>
      </c>
      <c r="E739" s="53"/>
      <c r="F739" s="53"/>
      <c r="G739" s="53"/>
      <c r="H739" s="38">
        <f t="shared" si="5"/>
        <v>7</v>
      </c>
      <c r="I739" s="38">
        <f t="shared" si="6"/>
        <v>4</v>
      </c>
      <c r="J739" s="55"/>
    </row>
    <row r="740" spans="1:10" ht="12.75" customHeight="1" x14ac:dyDescent="0.2">
      <c r="A740" s="50">
        <f t="array" ref="A740">+INDEX(Partidas!$A:$J,MATCH('Resultados dashboard'!$B740,Partidas!$C:$C,0),2)</f>
        <v>45555</v>
      </c>
      <c r="B740" s="56">
        <f>+IF(COUNTIF($B$2:B739,B739)=VLOOKUP(B739,Partidas!$C:$J,8,0),B739+1,B739)</f>
        <v>166</v>
      </c>
      <c r="C740" s="41" t="str">
        <f t="array" ref="C740">+INDEX(Partidas!$A:$J,MATCH('Resultados dashboard'!$B740,Partidas!$C:$C,0),3+COUNTIF($B$2:B740,'Resultados dashboard'!$B740))</f>
        <v>Moch</v>
      </c>
      <c r="D740" s="54">
        <v>7</v>
      </c>
      <c r="E740" s="53"/>
      <c r="F740" s="53"/>
      <c r="G740" s="53"/>
      <c r="H740" s="38">
        <f t="shared" si="5"/>
        <v>7</v>
      </c>
      <c r="I740" s="38">
        <f t="shared" si="6"/>
        <v>4</v>
      </c>
      <c r="J740" s="55"/>
    </row>
    <row r="741" spans="1:10" ht="12.75" customHeight="1" x14ac:dyDescent="0.2">
      <c r="A741" s="50">
        <f t="array" ref="A741">+INDEX(Partidas!$A:$J,MATCH('Resultados dashboard'!$B741,Partidas!$C:$C,0),2)</f>
        <v>45555</v>
      </c>
      <c r="B741" s="56">
        <f>+IF(COUNTIF($B$2:B740,B740)=VLOOKUP(B740,Partidas!$C:$J,8,0),B740+1,B740)</f>
        <v>166</v>
      </c>
      <c r="C741" s="41" t="str">
        <f t="array" ref="C741">+INDEX(Partidas!$A:$J,MATCH('Resultados dashboard'!$B741,Partidas!$C:$C,0),3+COUNTIF($B$2:B741,'Resultados dashboard'!$B741))</f>
        <v>Sofi</v>
      </c>
      <c r="D741" s="54">
        <v>8</v>
      </c>
      <c r="E741" s="53"/>
      <c r="F741" s="53"/>
      <c r="G741" s="53"/>
      <c r="H741" s="38">
        <f t="shared" si="5"/>
        <v>8</v>
      </c>
      <c r="I741" s="38">
        <f t="shared" si="6"/>
        <v>2</v>
      </c>
      <c r="J741" s="55"/>
    </row>
    <row r="742" spans="1:10" ht="12.75" customHeight="1" x14ac:dyDescent="0.2">
      <c r="A742" s="50">
        <f t="array" ref="A742">+INDEX(Partidas!$A:$J,MATCH('Resultados dashboard'!$B742,Partidas!$C:$C,0),2)</f>
        <v>45561</v>
      </c>
      <c r="B742" s="56">
        <f>+IF(COUNTIF($B$2:B741,B741)=VLOOKUP(B741,Partidas!$C:$J,8,0),B741+1,B741)</f>
        <v>167</v>
      </c>
      <c r="C742" s="41" t="str">
        <f t="array" ref="C742">+INDEX(Partidas!$A:$J,MATCH('Resultados dashboard'!$B742,Partidas!$C:$C,0),3+COUNTIF($B$2:B742,'Resultados dashboard'!$B742))</f>
        <v>Gallo</v>
      </c>
      <c r="D742" s="54">
        <v>10</v>
      </c>
      <c r="E742" s="53"/>
      <c r="F742" s="53"/>
      <c r="G742" s="53"/>
      <c r="H742" s="38">
        <f t="shared" si="5"/>
        <v>10</v>
      </c>
      <c r="I742" s="38">
        <f t="shared" si="6"/>
        <v>1</v>
      </c>
      <c r="J742" s="55"/>
    </row>
    <row r="743" spans="1:10" ht="12.75" customHeight="1" x14ac:dyDescent="0.2">
      <c r="A743" s="50">
        <f t="array" ref="A743">+INDEX(Partidas!$A:$J,MATCH('Resultados dashboard'!$B743,Partidas!$C:$C,0),2)</f>
        <v>45561</v>
      </c>
      <c r="B743" s="56">
        <f>+IF(COUNTIF($B$2:B742,B742)=VLOOKUP(B742,Partidas!$C:$J,8,0),B742+1,B742)</f>
        <v>167</v>
      </c>
      <c r="C743" s="41" t="str">
        <f t="array" ref="C743">+INDEX(Partidas!$A:$J,MATCH('Resultados dashboard'!$B743,Partidas!$C:$C,0),3+COUNTIF($B$2:B743,'Resultados dashboard'!$B743))</f>
        <v>Ivo</v>
      </c>
      <c r="D743" s="54">
        <v>4</v>
      </c>
      <c r="E743" s="54">
        <v>1</v>
      </c>
      <c r="F743" s="53"/>
      <c r="G743" s="54">
        <v>1</v>
      </c>
      <c r="H743" s="38">
        <f t="shared" si="5"/>
        <v>7</v>
      </c>
      <c r="I743" s="38">
        <f t="shared" si="6"/>
        <v>4</v>
      </c>
      <c r="J743" s="55"/>
    </row>
    <row r="744" spans="1:10" ht="12.75" customHeight="1" x14ac:dyDescent="0.2">
      <c r="A744" s="50">
        <f t="array" ref="A744">+INDEX(Partidas!$A:$J,MATCH('Resultados dashboard'!$B744,Partidas!$C:$C,0),2)</f>
        <v>45561</v>
      </c>
      <c r="B744" s="56">
        <f>+IF(COUNTIF($B$2:B743,B743)=VLOOKUP(B743,Partidas!$C:$J,8,0),B743+1,B743)</f>
        <v>167</v>
      </c>
      <c r="C744" s="41" t="str">
        <f t="array" ref="C744">+INDEX(Partidas!$A:$J,MATCH('Resultados dashboard'!$B744,Partidas!$C:$C,0),3+COUNTIF($B$2:B744,'Resultados dashboard'!$B744))</f>
        <v>Max</v>
      </c>
      <c r="D744" s="54">
        <v>5</v>
      </c>
      <c r="E744" s="54">
        <v>2</v>
      </c>
      <c r="F744" s="54">
        <v>1</v>
      </c>
      <c r="G744" s="53"/>
      <c r="H744" s="38">
        <f t="shared" si="5"/>
        <v>9</v>
      </c>
      <c r="I744" s="38">
        <f t="shared" si="6"/>
        <v>2</v>
      </c>
      <c r="J744" s="55"/>
    </row>
    <row r="745" spans="1:10" ht="12.75" customHeight="1" x14ac:dyDescent="0.2">
      <c r="A745" s="50">
        <f t="array" ref="A745">+INDEX(Partidas!$A:$J,MATCH('Resultados dashboard'!$B745,Partidas!$C:$C,0),2)</f>
        <v>45561</v>
      </c>
      <c r="B745" s="56">
        <f>+IF(COUNTIF($B$2:B744,B744)=VLOOKUP(B744,Partidas!$C:$J,8,0),B744+1,B744)</f>
        <v>167</v>
      </c>
      <c r="C745" s="41" t="str">
        <f t="array" ref="C745">+INDEX(Partidas!$A:$J,MATCH('Resultados dashboard'!$B745,Partidas!$C:$C,0),3+COUNTIF($B$2:B745,'Resultados dashboard'!$B745))</f>
        <v>Hugo</v>
      </c>
      <c r="D745" s="54">
        <v>7</v>
      </c>
      <c r="E745" s="54">
        <v>1</v>
      </c>
      <c r="F745" s="53"/>
      <c r="G745" s="53"/>
      <c r="H745" s="38">
        <f t="shared" si="5"/>
        <v>8</v>
      </c>
      <c r="I745" s="38">
        <f t="shared" si="6"/>
        <v>3</v>
      </c>
      <c r="J745" s="55"/>
    </row>
    <row r="746" spans="1:10" ht="12.75" customHeight="1" x14ac:dyDescent="0.2">
      <c r="A746" s="50">
        <f t="array" ref="A746">+INDEX(Partidas!$A:$J,MATCH('Resultados dashboard'!$B746,Partidas!$C:$C,0),2)</f>
        <v>45561</v>
      </c>
      <c r="B746" s="56">
        <f>+IF(COUNTIF($B$2:B745,B745)=VLOOKUP(B745,Partidas!$C:$J,8,0),B745+1,B745)</f>
        <v>168</v>
      </c>
      <c r="C746" s="41" t="str">
        <f t="array" ref="C746">+INDEX(Partidas!$A:$J,MATCH('Resultados dashboard'!$B746,Partidas!$C:$C,0),3+COUNTIF($B$2:B746,'Resultados dashboard'!$B746))</f>
        <v>Gallo</v>
      </c>
      <c r="D746" s="54">
        <v>7</v>
      </c>
      <c r="E746" s="54">
        <v>1</v>
      </c>
      <c r="F746" s="53"/>
      <c r="G746" s="54">
        <v>1</v>
      </c>
      <c r="H746" s="38">
        <f t="shared" si="5"/>
        <v>10</v>
      </c>
      <c r="I746" s="38">
        <f t="shared" si="6"/>
        <v>1</v>
      </c>
      <c r="J746" s="55"/>
    </row>
    <row r="747" spans="1:10" ht="12.75" customHeight="1" x14ac:dyDescent="0.2">
      <c r="A747" s="50">
        <f t="array" ref="A747">+INDEX(Partidas!$A:$J,MATCH('Resultados dashboard'!$B747,Partidas!$C:$C,0),2)</f>
        <v>45561</v>
      </c>
      <c r="B747" s="56">
        <f>+IF(COUNTIF($B$2:B746,B746)=VLOOKUP(B746,Partidas!$C:$J,8,0),B746+1,B746)</f>
        <v>168</v>
      </c>
      <c r="C747" s="41" t="str">
        <f t="array" ref="C747">+INDEX(Partidas!$A:$J,MATCH('Resultados dashboard'!$B747,Partidas!$C:$C,0),3+COUNTIF($B$2:B747,'Resultados dashboard'!$B747))</f>
        <v>Ivo</v>
      </c>
      <c r="D747" s="54">
        <v>6</v>
      </c>
      <c r="E747" s="53"/>
      <c r="F747" s="53"/>
      <c r="G747" s="53"/>
      <c r="H747" s="38">
        <f t="shared" si="5"/>
        <v>6</v>
      </c>
      <c r="I747" s="38">
        <f t="shared" si="6"/>
        <v>3</v>
      </c>
      <c r="J747" s="55"/>
    </row>
    <row r="748" spans="1:10" ht="12.75" customHeight="1" x14ac:dyDescent="0.2">
      <c r="A748" s="50">
        <f t="array" ref="A748">+INDEX(Partidas!$A:$J,MATCH('Resultados dashboard'!$B748,Partidas!$C:$C,0),2)</f>
        <v>45561</v>
      </c>
      <c r="B748" s="56">
        <f>+IF(COUNTIF($B$2:B747,B747)=VLOOKUP(B747,Partidas!$C:$J,8,0),B747+1,B747)</f>
        <v>168</v>
      </c>
      <c r="C748" s="41" t="str">
        <f t="array" ref="C748">+INDEX(Partidas!$A:$J,MATCH('Resultados dashboard'!$B748,Partidas!$C:$C,0),3+COUNTIF($B$2:B748,'Resultados dashboard'!$B748))</f>
        <v>Max</v>
      </c>
      <c r="D748" s="54">
        <v>7</v>
      </c>
      <c r="E748" s="53"/>
      <c r="F748" s="53"/>
      <c r="G748" s="53"/>
      <c r="H748" s="38">
        <f t="shared" si="5"/>
        <v>7</v>
      </c>
      <c r="I748" s="38">
        <f t="shared" si="6"/>
        <v>2</v>
      </c>
      <c r="J748" s="55"/>
    </row>
    <row r="749" spans="1:10" ht="12.75" customHeight="1" x14ac:dyDescent="0.2">
      <c r="A749" s="50">
        <f t="array" ref="A749">+INDEX(Partidas!$A:$J,MATCH('Resultados dashboard'!$B749,Partidas!$C:$C,0),2)</f>
        <v>45561</v>
      </c>
      <c r="B749" s="56">
        <f>+IF(COUNTIF($B$2:B748,B748)=VLOOKUP(B748,Partidas!$C:$J,8,0),B748+1,B748)</f>
        <v>168</v>
      </c>
      <c r="C749" s="41" t="str">
        <f t="array" ref="C749">+INDEX(Partidas!$A:$J,MATCH('Resultados dashboard'!$B749,Partidas!$C:$C,0),3+COUNTIF($B$2:B749,'Resultados dashboard'!$B749))</f>
        <v>Hugo</v>
      </c>
      <c r="D749" s="54">
        <v>6</v>
      </c>
      <c r="E749" s="53"/>
      <c r="F749" s="53"/>
      <c r="G749" s="53"/>
      <c r="H749" s="38">
        <f t="shared" si="5"/>
        <v>6</v>
      </c>
      <c r="I749" s="38">
        <f t="shared" si="6"/>
        <v>3</v>
      </c>
      <c r="J749" s="55"/>
    </row>
    <row r="750" spans="1:10" ht="12.75" customHeight="1" x14ac:dyDescent="0.2">
      <c r="A750" s="50">
        <f t="array" ref="A750">+INDEX(Partidas!$A:$J,MATCH('Resultados dashboard'!$B750,Partidas!$C:$C,0),2)</f>
        <v>45561</v>
      </c>
      <c r="B750" s="56">
        <f>+IF(COUNTIF($B$2:B749,B749)=VLOOKUP(B749,Partidas!$C:$J,8,0),B749+1,B749)</f>
        <v>169</v>
      </c>
      <c r="C750" s="41" t="str">
        <f t="array" ref="C750">+INDEX(Partidas!$A:$J,MATCH('Resultados dashboard'!$B750,Partidas!$C:$C,0),3+COUNTIF($B$2:B750,'Resultados dashboard'!$B750))</f>
        <v>Gallo</v>
      </c>
      <c r="D750" s="54">
        <v>4</v>
      </c>
      <c r="E750" s="53"/>
      <c r="F750" s="53"/>
      <c r="G750" s="54">
        <v>1</v>
      </c>
      <c r="H750" s="38">
        <f t="shared" si="5"/>
        <v>6</v>
      </c>
      <c r="I750" s="38">
        <f t="shared" si="6"/>
        <v>3</v>
      </c>
      <c r="J750" s="55"/>
    </row>
    <row r="751" spans="1:10" ht="12.75" customHeight="1" x14ac:dyDescent="0.2">
      <c r="A751" s="50">
        <f t="array" ref="A751">+INDEX(Partidas!$A:$J,MATCH('Resultados dashboard'!$B751,Partidas!$C:$C,0),2)</f>
        <v>45561</v>
      </c>
      <c r="B751" s="56">
        <f>+IF(COUNTIF($B$2:B750,B750)=VLOOKUP(B750,Partidas!$C:$J,8,0),B750+1,B750)</f>
        <v>169</v>
      </c>
      <c r="C751" s="41" t="str">
        <f t="array" ref="C751">+INDEX(Partidas!$A:$J,MATCH('Resultados dashboard'!$B751,Partidas!$C:$C,0),3+COUNTIF($B$2:B751,'Resultados dashboard'!$B751))</f>
        <v>Ivo</v>
      </c>
      <c r="D751" s="54">
        <v>4</v>
      </c>
      <c r="E751" s="54">
        <v>2</v>
      </c>
      <c r="F751" s="53"/>
      <c r="G751" s="53"/>
      <c r="H751" s="38">
        <f t="shared" si="5"/>
        <v>6</v>
      </c>
      <c r="I751" s="38">
        <f t="shared" si="6"/>
        <v>3</v>
      </c>
      <c r="J751" s="55"/>
    </row>
    <row r="752" spans="1:10" ht="12.75" customHeight="1" x14ac:dyDescent="0.2">
      <c r="A752" s="50">
        <f t="array" ref="A752">+INDEX(Partidas!$A:$J,MATCH('Resultados dashboard'!$B752,Partidas!$C:$C,0),2)</f>
        <v>45561</v>
      </c>
      <c r="B752" s="56">
        <f>+IF(COUNTIF($B$2:B751,B751)=VLOOKUP(B751,Partidas!$C:$J,8,0),B751+1,B751)</f>
        <v>169</v>
      </c>
      <c r="C752" s="41" t="str">
        <f t="array" ref="C752">+INDEX(Partidas!$A:$J,MATCH('Resultados dashboard'!$B752,Partidas!$C:$C,0),3+COUNTIF($B$2:B752,'Resultados dashboard'!$B752))</f>
        <v>Max</v>
      </c>
      <c r="D752" s="54">
        <v>9</v>
      </c>
      <c r="E752" s="54">
        <v>1</v>
      </c>
      <c r="F752" s="53"/>
      <c r="G752" s="53"/>
      <c r="H752" s="38">
        <f t="shared" si="5"/>
        <v>10</v>
      </c>
      <c r="I752" s="38">
        <f t="shared" si="6"/>
        <v>1</v>
      </c>
      <c r="J752" s="55"/>
    </row>
    <row r="753" spans="1:10" ht="12.75" customHeight="1" x14ac:dyDescent="0.2">
      <c r="A753" s="50">
        <f t="array" ref="A753">+INDEX(Partidas!$A:$J,MATCH('Resultados dashboard'!$B753,Partidas!$C:$C,0),2)</f>
        <v>45561</v>
      </c>
      <c r="B753" s="56">
        <f>+IF(COUNTIF($B$2:B752,B752)=VLOOKUP(B752,Partidas!$C:$J,8,0),B752+1,B752)</f>
        <v>169</v>
      </c>
      <c r="C753" s="41" t="str">
        <f t="array" ref="C753">+INDEX(Partidas!$A:$J,MATCH('Resultados dashboard'!$B753,Partidas!$C:$C,0),3+COUNTIF($B$2:B753,'Resultados dashboard'!$B753))</f>
        <v>Hugo</v>
      </c>
      <c r="D753" s="54">
        <v>5</v>
      </c>
      <c r="E753" s="53"/>
      <c r="F753" s="54">
        <v>1</v>
      </c>
      <c r="G753" s="53"/>
      <c r="H753" s="38">
        <f t="shared" si="5"/>
        <v>7</v>
      </c>
      <c r="I753" s="38">
        <f t="shared" si="6"/>
        <v>2</v>
      </c>
      <c r="J753" s="55"/>
    </row>
    <row r="754" spans="1:10" ht="12.75" customHeight="1" x14ac:dyDescent="0.2">
      <c r="A754" s="50">
        <f t="array" ref="A754">+INDEX(Partidas!$A:$J,MATCH('Resultados dashboard'!$B754,Partidas!$C:$C,0),2)</f>
        <v>45569</v>
      </c>
      <c r="B754" s="56">
        <f>+IF(COUNTIF($B$2:B753,B753)=VLOOKUP(B753,Partidas!$C:$J,8,0),B753+1,B753)</f>
        <v>170</v>
      </c>
      <c r="C754" s="41" t="str">
        <f t="array" ref="C754">+INDEX(Partidas!$A:$J,MATCH('Resultados dashboard'!$B754,Partidas!$C:$C,0),3+COUNTIF($B$2:B754,'Resultados dashboard'!$B754))</f>
        <v>Gallo</v>
      </c>
      <c r="D754" s="54">
        <v>6</v>
      </c>
      <c r="E754" s="53"/>
      <c r="F754" s="54">
        <v>1</v>
      </c>
      <c r="G754" s="54">
        <v>1</v>
      </c>
      <c r="H754" s="38">
        <f t="shared" si="5"/>
        <v>10</v>
      </c>
      <c r="I754" s="38">
        <f t="shared" si="6"/>
        <v>1</v>
      </c>
      <c r="J754" s="55"/>
    </row>
    <row r="755" spans="1:10" ht="12.75" customHeight="1" x14ac:dyDescent="0.2">
      <c r="A755" s="50">
        <f t="array" ref="A755">+INDEX(Partidas!$A:$J,MATCH('Resultados dashboard'!$B755,Partidas!$C:$C,0),2)</f>
        <v>45569</v>
      </c>
      <c r="B755" s="56">
        <f>+IF(COUNTIF($B$2:B754,B754)=VLOOKUP(B754,Partidas!$C:$J,8,0),B754+1,B754)</f>
        <v>170</v>
      </c>
      <c r="C755" s="41" t="str">
        <f t="array" ref="C755">+INDEX(Partidas!$A:$J,MATCH('Resultados dashboard'!$B755,Partidas!$C:$C,0),3+COUNTIF($B$2:B755,'Resultados dashboard'!$B755))</f>
        <v>Ivo</v>
      </c>
      <c r="D755" s="54">
        <v>6</v>
      </c>
      <c r="E755" s="53"/>
      <c r="F755" s="53"/>
      <c r="G755" s="53"/>
      <c r="H755" s="38">
        <f t="shared" si="5"/>
        <v>6</v>
      </c>
      <c r="I755" s="38">
        <f t="shared" si="6"/>
        <v>4</v>
      </c>
      <c r="J755" s="55"/>
    </row>
    <row r="756" spans="1:10" ht="12.75" customHeight="1" x14ac:dyDescent="0.2">
      <c r="A756" s="50">
        <f t="array" ref="A756">+INDEX(Partidas!$A:$J,MATCH('Resultados dashboard'!$B756,Partidas!$C:$C,0),2)</f>
        <v>45569</v>
      </c>
      <c r="B756" s="56">
        <f>+IF(COUNTIF($B$2:B755,B755)=VLOOKUP(B755,Partidas!$C:$J,8,0),B755+1,B755)</f>
        <v>170</v>
      </c>
      <c r="C756" s="41" t="str">
        <f t="array" ref="C756">+INDEX(Partidas!$A:$J,MATCH('Resultados dashboard'!$B756,Partidas!$C:$C,0),3+COUNTIF($B$2:B756,'Resultados dashboard'!$B756))</f>
        <v>Max</v>
      </c>
      <c r="D756" s="54">
        <v>6</v>
      </c>
      <c r="E756" s="54">
        <v>2</v>
      </c>
      <c r="F756" s="53"/>
      <c r="G756" s="53"/>
      <c r="H756" s="38">
        <f t="shared" si="5"/>
        <v>8</v>
      </c>
      <c r="I756" s="38">
        <f t="shared" si="6"/>
        <v>2</v>
      </c>
      <c r="J756" s="55"/>
    </row>
    <row r="757" spans="1:10" ht="12.75" customHeight="1" x14ac:dyDescent="0.2">
      <c r="A757" s="50">
        <f t="array" ref="A757">+INDEX(Partidas!$A:$J,MATCH('Resultados dashboard'!$B757,Partidas!$C:$C,0),2)</f>
        <v>45569</v>
      </c>
      <c r="B757" s="56">
        <f>+IF(COUNTIF($B$2:B756,B756)=VLOOKUP(B756,Partidas!$C:$J,8,0),B756+1,B756)</f>
        <v>170</v>
      </c>
      <c r="C757" s="41" t="str">
        <f t="array" ref="C757">+INDEX(Partidas!$A:$J,MATCH('Resultados dashboard'!$B757,Partidas!$C:$C,0),3+COUNTIF($B$2:B757,'Resultados dashboard'!$B757))</f>
        <v>Gaspa</v>
      </c>
      <c r="D757" s="54">
        <v>6</v>
      </c>
      <c r="E757" s="54">
        <v>1</v>
      </c>
      <c r="F757" s="53"/>
      <c r="G757" s="53"/>
      <c r="H757" s="38">
        <f t="shared" si="5"/>
        <v>7</v>
      </c>
      <c r="I757" s="38">
        <f t="shared" si="6"/>
        <v>3</v>
      </c>
      <c r="J757" s="55"/>
    </row>
    <row r="758" spans="1:10" ht="12.75" customHeight="1" x14ac:dyDescent="0.2">
      <c r="A758" s="50">
        <f t="array" ref="A758">+INDEX(Partidas!$A:$J,MATCH('Resultados dashboard'!$B758,Partidas!$C:$C,0),2)</f>
        <v>45569</v>
      </c>
      <c r="B758" s="56">
        <f>+IF(COUNTIF($B$2:B757,B757)=VLOOKUP(B757,Partidas!$C:$J,8,0),B757+1,B757)</f>
        <v>171</v>
      </c>
      <c r="C758" s="41" t="str">
        <f t="array" ref="C758">+INDEX(Partidas!$A:$J,MATCH('Resultados dashboard'!$B758,Partidas!$C:$C,0),3+COUNTIF($B$2:B758,'Resultados dashboard'!$B758))</f>
        <v>Gallo</v>
      </c>
      <c r="D758" s="54">
        <v>7</v>
      </c>
      <c r="E758" s="54">
        <v>3</v>
      </c>
      <c r="F758" s="53"/>
      <c r="G758" s="53"/>
      <c r="H758" s="38">
        <f t="shared" si="5"/>
        <v>10</v>
      </c>
      <c r="I758" s="38">
        <f t="shared" si="6"/>
        <v>1</v>
      </c>
      <c r="J758" s="55"/>
    </row>
    <row r="759" spans="1:10" ht="12.75" customHeight="1" x14ac:dyDescent="0.2">
      <c r="A759" s="50">
        <f t="array" ref="A759">+INDEX(Partidas!$A:$J,MATCH('Resultados dashboard'!$B759,Partidas!$C:$C,0),2)</f>
        <v>45569</v>
      </c>
      <c r="B759" s="56">
        <f>+IF(COUNTIF($B$2:B758,B758)=VLOOKUP(B758,Partidas!$C:$J,8,0),B758+1,B758)</f>
        <v>171</v>
      </c>
      <c r="C759" s="41" t="str">
        <f t="array" ref="C759">+INDEX(Partidas!$A:$J,MATCH('Resultados dashboard'!$B759,Partidas!$C:$C,0),3+COUNTIF($B$2:B759,'Resultados dashboard'!$B759))</f>
        <v>Ivo</v>
      </c>
      <c r="D759" s="54">
        <v>5</v>
      </c>
      <c r="E759" s="53"/>
      <c r="F759" s="53"/>
      <c r="G759" s="54">
        <v>1</v>
      </c>
      <c r="H759" s="38">
        <f t="shared" si="5"/>
        <v>7</v>
      </c>
      <c r="I759" s="38">
        <f t="shared" si="6"/>
        <v>4</v>
      </c>
      <c r="J759" s="55"/>
    </row>
    <row r="760" spans="1:10" ht="12.75" customHeight="1" x14ac:dyDescent="0.2">
      <c r="A760" s="50">
        <f t="array" ref="A760">+INDEX(Partidas!$A:$J,MATCH('Resultados dashboard'!$B760,Partidas!$C:$C,0),2)</f>
        <v>45569</v>
      </c>
      <c r="B760" s="56">
        <f>+IF(COUNTIF($B$2:B759,B759)=VLOOKUP(B759,Partidas!$C:$J,8,0),B759+1,B759)</f>
        <v>171</v>
      </c>
      <c r="C760" s="41" t="str">
        <f t="array" ref="C760">+INDEX(Partidas!$A:$J,MATCH('Resultados dashboard'!$B760,Partidas!$C:$C,0),3+COUNTIF($B$2:B760,'Resultados dashboard'!$B760))</f>
        <v>Max</v>
      </c>
      <c r="D760" s="54">
        <v>6</v>
      </c>
      <c r="E760" s="53"/>
      <c r="F760" s="54">
        <v>1</v>
      </c>
      <c r="G760" s="53"/>
      <c r="H760" s="38">
        <f t="shared" si="5"/>
        <v>8</v>
      </c>
      <c r="I760" s="38">
        <f t="shared" si="6"/>
        <v>2</v>
      </c>
      <c r="J760" s="55"/>
    </row>
    <row r="761" spans="1:10" ht="12.75" customHeight="1" x14ac:dyDescent="0.2">
      <c r="A761" s="50">
        <f t="array" ref="A761">+INDEX(Partidas!$A:$J,MATCH('Resultados dashboard'!$B761,Partidas!$C:$C,0),2)</f>
        <v>45569</v>
      </c>
      <c r="B761" s="56">
        <f>+IF(COUNTIF($B$2:B760,B760)=VLOOKUP(B760,Partidas!$C:$J,8,0),B760+1,B760)</f>
        <v>171</v>
      </c>
      <c r="C761" s="41" t="str">
        <f t="array" ref="C761">+INDEX(Partidas!$A:$J,MATCH('Resultados dashboard'!$B761,Partidas!$C:$C,0),3+COUNTIF($B$2:B761,'Resultados dashboard'!$B761))</f>
        <v>Gaspa</v>
      </c>
      <c r="D761" s="54">
        <v>7</v>
      </c>
      <c r="E761" s="54">
        <v>1</v>
      </c>
      <c r="F761" s="53"/>
      <c r="G761" s="53"/>
      <c r="H761" s="38">
        <f t="shared" si="5"/>
        <v>8</v>
      </c>
      <c r="I761" s="38">
        <f t="shared" si="6"/>
        <v>2</v>
      </c>
      <c r="J761" s="55"/>
    </row>
    <row r="762" spans="1:10" ht="12.75" customHeight="1" x14ac:dyDescent="0.2">
      <c r="A762" s="50">
        <f t="array" ref="A762">+INDEX(Partidas!$A:$J,MATCH('Resultados dashboard'!$B762,Partidas!$C:$C,0),2)</f>
        <v>45573</v>
      </c>
      <c r="B762" s="56">
        <f>+IF(COUNTIF($B$2:B761,B761)=VLOOKUP(B761,Partidas!$C:$J,8,0),B761+1,B761)</f>
        <v>172</v>
      </c>
      <c r="C762" s="41" t="str">
        <f t="array" ref="C762">+INDEX(Partidas!$A:$J,MATCH('Resultados dashboard'!$B762,Partidas!$C:$C,0),3+COUNTIF($B$2:B762,'Resultados dashboard'!$B762))</f>
        <v>Ivo</v>
      </c>
      <c r="D762" s="54">
        <v>5</v>
      </c>
      <c r="E762" s="53"/>
      <c r="F762" s="53"/>
      <c r="G762" s="53"/>
      <c r="H762" s="38">
        <f t="shared" si="5"/>
        <v>5</v>
      </c>
      <c r="I762" s="38">
        <f t="shared" si="6"/>
        <v>4</v>
      </c>
      <c r="J762" s="55"/>
    </row>
    <row r="763" spans="1:10" ht="12.75" customHeight="1" x14ac:dyDescent="0.2">
      <c r="A763" s="50">
        <f t="array" ref="A763">+INDEX(Partidas!$A:$J,MATCH('Resultados dashboard'!$B763,Partidas!$C:$C,0),2)</f>
        <v>45573</v>
      </c>
      <c r="B763" s="56">
        <f>+IF(COUNTIF($B$2:B762,B762)=VLOOKUP(B762,Partidas!$C:$J,8,0),B762+1,B762)</f>
        <v>172</v>
      </c>
      <c r="C763" s="41" t="str">
        <f t="array" ref="C763">+INDEX(Partidas!$A:$J,MATCH('Resultados dashboard'!$B763,Partidas!$C:$C,0),3+COUNTIF($B$2:B763,'Resultados dashboard'!$B763))</f>
        <v>Max</v>
      </c>
      <c r="D763" s="54">
        <v>7</v>
      </c>
      <c r="E763" s="54">
        <v>1</v>
      </c>
      <c r="F763" s="53"/>
      <c r="G763" s="53"/>
      <c r="H763" s="38">
        <f t="shared" si="5"/>
        <v>8</v>
      </c>
      <c r="I763" s="38">
        <f t="shared" si="6"/>
        <v>2</v>
      </c>
      <c r="J763" s="55"/>
    </row>
    <row r="764" spans="1:10" ht="12.75" customHeight="1" x14ac:dyDescent="0.2">
      <c r="A764" s="50">
        <f t="array" ref="A764">+INDEX(Partidas!$A:$J,MATCH('Resultados dashboard'!$B764,Partidas!$C:$C,0),2)</f>
        <v>45573</v>
      </c>
      <c r="B764" s="56">
        <f>+IF(COUNTIF($B$2:B763,B763)=VLOOKUP(B763,Partidas!$C:$J,8,0),B763+1,B763)</f>
        <v>172</v>
      </c>
      <c r="C764" s="41" t="str">
        <f t="array" ref="C764">+INDEX(Partidas!$A:$J,MATCH('Resultados dashboard'!$B764,Partidas!$C:$C,0),3+COUNTIF($B$2:B764,'Resultados dashboard'!$B764))</f>
        <v>Hugo</v>
      </c>
      <c r="D764" s="54">
        <v>6</v>
      </c>
      <c r="E764" s="53"/>
      <c r="F764" s="54">
        <v>1</v>
      </c>
      <c r="G764" s="53"/>
      <c r="H764" s="38">
        <f t="shared" si="5"/>
        <v>8</v>
      </c>
      <c r="I764" s="38">
        <f t="shared" si="6"/>
        <v>2</v>
      </c>
      <c r="J764" s="55"/>
    </row>
    <row r="765" spans="1:10" ht="12.75" customHeight="1" x14ac:dyDescent="0.2">
      <c r="A765" s="50">
        <f t="array" ref="A765">+INDEX(Partidas!$A:$J,MATCH('Resultados dashboard'!$B765,Partidas!$C:$C,0),2)</f>
        <v>45573</v>
      </c>
      <c r="B765" s="56">
        <f>+IF(COUNTIF($B$2:B764,B764)=VLOOKUP(B764,Partidas!$C:$J,8,0),B764+1,B764)</f>
        <v>172</v>
      </c>
      <c r="C765" s="41" t="str">
        <f t="array" ref="C765">+INDEX(Partidas!$A:$J,MATCH('Resultados dashboard'!$B765,Partidas!$C:$C,0),3+COUNTIF($B$2:B765,'Resultados dashboard'!$B765))</f>
        <v>Gaspa</v>
      </c>
      <c r="D765" s="54">
        <v>7</v>
      </c>
      <c r="E765" s="54">
        <v>1</v>
      </c>
      <c r="F765" s="53"/>
      <c r="G765" s="54">
        <v>1</v>
      </c>
      <c r="H765" s="38">
        <f t="shared" si="5"/>
        <v>10</v>
      </c>
      <c r="I765" s="38">
        <f t="shared" si="6"/>
        <v>1</v>
      </c>
      <c r="J765" s="55"/>
    </row>
    <row r="766" spans="1:10" ht="12.75" customHeight="1" x14ac:dyDescent="0.2">
      <c r="A766" s="50">
        <f t="array" ref="A766">+INDEX(Partidas!$A:$J,MATCH('Resultados dashboard'!$B766,Partidas!$C:$C,0),2)</f>
        <v>45573</v>
      </c>
      <c r="B766" s="56">
        <f>+IF(COUNTIF($B$2:B765,B765)=VLOOKUP(B765,Partidas!$C:$J,8,0),B765+1,B765)</f>
        <v>173</v>
      </c>
      <c r="C766" s="41" t="str">
        <f t="array" ref="C766">+INDEX(Partidas!$A:$J,MATCH('Resultados dashboard'!$B766,Partidas!$C:$C,0),3+COUNTIF($B$2:B766,'Resultados dashboard'!$B766))</f>
        <v>Gallo</v>
      </c>
      <c r="D766" s="54">
        <v>6</v>
      </c>
      <c r="E766" s="53"/>
      <c r="F766" s="53"/>
      <c r="G766" s="53"/>
      <c r="H766" s="38">
        <f t="shared" si="5"/>
        <v>6</v>
      </c>
      <c r="I766" s="38">
        <f t="shared" si="6"/>
        <v>4</v>
      </c>
      <c r="J766" s="55"/>
    </row>
    <row r="767" spans="1:10" ht="12.75" customHeight="1" x14ac:dyDescent="0.2">
      <c r="A767" s="50">
        <f t="array" ref="A767">+INDEX(Partidas!$A:$J,MATCH('Resultados dashboard'!$B767,Partidas!$C:$C,0),2)</f>
        <v>45573</v>
      </c>
      <c r="B767" s="56">
        <f>+IF(COUNTIF($B$2:B766,B766)=VLOOKUP(B766,Partidas!$C:$J,8,0),B766+1,B766)</f>
        <v>173</v>
      </c>
      <c r="C767" s="41" t="str">
        <f t="array" ref="C767">+INDEX(Partidas!$A:$J,MATCH('Resultados dashboard'!$B767,Partidas!$C:$C,0),3+COUNTIF($B$2:B767,'Resultados dashboard'!$B767))</f>
        <v>Ivo</v>
      </c>
      <c r="D767" s="54">
        <v>8</v>
      </c>
      <c r="E767" s="54">
        <v>1</v>
      </c>
      <c r="F767" s="53"/>
      <c r="G767" s="53"/>
      <c r="H767" s="38">
        <f t="shared" ref="H767:H1021" si="7">+SUM(D767:E767)+2*SUM(F767:G767)+J767</f>
        <v>9</v>
      </c>
      <c r="I767" s="38">
        <f t="shared" si="6"/>
        <v>2</v>
      </c>
      <c r="J767" s="55"/>
    </row>
    <row r="768" spans="1:10" ht="12.75" customHeight="1" x14ac:dyDescent="0.2">
      <c r="A768" s="50">
        <f t="array" ref="A768">+INDEX(Partidas!$A:$J,MATCH('Resultados dashboard'!$B768,Partidas!$C:$C,0),2)</f>
        <v>45573</v>
      </c>
      <c r="B768" s="56">
        <f>+IF(COUNTIF($B$2:B767,B767)=VLOOKUP(B767,Partidas!$C:$J,8,0),B767+1,B767)</f>
        <v>173</v>
      </c>
      <c r="C768" s="41" t="str">
        <f t="array" ref="C768">+INDEX(Partidas!$A:$J,MATCH('Resultados dashboard'!$B768,Partidas!$C:$C,0),3+COUNTIF($B$2:B768,'Resultados dashboard'!$B768))</f>
        <v>Max</v>
      </c>
      <c r="D768" s="54">
        <v>8</v>
      </c>
      <c r="E768" s="53"/>
      <c r="F768" s="53"/>
      <c r="G768" s="54">
        <v>1</v>
      </c>
      <c r="H768" s="38">
        <f t="shared" si="7"/>
        <v>10</v>
      </c>
      <c r="I768" s="38">
        <f t="shared" si="6"/>
        <v>1</v>
      </c>
      <c r="J768" s="55"/>
    </row>
    <row r="769" spans="1:10" ht="12.75" customHeight="1" x14ac:dyDescent="0.2">
      <c r="A769" s="50">
        <f t="array" ref="A769">+INDEX(Partidas!$A:$J,MATCH('Resultados dashboard'!$B769,Partidas!$C:$C,0),2)</f>
        <v>45573</v>
      </c>
      <c r="B769" s="56">
        <f>+IF(COUNTIF($B$2:B768,B768)=VLOOKUP(B768,Partidas!$C:$J,8,0),B768+1,B768)</f>
        <v>173</v>
      </c>
      <c r="C769" s="41" t="str">
        <f t="array" ref="C769">+INDEX(Partidas!$A:$J,MATCH('Resultados dashboard'!$B769,Partidas!$C:$C,0),3+COUNTIF($B$2:B769,'Resultados dashboard'!$B769))</f>
        <v>Gaspa</v>
      </c>
      <c r="D769" s="54">
        <v>4</v>
      </c>
      <c r="E769" s="53"/>
      <c r="F769" s="53"/>
      <c r="G769" s="53"/>
      <c r="H769" s="38">
        <f t="shared" si="7"/>
        <v>4</v>
      </c>
      <c r="I769" s="38">
        <f t="shared" si="6"/>
        <v>5</v>
      </c>
      <c r="J769" s="55"/>
    </row>
    <row r="770" spans="1:10" ht="12.75" customHeight="1" x14ac:dyDescent="0.2">
      <c r="A770" s="50">
        <f t="array" ref="A770">+INDEX(Partidas!$A:$J,MATCH('Resultados dashboard'!$B770,Partidas!$C:$C,0),2)</f>
        <v>45573</v>
      </c>
      <c r="B770" s="56">
        <f>+IF(COUNTIF($B$2:B769,B769)=VLOOKUP(B769,Partidas!$C:$J,8,0),B769+1,B769)</f>
        <v>173</v>
      </c>
      <c r="C770" s="41" t="str">
        <f t="array" ref="C770">+INDEX(Partidas!$A:$J,MATCH('Resultados dashboard'!$B770,Partidas!$C:$C,0),3+COUNTIF($B$2:B770,'Resultados dashboard'!$B770))</f>
        <v>Hugo</v>
      </c>
      <c r="D770" s="54">
        <v>5</v>
      </c>
      <c r="E770" s="54">
        <v>1</v>
      </c>
      <c r="F770" s="54">
        <v>1</v>
      </c>
      <c r="G770" s="53"/>
      <c r="H770" s="38">
        <f t="shared" si="7"/>
        <v>8</v>
      </c>
      <c r="I770" s="38">
        <f t="shared" si="6"/>
        <v>3</v>
      </c>
      <c r="J770" s="55"/>
    </row>
    <row r="771" spans="1:10" ht="12.75" customHeight="1" x14ac:dyDescent="0.2">
      <c r="A771" s="50">
        <f t="array" ref="A771">+INDEX(Partidas!$A:$J,MATCH('Resultados dashboard'!$B771,Partidas!$C:$C,0),2)</f>
        <v>45573</v>
      </c>
      <c r="B771" s="56">
        <f>+IF(COUNTIF($B$2:B770,B770)=VLOOKUP(B770,Partidas!$C:$J,8,0),B770+1,B770)</f>
        <v>174</v>
      </c>
      <c r="C771" s="41" t="str">
        <f t="array" ref="C771">+INDEX(Partidas!$A:$J,MATCH('Resultados dashboard'!$B771,Partidas!$C:$C,0),3+COUNTIF($B$2:B771,'Resultados dashboard'!$B771))</f>
        <v>Gallo</v>
      </c>
      <c r="D771" s="54">
        <v>7</v>
      </c>
      <c r="E771" s="53"/>
      <c r="F771" s="53"/>
      <c r="G771" s="54">
        <v>1</v>
      </c>
      <c r="H771" s="38">
        <f t="shared" si="7"/>
        <v>9</v>
      </c>
      <c r="I771" s="38">
        <f t="shared" si="6"/>
        <v>2</v>
      </c>
      <c r="J771" s="55"/>
    </row>
    <row r="772" spans="1:10" ht="12.75" customHeight="1" x14ac:dyDescent="0.2">
      <c r="A772" s="50">
        <f t="array" ref="A772">+INDEX(Partidas!$A:$J,MATCH('Resultados dashboard'!$B772,Partidas!$C:$C,0),2)</f>
        <v>45573</v>
      </c>
      <c r="B772" s="56">
        <f>+IF(COUNTIF($B$2:B771,B771)=VLOOKUP(B771,Partidas!$C:$J,8,0),B771+1,B771)</f>
        <v>174</v>
      </c>
      <c r="C772" s="41" t="str">
        <f t="array" ref="C772">+INDEX(Partidas!$A:$J,MATCH('Resultados dashboard'!$B772,Partidas!$C:$C,0),3+COUNTIF($B$2:B772,'Resultados dashboard'!$B772))</f>
        <v>Ivo</v>
      </c>
      <c r="D772" s="54">
        <v>7</v>
      </c>
      <c r="E772" s="53"/>
      <c r="F772" s="53"/>
      <c r="G772" s="53"/>
      <c r="H772" s="38">
        <f t="shared" si="7"/>
        <v>7</v>
      </c>
      <c r="I772" s="38">
        <f t="shared" si="6"/>
        <v>3</v>
      </c>
      <c r="J772" s="55"/>
    </row>
    <row r="773" spans="1:10" ht="12.75" customHeight="1" x14ac:dyDescent="0.2">
      <c r="A773" s="50">
        <f t="array" ref="A773">+INDEX(Partidas!$A:$J,MATCH('Resultados dashboard'!$B773,Partidas!$C:$C,0),2)</f>
        <v>45573</v>
      </c>
      <c r="B773" s="56">
        <f>+IF(COUNTIF($B$2:B772,B772)=VLOOKUP(B772,Partidas!$C:$J,8,0),B772+1,B772)</f>
        <v>174</v>
      </c>
      <c r="C773" s="41" t="str">
        <f t="array" ref="C773">+INDEX(Partidas!$A:$J,MATCH('Resultados dashboard'!$B773,Partidas!$C:$C,0),3+COUNTIF($B$2:B773,'Resultados dashboard'!$B773))</f>
        <v>Max</v>
      </c>
      <c r="D773" s="54">
        <v>9</v>
      </c>
      <c r="E773" s="54">
        <v>1</v>
      </c>
      <c r="F773" s="53"/>
      <c r="G773" s="53"/>
      <c r="H773" s="38">
        <f t="shared" si="7"/>
        <v>10</v>
      </c>
      <c r="I773" s="38">
        <f t="shared" si="6"/>
        <v>1</v>
      </c>
      <c r="J773" s="55"/>
    </row>
    <row r="774" spans="1:10" ht="12.75" customHeight="1" x14ac:dyDescent="0.2">
      <c r="A774" s="50">
        <f t="array" ref="A774">+INDEX(Partidas!$A:$J,MATCH('Resultados dashboard'!$B774,Partidas!$C:$C,0),2)</f>
        <v>45573</v>
      </c>
      <c r="B774" s="56">
        <f>+IF(COUNTIF($B$2:B773,B773)=VLOOKUP(B773,Partidas!$C:$J,8,0),B773+1,B773)</f>
        <v>174</v>
      </c>
      <c r="C774" s="41" t="str">
        <f t="array" ref="C774">+INDEX(Partidas!$A:$J,MATCH('Resultados dashboard'!$B774,Partidas!$C:$C,0),3+COUNTIF($B$2:B774,'Resultados dashboard'!$B774))</f>
        <v>Gaspa</v>
      </c>
      <c r="D774" s="54">
        <v>6</v>
      </c>
      <c r="E774" s="54">
        <v>1</v>
      </c>
      <c r="F774" s="53"/>
      <c r="G774" s="53"/>
      <c r="H774" s="38">
        <f t="shared" si="7"/>
        <v>7</v>
      </c>
      <c r="I774" s="38">
        <f t="shared" si="6"/>
        <v>3</v>
      </c>
      <c r="J774" s="55"/>
    </row>
    <row r="775" spans="1:10" ht="12.75" customHeight="1" x14ac:dyDescent="0.2">
      <c r="A775" s="50">
        <f t="array" ref="A775">+INDEX(Partidas!$A:$J,MATCH('Resultados dashboard'!$B775,Partidas!$C:$C,0),2)</f>
        <v>45573</v>
      </c>
      <c r="B775" s="56">
        <f>+IF(COUNTIF($B$2:B774,B774)=VLOOKUP(B774,Partidas!$C:$J,8,0),B774+1,B774)</f>
        <v>174</v>
      </c>
      <c r="C775" s="41" t="str">
        <f t="array" ref="C775">+INDEX(Partidas!$A:$J,MATCH('Resultados dashboard'!$B775,Partidas!$C:$C,0),3+COUNTIF($B$2:B775,'Resultados dashboard'!$B775))</f>
        <v>Hugo</v>
      </c>
      <c r="D775" s="54">
        <v>4</v>
      </c>
      <c r="E775" s="54">
        <v>1</v>
      </c>
      <c r="F775" s="54">
        <v>1</v>
      </c>
      <c r="G775" s="53"/>
      <c r="H775" s="38">
        <f t="shared" si="7"/>
        <v>7</v>
      </c>
      <c r="I775" s="38">
        <f t="shared" si="6"/>
        <v>3</v>
      </c>
      <c r="J775" s="55"/>
    </row>
    <row r="776" spans="1:10" ht="12.75" customHeight="1" x14ac:dyDescent="0.2">
      <c r="A776" s="50">
        <f t="array" ref="A776">+INDEX(Partidas!$A:$J,MATCH('Resultados dashboard'!$B776,Partidas!$C:$C,0),2)</f>
        <v>45573</v>
      </c>
      <c r="B776" s="56">
        <f>+IF(COUNTIF($B$2:B775,B775)=VLOOKUP(B775,Partidas!$C:$J,8,0),B775+1,B775)</f>
        <v>175</v>
      </c>
      <c r="C776" s="41" t="str">
        <f t="array" ref="C776">+INDEX(Partidas!$A:$J,MATCH('Resultados dashboard'!$B776,Partidas!$C:$C,0),3+COUNTIF($B$2:B776,'Resultados dashboard'!$B776))</f>
        <v>Gallo</v>
      </c>
      <c r="D776" s="54">
        <v>9</v>
      </c>
      <c r="E776" s="53"/>
      <c r="F776" s="54"/>
      <c r="G776" s="53"/>
      <c r="H776" s="38">
        <f t="shared" si="7"/>
        <v>9</v>
      </c>
      <c r="I776" s="38">
        <f t="shared" si="6"/>
        <v>2</v>
      </c>
      <c r="J776" s="55"/>
    </row>
    <row r="777" spans="1:10" ht="12.75" customHeight="1" x14ac:dyDescent="0.2">
      <c r="A777" s="50">
        <f t="array" ref="A777">+INDEX(Partidas!$A:$J,MATCH('Resultados dashboard'!$B777,Partidas!$C:$C,0),2)</f>
        <v>45573</v>
      </c>
      <c r="B777" s="56">
        <f>+IF(COUNTIF($B$2:B776,B776)=VLOOKUP(B776,Partidas!$C:$J,8,0),B776+1,B776)</f>
        <v>175</v>
      </c>
      <c r="C777" s="41" t="str">
        <f t="array" ref="C777">+INDEX(Partidas!$A:$J,MATCH('Resultados dashboard'!$B777,Partidas!$C:$C,0),3+COUNTIF($B$2:B777,'Resultados dashboard'!$B777))</f>
        <v>Ivo</v>
      </c>
      <c r="D777" s="54">
        <v>5</v>
      </c>
      <c r="E777" s="53"/>
      <c r="F777" s="54">
        <v>1</v>
      </c>
      <c r="G777" s="53"/>
      <c r="H777" s="38">
        <f t="shared" si="7"/>
        <v>7</v>
      </c>
      <c r="I777" s="38">
        <f t="shared" si="6"/>
        <v>3</v>
      </c>
      <c r="J777" s="55"/>
    </row>
    <row r="778" spans="1:10" ht="12.75" customHeight="1" x14ac:dyDescent="0.2">
      <c r="A778" s="50">
        <f t="array" ref="A778">+INDEX(Partidas!$A:$J,MATCH('Resultados dashboard'!$B778,Partidas!$C:$C,0),2)</f>
        <v>45573</v>
      </c>
      <c r="B778" s="56">
        <f>+IF(COUNTIF($B$2:B777,B777)=VLOOKUP(B777,Partidas!$C:$J,8,0),B777+1,B777)</f>
        <v>175</v>
      </c>
      <c r="C778" s="41" t="str">
        <f t="array" ref="C778">+INDEX(Partidas!$A:$J,MATCH('Resultados dashboard'!$B778,Partidas!$C:$C,0),3+COUNTIF($B$2:B778,'Resultados dashboard'!$B778))</f>
        <v>Max</v>
      </c>
      <c r="D778" s="54">
        <v>4</v>
      </c>
      <c r="E778" s="54">
        <v>1</v>
      </c>
      <c r="F778" s="53"/>
      <c r="G778" s="53"/>
      <c r="H778" s="38">
        <f t="shared" si="7"/>
        <v>5</v>
      </c>
      <c r="I778" s="38">
        <f t="shared" si="6"/>
        <v>5</v>
      </c>
      <c r="J778" s="55"/>
    </row>
    <row r="779" spans="1:10" ht="12.75" customHeight="1" x14ac:dyDescent="0.2">
      <c r="A779" s="50">
        <f t="array" ref="A779">+INDEX(Partidas!$A:$J,MATCH('Resultados dashboard'!$B779,Partidas!$C:$C,0),2)</f>
        <v>45573</v>
      </c>
      <c r="B779" s="56">
        <f>+IF(COUNTIF($B$2:B778,B778)=VLOOKUP(B778,Partidas!$C:$J,8,0),B778+1,B778)</f>
        <v>175</v>
      </c>
      <c r="C779" s="41" t="str">
        <f t="array" ref="C779">+INDEX(Partidas!$A:$J,MATCH('Resultados dashboard'!$B779,Partidas!$C:$C,0),3+COUNTIF($B$2:B779,'Resultados dashboard'!$B779))</f>
        <v>Gaspa</v>
      </c>
      <c r="D779" s="54">
        <v>5</v>
      </c>
      <c r="E779" s="54">
        <v>1</v>
      </c>
      <c r="F779" s="53"/>
      <c r="G779" s="53"/>
      <c r="H779" s="38">
        <f t="shared" si="7"/>
        <v>6</v>
      </c>
      <c r="I779" s="38">
        <f t="shared" si="6"/>
        <v>4</v>
      </c>
      <c r="J779" s="55"/>
    </row>
    <row r="780" spans="1:10" ht="12.75" customHeight="1" x14ac:dyDescent="0.2">
      <c r="A780" s="50">
        <f t="array" ref="A780">+INDEX(Partidas!$A:$J,MATCH('Resultados dashboard'!$B780,Partidas!$C:$C,0),2)</f>
        <v>45573</v>
      </c>
      <c r="B780" s="56">
        <f>+IF(COUNTIF($B$2:B779,B779)=VLOOKUP(B779,Partidas!$C:$J,8,0),B779+1,B779)</f>
        <v>175</v>
      </c>
      <c r="C780" s="41" t="str">
        <f t="array" ref="C780">+INDEX(Partidas!$A:$J,MATCH('Resultados dashboard'!$B780,Partidas!$C:$C,0),3+COUNTIF($B$2:B780,'Resultados dashboard'!$B780))</f>
        <v>Hugo</v>
      </c>
      <c r="D780" s="54">
        <v>8</v>
      </c>
      <c r="E780" s="53"/>
      <c r="F780" s="53"/>
      <c r="G780" s="54">
        <v>1</v>
      </c>
      <c r="H780" s="38">
        <f t="shared" si="7"/>
        <v>10</v>
      </c>
      <c r="I780" s="38">
        <f t="shared" si="6"/>
        <v>1</v>
      </c>
      <c r="J780" s="55"/>
    </row>
    <row r="781" spans="1:10" ht="12.75" customHeight="1" x14ac:dyDescent="0.2">
      <c r="A781" s="50">
        <f t="array" ref="A781">+INDEX(Partidas!$A:$J,MATCH('Resultados dashboard'!$B781,Partidas!$C:$C,0),2)</f>
        <v>45592</v>
      </c>
      <c r="B781" s="56">
        <f>+IF(COUNTIF($B$2:B780,B780)=VLOOKUP(B780,Partidas!$C:$J,8,0),B780+1,B780)</f>
        <v>176</v>
      </c>
      <c r="C781" s="41" t="str">
        <f t="array" ref="C781">+INDEX(Partidas!$A:$J,MATCH('Resultados dashboard'!$B781,Partidas!$C:$C,0),3+COUNTIF($B$2:B781,'Resultados dashboard'!$B781))</f>
        <v>Ivo</v>
      </c>
      <c r="D781" s="54">
        <v>3</v>
      </c>
      <c r="E781" s="53"/>
      <c r="F781" s="53"/>
      <c r="G781" s="53"/>
      <c r="H781" s="38">
        <f t="shared" si="7"/>
        <v>3</v>
      </c>
      <c r="I781" s="38">
        <f t="shared" si="6"/>
        <v>4</v>
      </c>
      <c r="J781" s="55"/>
    </row>
    <row r="782" spans="1:10" ht="12.75" customHeight="1" x14ac:dyDescent="0.2">
      <c r="A782" s="50">
        <f t="array" ref="A782">+INDEX(Partidas!$A:$J,MATCH('Resultados dashboard'!$B782,Partidas!$C:$C,0),2)</f>
        <v>45592</v>
      </c>
      <c r="B782" s="56">
        <f>+IF(COUNTIF($B$2:B781,B781)=VLOOKUP(B781,Partidas!$C:$J,8,0),B781+1,B781)</f>
        <v>176</v>
      </c>
      <c r="C782" s="41" t="str">
        <f t="array" ref="C782">+INDEX(Partidas!$A:$J,MATCH('Resultados dashboard'!$B782,Partidas!$C:$C,0),3+COUNTIF($B$2:B782,'Resultados dashboard'!$B782))</f>
        <v>Max</v>
      </c>
      <c r="D782" s="54">
        <v>6</v>
      </c>
      <c r="E782" s="54">
        <v>2</v>
      </c>
      <c r="F782" s="54">
        <v>1</v>
      </c>
      <c r="G782" s="53"/>
      <c r="H782" s="38">
        <f t="shared" si="7"/>
        <v>10</v>
      </c>
      <c r="I782" s="38">
        <f t="shared" si="6"/>
        <v>1</v>
      </c>
      <c r="J782" s="55"/>
    </row>
    <row r="783" spans="1:10" ht="12.75" customHeight="1" x14ac:dyDescent="0.2">
      <c r="A783" s="50">
        <f t="array" ref="A783">+INDEX(Partidas!$A:$J,MATCH('Resultados dashboard'!$B783,Partidas!$C:$C,0),2)</f>
        <v>45592</v>
      </c>
      <c r="B783" s="56">
        <f>+IF(COUNTIF($B$2:B782,B782)=VLOOKUP(B782,Partidas!$C:$J,8,0),B782+1,B782)</f>
        <v>176</v>
      </c>
      <c r="C783" s="41" t="str">
        <f t="array" ref="C783">+INDEX(Partidas!$A:$J,MATCH('Resultados dashboard'!$B783,Partidas!$C:$C,0),3+COUNTIF($B$2:B783,'Resultados dashboard'!$B783))</f>
        <v>Gaspa</v>
      </c>
      <c r="D783" s="54">
        <v>3</v>
      </c>
      <c r="E783" s="53"/>
      <c r="F783" s="53"/>
      <c r="G783" s="54">
        <v>1</v>
      </c>
      <c r="H783" s="38">
        <f t="shared" si="7"/>
        <v>5</v>
      </c>
      <c r="I783" s="38">
        <f t="shared" si="6"/>
        <v>2</v>
      </c>
      <c r="J783" s="55"/>
    </row>
    <row r="784" spans="1:10" ht="12.75" customHeight="1" x14ac:dyDescent="0.2">
      <c r="A784" s="50">
        <f t="array" ref="A784">+INDEX(Partidas!$A:$J,MATCH('Resultados dashboard'!$B784,Partidas!$C:$C,0),2)</f>
        <v>45592</v>
      </c>
      <c r="B784" s="56">
        <f>+IF(COUNTIF($B$2:B783,B783)=VLOOKUP(B783,Partidas!$C:$J,8,0),B783+1,B783)</f>
        <v>176</v>
      </c>
      <c r="C784" s="41" t="str">
        <f t="array" ref="C784">+INDEX(Partidas!$A:$J,MATCH('Resultados dashboard'!$B784,Partidas!$C:$C,0),3+COUNTIF($B$2:B784,'Resultados dashboard'!$B784))</f>
        <v>Hugo</v>
      </c>
      <c r="D784" s="54">
        <v>3</v>
      </c>
      <c r="E784" s="54">
        <v>1</v>
      </c>
      <c r="F784" s="53"/>
      <c r="G784" s="53"/>
      <c r="H784" s="38">
        <f t="shared" si="7"/>
        <v>4</v>
      </c>
      <c r="I784" s="38">
        <f t="shared" si="6"/>
        <v>3</v>
      </c>
      <c r="J784" s="55"/>
    </row>
    <row r="785" spans="1:10" ht="12.75" customHeight="1" x14ac:dyDescent="0.2">
      <c r="A785" s="50">
        <f t="array" ref="A785">+INDEX(Partidas!$A:$J,MATCH('Resultados dashboard'!$B785,Partidas!$C:$C,0),2)</f>
        <v>45592</v>
      </c>
      <c r="B785" s="56">
        <f>+IF(COUNTIF($B$2:B784,B784)=VLOOKUP(B784,Partidas!$C:$J,8,0),B784+1,B784)</f>
        <v>177</v>
      </c>
      <c r="C785" s="41" t="str">
        <f t="array" ref="C785">+INDEX(Partidas!$A:$J,MATCH('Resultados dashboard'!$B785,Partidas!$C:$C,0),3+COUNTIF($B$2:B785,'Resultados dashboard'!$B785))</f>
        <v>Ivo</v>
      </c>
      <c r="D785" s="54">
        <v>4</v>
      </c>
      <c r="E785" s="54">
        <v>2</v>
      </c>
      <c r="F785" s="53"/>
      <c r="G785" s="53"/>
      <c r="H785" s="38">
        <f t="shared" si="7"/>
        <v>6</v>
      </c>
      <c r="I785" s="38">
        <f t="shared" si="6"/>
        <v>3</v>
      </c>
      <c r="J785" s="55"/>
    </row>
    <row r="786" spans="1:10" ht="12.75" customHeight="1" x14ac:dyDescent="0.2">
      <c r="A786" s="50">
        <f t="array" ref="A786">+INDEX(Partidas!$A:$J,MATCH('Resultados dashboard'!$B786,Partidas!$C:$C,0),2)</f>
        <v>45592</v>
      </c>
      <c r="B786" s="56">
        <f>+IF(COUNTIF($B$2:B785,B785)=VLOOKUP(B785,Partidas!$C:$J,8,0),B785+1,B785)</f>
        <v>177</v>
      </c>
      <c r="C786" s="41" t="str">
        <f t="array" ref="C786">+INDEX(Partidas!$A:$J,MATCH('Resultados dashboard'!$B786,Partidas!$C:$C,0),3+COUNTIF($B$2:B786,'Resultados dashboard'!$B786))</f>
        <v>Max</v>
      </c>
      <c r="D786" s="54">
        <v>6</v>
      </c>
      <c r="E786" s="53"/>
      <c r="F786" s="53"/>
      <c r="G786" s="53"/>
      <c r="H786" s="38">
        <f t="shared" si="7"/>
        <v>6</v>
      </c>
      <c r="I786" s="38">
        <f t="shared" si="6"/>
        <v>3</v>
      </c>
      <c r="J786" s="55"/>
    </row>
    <row r="787" spans="1:10" ht="12.75" customHeight="1" x14ac:dyDescent="0.2">
      <c r="A787" s="50">
        <f t="array" ref="A787">+INDEX(Partidas!$A:$J,MATCH('Resultados dashboard'!$B787,Partidas!$C:$C,0),2)</f>
        <v>45592</v>
      </c>
      <c r="B787" s="56">
        <f>+IF(COUNTIF($B$2:B786,B786)=VLOOKUP(B786,Partidas!$C:$J,8,0),B786+1,B786)</f>
        <v>177</v>
      </c>
      <c r="C787" s="41" t="str">
        <f t="array" ref="C787">+INDEX(Partidas!$A:$J,MATCH('Resultados dashboard'!$B787,Partidas!$C:$C,0),3+COUNTIF($B$2:B787,'Resultados dashboard'!$B787))</f>
        <v>Gaspa</v>
      </c>
      <c r="D787" s="54">
        <v>6</v>
      </c>
      <c r="E787" s="54">
        <v>2</v>
      </c>
      <c r="F787" s="54">
        <v>1</v>
      </c>
      <c r="G787" s="53"/>
      <c r="H787" s="38">
        <f t="shared" si="7"/>
        <v>10</v>
      </c>
      <c r="I787" s="38">
        <f t="shared" si="6"/>
        <v>1</v>
      </c>
      <c r="J787" s="55"/>
    </row>
    <row r="788" spans="1:10" ht="12.75" customHeight="1" x14ac:dyDescent="0.2">
      <c r="A788" s="50">
        <f t="array" ref="A788">+INDEX(Partidas!$A:$J,MATCH('Resultados dashboard'!$B788,Partidas!$C:$C,0),2)</f>
        <v>45592</v>
      </c>
      <c r="B788" s="56">
        <f>+IF(COUNTIF($B$2:B787,B787)=VLOOKUP(B787,Partidas!$C:$J,8,0),B787+1,B787)</f>
        <v>177</v>
      </c>
      <c r="C788" s="41" t="str">
        <f t="array" ref="C788">+INDEX(Partidas!$A:$J,MATCH('Resultados dashboard'!$B788,Partidas!$C:$C,0),3+COUNTIF($B$2:B788,'Resultados dashboard'!$B788))</f>
        <v>Hugo</v>
      </c>
      <c r="D788" s="54">
        <v>6</v>
      </c>
      <c r="E788" s="54">
        <v>1</v>
      </c>
      <c r="F788" s="53"/>
      <c r="G788" s="54">
        <v>1</v>
      </c>
      <c r="H788" s="38">
        <f t="shared" si="7"/>
        <v>9</v>
      </c>
      <c r="I788" s="38">
        <f t="shared" si="6"/>
        <v>2</v>
      </c>
      <c r="J788" s="55"/>
    </row>
    <row r="789" spans="1:10" ht="12.75" customHeight="1" x14ac:dyDescent="0.2">
      <c r="A789" s="50">
        <f t="array" ref="A789">+INDEX(Partidas!$A:$J,MATCH('Resultados dashboard'!$B789,Partidas!$C:$C,0),2)</f>
        <v>45592</v>
      </c>
      <c r="B789" s="56">
        <f>+IF(COUNTIF($B$2:B788,B788)=VLOOKUP(B788,Partidas!$C:$J,8,0),B788+1,B788)</f>
        <v>178</v>
      </c>
      <c r="C789" s="41" t="str">
        <f t="array" ref="C789">+INDEX(Partidas!$A:$J,MATCH('Resultados dashboard'!$B789,Partidas!$C:$C,0),3+COUNTIF($B$2:B789,'Resultados dashboard'!$B789))</f>
        <v>Ivo</v>
      </c>
      <c r="D789" s="54">
        <v>7</v>
      </c>
      <c r="E789" s="53"/>
      <c r="F789" s="53"/>
      <c r="G789" s="53"/>
      <c r="H789" s="38">
        <f t="shared" si="7"/>
        <v>7</v>
      </c>
      <c r="I789" s="38">
        <f t="shared" si="6"/>
        <v>3</v>
      </c>
      <c r="J789" s="55"/>
    </row>
    <row r="790" spans="1:10" ht="12.75" customHeight="1" x14ac:dyDescent="0.2">
      <c r="A790" s="50">
        <f t="array" ref="A790">+INDEX(Partidas!$A:$J,MATCH('Resultados dashboard'!$B790,Partidas!$C:$C,0),2)</f>
        <v>45592</v>
      </c>
      <c r="B790" s="56">
        <f>+IF(COUNTIF($B$2:B789,B789)=VLOOKUP(B789,Partidas!$C:$J,8,0),B789+1,B789)</f>
        <v>178</v>
      </c>
      <c r="C790" s="41" t="str">
        <f t="array" ref="C790">+INDEX(Partidas!$A:$J,MATCH('Resultados dashboard'!$B790,Partidas!$C:$C,0),3+COUNTIF($B$2:B790,'Resultados dashboard'!$B790))</f>
        <v>Max</v>
      </c>
      <c r="D790" s="54">
        <v>5</v>
      </c>
      <c r="E790" s="54">
        <v>1</v>
      </c>
      <c r="F790" s="53"/>
      <c r="G790" s="53"/>
      <c r="H790" s="38">
        <f t="shared" si="7"/>
        <v>6</v>
      </c>
      <c r="I790" s="38">
        <f t="shared" si="6"/>
        <v>4</v>
      </c>
      <c r="J790" s="55"/>
    </row>
    <row r="791" spans="1:10" ht="12.75" customHeight="1" x14ac:dyDescent="0.2">
      <c r="A791" s="50">
        <f t="array" ref="A791">+INDEX(Partidas!$A:$J,MATCH('Resultados dashboard'!$B791,Partidas!$C:$C,0),2)</f>
        <v>45592</v>
      </c>
      <c r="B791" s="56">
        <f>+IF(COUNTIF($B$2:B790,B790)=VLOOKUP(B790,Partidas!$C:$J,8,0),B790+1,B790)</f>
        <v>178</v>
      </c>
      <c r="C791" s="41" t="str">
        <f t="array" ref="C791">+INDEX(Partidas!$A:$J,MATCH('Resultados dashboard'!$B791,Partidas!$C:$C,0),3+COUNTIF($B$2:B791,'Resultados dashboard'!$B791))</f>
        <v>Gaspa</v>
      </c>
      <c r="D791" s="54">
        <v>8</v>
      </c>
      <c r="E791" s="53"/>
      <c r="F791" s="53"/>
      <c r="G791" s="54">
        <v>1</v>
      </c>
      <c r="H791" s="38">
        <f t="shared" si="7"/>
        <v>10</v>
      </c>
      <c r="I791" s="38">
        <f t="shared" si="6"/>
        <v>1</v>
      </c>
      <c r="J791" s="55"/>
    </row>
    <row r="792" spans="1:10" ht="12.75" customHeight="1" x14ac:dyDescent="0.2">
      <c r="A792" s="50">
        <f t="array" ref="A792">+INDEX(Partidas!$A:$J,MATCH('Resultados dashboard'!$B792,Partidas!$C:$C,0),2)</f>
        <v>45592</v>
      </c>
      <c r="B792" s="56">
        <f>+IF(COUNTIF($B$2:B791,B791)=VLOOKUP(B791,Partidas!$C:$J,8,0),B791+1,B791)</f>
        <v>178</v>
      </c>
      <c r="C792" s="41" t="str">
        <f t="array" ref="C792">+INDEX(Partidas!$A:$J,MATCH('Resultados dashboard'!$B792,Partidas!$C:$C,0),3+COUNTIF($B$2:B792,'Resultados dashboard'!$B792))</f>
        <v>Hugo</v>
      </c>
      <c r="D792" s="54">
        <v>5</v>
      </c>
      <c r="E792" s="54">
        <v>1</v>
      </c>
      <c r="F792" s="54">
        <v>1</v>
      </c>
      <c r="G792" s="53"/>
      <c r="H792" s="38">
        <f t="shared" si="7"/>
        <v>8</v>
      </c>
      <c r="I792" s="38">
        <f t="shared" si="6"/>
        <v>2</v>
      </c>
      <c r="J792" s="55"/>
    </row>
    <row r="793" spans="1:10" ht="12.75" customHeight="1" x14ac:dyDescent="0.2">
      <c r="A793" s="50">
        <f t="array" ref="A793">+INDEX(Partidas!$A:$J,MATCH('Resultados dashboard'!$B793,Partidas!$C:$C,0),2)</f>
        <v>45592</v>
      </c>
      <c r="B793" s="56">
        <f>+IF(COUNTIF($B$2:B792,B792)=VLOOKUP(B792,Partidas!$C:$J,8,0),B792+1,B792)</f>
        <v>179</v>
      </c>
      <c r="C793" s="41" t="str">
        <f t="array" ref="C793">+INDEX(Partidas!$A:$J,MATCH('Resultados dashboard'!$B793,Partidas!$C:$C,0),3+COUNTIF($B$2:B793,'Resultados dashboard'!$B793))</f>
        <v>Ivo</v>
      </c>
      <c r="D793" s="54">
        <v>4</v>
      </c>
      <c r="E793" s="54">
        <v>2</v>
      </c>
      <c r="F793" s="53"/>
      <c r="G793" s="54">
        <v>1</v>
      </c>
      <c r="H793" s="38">
        <f t="shared" si="7"/>
        <v>8</v>
      </c>
      <c r="I793" s="38">
        <f t="shared" si="6"/>
        <v>2</v>
      </c>
      <c r="J793" s="55"/>
    </row>
    <row r="794" spans="1:10" ht="12.75" customHeight="1" x14ac:dyDescent="0.2">
      <c r="A794" s="50">
        <f t="array" ref="A794">+INDEX(Partidas!$A:$J,MATCH('Resultados dashboard'!$B794,Partidas!$C:$C,0),2)</f>
        <v>45592</v>
      </c>
      <c r="B794" s="56">
        <f>+IF(COUNTIF($B$2:B793,B793)=VLOOKUP(B793,Partidas!$C:$J,8,0),B793+1,B793)</f>
        <v>179</v>
      </c>
      <c r="C794" s="41" t="str">
        <f t="array" ref="C794">+INDEX(Partidas!$A:$J,MATCH('Resultados dashboard'!$B794,Partidas!$C:$C,0),3+COUNTIF($B$2:B794,'Resultados dashboard'!$B794))</f>
        <v>Max</v>
      </c>
      <c r="D794" s="54">
        <v>4</v>
      </c>
      <c r="E794" s="53"/>
      <c r="F794" s="53"/>
      <c r="G794" s="53"/>
      <c r="H794" s="38">
        <f t="shared" si="7"/>
        <v>4</v>
      </c>
      <c r="I794" s="38">
        <f t="shared" si="6"/>
        <v>4</v>
      </c>
      <c r="J794" s="55"/>
    </row>
    <row r="795" spans="1:10" ht="12.75" customHeight="1" x14ac:dyDescent="0.2">
      <c r="A795" s="50">
        <f t="array" ref="A795">+INDEX(Partidas!$A:$J,MATCH('Resultados dashboard'!$B795,Partidas!$C:$C,0),2)</f>
        <v>45592</v>
      </c>
      <c r="B795" s="56">
        <f>+IF(COUNTIF($B$2:B794,B794)=VLOOKUP(B794,Partidas!$C:$J,8,0),B794+1,B794)</f>
        <v>179</v>
      </c>
      <c r="C795" s="41" t="str">
        <f t="array" ref="C795">+INDEX(Partidas!$A:$J,MATCH('Resultados dashboard'!$B795,Partidas!$C:$C,0),3+COUNTIF($B$2:B795,'Resultados dashboard'!$B795))</f>
        <v>Gaspa</v>
      </c>
      <c r="D795" s="54">
        <v>8</v>
      </c>
      <c r="E795" s="53"/>
      <c r="F795" s="54">
        <v>1</v>
      </c>
      <c r="G795" s="53"/>
      <c r="H795" s="38">
        <f t="shared" si="7"/>
        <v>10</v>
      </c>
      <c r="I795" s="38">
        <f t="shared" si="6"/>
        <v>1</v>
      </c>
      <c r="J795" s="55"/>
    </row>
    <row r="796" spans="1:10" ht="12.75" customHeight="1" x14ac:dyDescent="0.2">
      <c r="A796" s="50">
        <f t="array" ref="A796">+INDEX(Partidas!$A:$J,MATCH('Resultados dashboard'!$B796,Partidas!$C:$C,0),2)</f>
        <v>45592</v>
      </c>
      <c r="B796" s="56">
        <f>+IF(COUNTIF($B$2:B795,B795)=VLOOKUP(B795,Partidas!$C:$J,8,0),B795+1,B795)</f>
        <v>179</v>
      </c>
      <c r="C796" s="41" t="str">
        <f t="array" ref="C796">+INDEX(Partidas!$A:$J,MATCH('Resultados dashboard'!$B796,Partidas!$C:$C,0),3+COUNTIF($B$2:B796,'Resultados dashboard'!$B796))</f>
        <v>Hugo</v>
      </c>
      <c r="D796" s="54">
        <v>5</v>
      </c>
      <c r="E796" s="54">
        <v>1</v>
      </c>
      <c r="F796" s="53"/>
      <c r="G796" s="53"/>
      <c r="H796" s="38">
        <f t="shared" si="7"/>
        <v>6</v>
      </c>
      <c r="I796" s="38">
        <f t="shared" si="6"/>
        <v>3</v>
      </c>
      <c r="J796" s="55"/>
    </row>
    <row r="797" spans="1:10" ht="12.75" customHeight="1" x14ac:dyDescent="0.2">
      <c r="A797" s="50">
        <f t="array" ref="A797">+INDEX(Partidas!$A:$J,MATCH('Resultados dashboard'!$B797,Partidas!$C:$C,0),2)</f>
        <v>45592</v>
      </c>
      <c r="B797" s="56">
        <f>+IF(COUNTIF($B$2:B796,B796)=VLOOKUP(B796,Partidas!$C:$J,8,0),B796+1,B796)</f>
        <v>180</v>
      </c>
      <c r="C797" s="41" t="str">
        <f t="array" ref="C797">+INDEX(Partidas!$A:$J,MATCH('Resultados dashboard'!$B797,Partidas!$C:$C,0),3+COUNTIF($B$2:B797,'Resultados dashboard'!$B797))</f>
        <v>Ivo</v>
      </c>
      <c r="D797" s="54">
        <v>6</v>
      </c>
      <c r="E797" s="53"/>
      <c r="F797" s="53"/>
      <c r="G797" s="53"/>
      <c r="H797" s="38">
        <f t="shared" si="7"/>
        <v>6</v>
      </c>
      <c r="I797" s="38">
        <f t="shared" si="6"/>
        <v>3</v>
      </c>
      <c r="J797" s="55"/>
    </row>
    <row r="798" spans="1:10" ht="12.75" customHeight="1" x14ac:dyDescent="0.2">
      <c r="A798" s="50">
        <f t="array" ref="A798">+INDEX(Partidas!$A:$J,MATCH('Resultados dashboard'!$B798,Partidas!$C:$C,0),2)</f>
        <v>45592</v>
      </c>
      <c r="B798" s="56">
        <f>+IF(COUNTIF($B$2:B797,B797)=VLOOKUP(B797,Partidas!$C:$J,8,0),B797+1,B797)</f>
        <v>180</v>
      </c>
      <c r="C798" s="41" t="str">
        <f t="array" ref="C798">+INDEX(Partidas!$A:$J,MATCH('Resultados dashboard'!$B798,Partidas!$C:$C,0),3+COUNTIF($B$2:B798,'Resultados dashboard'!$B798))</f>
        <v>Max</v>
      </c>
      <c r="D798" s="54">
        <v>5</v>
      </c>
      <c r="E798" s="54">
        <v>1</v>
      </c>
      <c r="F798" s="53"/>
      <c r="G798" s="54">
        <v>1</v>
      </c>
      <c r="H798" s="38">
        <f t="shared" si="7"/>
        <v>8</v>
      </c>
      <c r="I798" s="38">
        <f t="shared" si="6"/>
        <v>2</v>
      </c>
      <c r="J798" s="55"/>
    </row>
    <row r="799" spans="1:10" ht="12.75" customHeight="1" x14ac:dyDescent="0.2">
      <c r="A799" s="50">
        <f t="array" ref="A799">+INDEX(Partidas!$A:$J,MATCH('Resultados dashboard'!$B799,Partidas!$C:$C,0),2)</f>
        <v>45592</v>
      </c>
      <c r="B799" s="56">
        <f>+IF(COUNTIF($B$2:B798,B798)=VLOOKUP(B798,Partidas!$C:$J,8,0),B798+1,B798)</f>
        <v>180</v>
      </c>
      <c r="C799" s="41" t="str">
        <f t="array" ref="C799">+INDEX(Partidas!$A:$J,MATCH('Resultados dashboard'!$B799,Partidas!$C:$C,0),3+COUNTIF($B$2:B799,'Resultados dashboard'!$B799))</f>
        <v>Gaspa</v>
      </c>
      <c r="D799" s="54">
        <v>6</v>
      </c>
      <c r="E799" s="53"/>
      <c r="F799" s="53"/>
      <c r="G799" s="53"/>
      <c r="H799" s="38">
        <f t="shared" si="7"/>
        <v>6</v>
      </c>
      <c r="I799" s="38">
        <f t="shared" si="6"/>
        <v>3</v>
      </c>
      <c r="J799" s="55"/>
    </row>
    <row r="800" spans="1:10" ht="12.75" customHeight="1" x14ac:dyDescent="0.2">
      <c r="A800" s="50">
        <f t="array" ref="A800">+INDEX(Partidas!$A:$J,MATCH('Resultados dashboard'!$B800,Partidas!$C:$C,0),2)</f>
        <v>45592</v>
      </c>
      <c r="B800" s="56">
        <f>+IF(COUNTIF($B$2:B799,B799)=VLOOKUP(B799,Partidas!$C:$J,8,0),B799+1,B799)</f>
        <v>180</v>
      </c>
      <c r="C800" s="41" t="str">
        <f t="array" ref="C800">+INDEX(Partidas!$A:$J,MATCH('Resultados dashboard'!$B800,Partidas!$C:$C,0),3+COUNTIF($B$2:B800,'Resultados dashboard'!$B800))</f>
        <v>Hugo</v>
      </c>
      <c r="D800" s="54">
        <v>6</v>
      </c>
      <c r="E800" s="54">
        <v>2</v>
      </c>
      <c r="F800" s="54">
        <v>1</v>
      </c>
      <c r="G800" s="53"/>
      <c r="H800" s="38">
        <f t="shared" si="7"/>
        <v>10</v>
      </c>
      <c r="I800" s="38">
        <f t="shared" si="6"/>
        <v>1</v>
      </c>
      <c r="J800" s="55"/>
    </row>
    <row r="801" spans="1:10" ht="12.75" customHeight="1" x14ac:dyDescent="0.2">
      <c r="A801" s="50">
        <f t="array" ref="A801">+INDEX(Partidas!$A:$J,MATCH('Resultados dashboard'!$B801,Partidas!$C:$C,0),2)</f>
        <v>45603</v>
      </c>
      <c r="B801" s="56">
        <f>+IF(COUNTIF($B$2:B800,B800)=VLOOKUP(B800,Partidas!$C:$J,8,0),B800+1,B800)</f>
        <v>181</v>
      </c>
      <c r="C801" s="41" t="str">
        <f t="array" ref="C801">+INDEX(Partidas!$A:$J,MATCH('Resultados dashboard'!$B801,Partidas!$C:$C,0),3+COUNTIF($B$2:B801,'Resultados dashboard'!$B801))</f>
        <v>Gallo</v>
      </c>
      <c r="D801" s="54">
        <v>7</v>
      </c>
      <c r="E801" s="54">
        <v>1</v>
      </c>
      <c r="F801" s="54">
        <v>1</v>
      </c>
      <c r="G801" s="53"/>
      <c r="H801" s="38">
        <f t="shared" si="7"/>
        <v>10</v>
      </c>
      <c r="I801" s="38">
        <f t="shared" si="6"/>
        <v>1</v>
      </c>
      <c r="J801" s="55"/>
    </row>
    <row r="802" spans="1:10" ht="12.75" customHeight="1" x14ac:dyDescent="0.2">
      <c r="A802" s="50">
        <f t="array" ref="A802">+INDEX(Partidas!$A:$J,MATCH('Resultados dashboard'!$B802,Partidas!$C:$C,0),2)</f>
        <v>45603</v>
      </c>
      <c r="B802" s="56">
        <f>+IF(COUNTIF($B$2:B801,B801)=VLOOKUP(B801,Partidas!$C:$J,8,0),B801+1,B801)</f>
        <v>181</v>
      </c>
      <c r="C802" s="41" t="str">
        <f t="array" ref="C802">+INDEX(Partidas!$A:$J,MATCH('Resultados dashboard'!$B802,Partidas!$C:$C,0),3+COUNTIF($B$2:B802,'Resultados dashboard'!$B802))</f>
        <v>Ivo</v>
      </c>
      <c r="D802" s="54">
        <v>4</v>
      </c>
      <c r="E802" s="54">
        <v>2</v>
      </c>
      <c r="F802" s="53"/>
      <c r="G802" s="53"/>
      <c r="H802" s="38">
        <f t="shared" si="7"/>
        <v>6</v>
      </c>
      <c r="I802" s="38">
        <f t="shared" si="6"/>
        <v>4</v>
      </c>
      <c r="J802" s="55"/>
    </row>
    <row r="803" spans="1:10" ht="12.75" customHeight="1" x14ac:dyDescent="0.2">
      <c r="A803" s="50">
        <f t="array" ref="A803">+INDEX(Partidas!$A:$J,MATCH('Resultados dashboard'!$B803,Partidas!$C:$C,0),2)</f>
        <v>45603</v>
      </c>
      <c r="B803" s="56">
        <f>+IF(COUNTIF($B$2:B802,B802)=VLOOKUP(B802,Partidas!$C:$J,8,0),B802+1,B802)</f>
        <v>181</v>
      </c>
      <c r="C803" s="41" t="str">
        <f t="array" ref="C803">+INDEX(Partidas!$A:$J,MATCH('Resultados dashboard'!$B803,Partidas!$C:$C,0),3+COUNTIF($B$2:B803,'Resultados dashboard'!$B803))</f>
        <v>Max</v>
      </c>
      <c r="D803" s="54">
        <v>8</v>
      </c>
      <c r="E803" s="53"/>
      <c r="F803" s="53"/>
      <c r="G803" s="53"/>
      <c r="H803" s="38">
        <f t="shared" si="7"/>
        <v>8</v>
      </c>
      <c r="I803" s="38">
        <f t="shared" si="6"/>
        <v>2</v>
      </c>
      <c r="J803" s="55"/>
    </row>
    <row r="804" spans="1:10" ht="12.75" customHeight="1" x14ac:dyDescent="0.2">
      <c r="A804" s="50">
        <f t="array" ref="A804">+INDEX(Partidas!$A:$J,MATCH('Resultados dashboard'!$B804,Partidas!$C:$C,0),2)</f>
        <v>45603</v>
      </c>
      <c r="B804" s="56">
        <f>+IF(COUNTIF($B$2:B803,B803)=VLOOKUP(B803,Partidas!$C:$J,8,0),B803+1,B803)</f>
        <v>181</v>
      </c>
      <c r="C804" s="41" t="str">
        <f t="array" ref="C804">+INDEX(Partidas!$A:$J,MATCH('Resultados dashboard'!$B804,Partidas!$C:$C,0),3+COUNTIF($B$2:B804,'Resultados dashboard'!$B804))</f>
        <v>Hugo</v>
      </c>
      <c r="D804" s="54">
        <v>5</v>
      </c>
      <c r="E804" s="54">
        <v>1</v>
      </c>
      <c r="F804" s="53"/>
      <c r="G804" s="54">
        <v>1</v>
      </c>
      <c r="H804" s="38">
        <f t="shared" si="7"/>
        <v>8</v>
      </c>
      <c r="I804" s="38">
        <f t="shared" si="6"/>
        <v>2</v>
      </c>
      <c r="J804" s="55"/>
    </row>
    <row r="805" spans="1:10" ht="12.75" customHeight="1" x14ac:dyDescent="0.2">
      <c r="A805" s="50">
        <f t="array" ref="A805">+INDEX(Partidas!$A:$J,MATCH('Resultados dashboard'!$B805,Partidas!$C:$C,0),2)</f>
        <v>45603</v>
      </c>
      <c r="B805" s="56">
        <f>+IF(COUNTIF($B$2:B804,B804)=VLOOKUP(B804,Partidas!$C:$J,8,0),B804+1,B804)</f>
        <v>182</v>
      </c>
      <c r="C805" s="41" t="str">
        <f t="array" ref="C805">+INDEX(Partidas!$A:$J,MATCH('Resultados dashboard'!$B805,Partidas!$C:$C,0),3+COUNTIF($B$2:B805,'Resultados dashboard'!$B805))</f>
        <v>Gallo</v>
      </c>
      <c r="D805" s="54">
        <v>6</v>
      </c>
      <c r="E805" s="53"/>
      <c r="F805" s="53"/>
      <c r="G805" s="53"/>
      <c r="H805" s="38">
        <f t="shared" si="7"/>
        <v>6</v>
      </c>
      <c r="I805" s="38">
        <f t="shared" si="6"/>
        <v>4</v>
      </c>
      <c r="J805" s="55"/>
    </row>
    <row r="806" spans="1:10" ht="12.75" customHeight="1" x14ac:dyDescent="0.2">
      <c r="A806" s="50">
        <f t="array" ref="A806">+INDEX(Partidas!$A:$J,MATCH('Resultados dashboard'!$B806,Partidas!$C:$C,0),2)</f>
        <v>45603</v>
      </c>
      <c r="B806" s="56">
        <f>+IF(COUNTIF($B$2:B805,B805)=VLOOKUP(B805,Partidas!$C:$J,8,0),B805+1,B805)</f>
        <v>182</v>
      </c>
      <c r="C806" s="41" t="str">
        <f t="array" ref="C806">+INDEX(Partidas!$A:$J,MATCH('Resultados dashboard'!$B806,Partidas!$C:$C,0),3+COUNTIF($B$2:B806,'Resultados dashboard'!$B806))</f>
        <v>Ivo</v>
      </c>
      <c r="D806" s="54">
        <v>4</v>
      </c>
      <c r="E806" s="54">
        <v>1</v>
      </c>
      <c r="F806" s="54">
        <v>1</v>
      </c>
      <c r="G806" s="53"/>
      <c r="H806" s="38">
        <f t="shared" si="7"/>
        <v>7</v>
      </c>
      <c r="I806" s="38">
        <f t="shared" si="6"/>
        <v>2</v>
      </c>
      <c r="J806" s="55"/>
    </row>
    <row r="807" spans="1:10" ht="12.75" customHeight="1" x14ac:dyDescent="0.2">
      <c r="A807" s="50">
        <f t="array" ref="A807">+INDEX(Partidas!$A:$J,MATCH('Resultados dashboard'!$B807,Partidas!$C:$C,0),2)</f>
        <v>45603</v>
      </c>
      <c r="B807" s="56">
        <f>+IF(COUNTIF($B$2:B806,B806)=VLOOKUP(B806,Partidas!$C:$J,8,0),B806+1,B806)</f>
        <v>182</v>
      </c>
      <c r="C807" s="41" t="str">
        <f t="array" ref="C807">+INDEX(Partidas!$A:$J,MATCH('Resultados dashboard'!$B807,Partidas!$C:$C,0),3+COUNTIF($B$2:B807,'Resultados dashboard'!$B807))</f>
        <v>Max</v>
      </c>
      <c r="D807" s="54">
        <v>6</v>
      </c>
      <c r="E807" s="54">
        <v>1</v>
      </c>
      <c r="F807" s="53"/>
      <c r="G807" s="53"/>
      <c r="H807" s="38">
        <f t="shared" si="7"/>
        <v>7</v>
      </c>
      <c r="I807" s="38">
        <f t="shared" si="6"/>
        <v>2</v>
      </c>
      <c r="J807" s="55"/>
    </row>
    <row r="808" spans="1:10" ht="12.75" customHeight="1" x14ac:dyDescent="0.2">
      <c r="A808" s="50">
        <f t="array" ref="A808">+INDEX(Partidas!$A:$J,MATCH('Resultados dashboard'!$B808,Partidas!$C:$C,0),2)</f>
        <v>45603</v>
      </c>
      <c r="B808" s="56">
        <f>+IF(COUNTIF($B$2:B807,B807)=VLOOKUP(B807,Partidas!$C:$J,8,0),B807+1,B807)</f>
        <v>182</v>
      </c>
      <c r="C808" s="41" t="str">
        <f t="array" ref="C808">+INDEX(Partidas!$A:$J,MATCH('Resultados dashboard'!$B808,Partidas!$C:$C,0),3+COUNTIF($B$2:B808,'Resultados dashboard'!$B808))</f>
        <v>Hugo</v>
      </c>
      <c r="D808" s="54">
        <v>8</v>
      </c>
      <c r="E808" s="53"/>
      <c r="F808" s="53"/>
      <c r="G808" s="54">
        <v>1</v>
      </c>
      <c r="H808" s="38">
        <f t="shared" si="7"/>
        <v>10</v>
      </c>
      <c r="I808" s="38">
        <f t="shared" si="6"/>
        <v>1</v>
      </c>
      <c r="J808" s="55"/>
    </row>
    <row r="809" spans="1:10" ht="12.75" customHeight="1" x14ac:dyDescent="0.2">
      <c r="A809" s="50">
        <f t="array" ref="A809">+INDEX(Partidas!$A:$J,MATCH('Resultados dashboard'!$B809,Partidas!$C:$C,0),2)</f>
        <v>45603</v>
      </c>
      <c r="B809" s="56">
        <f>+IF(COUNTIF($B$2:B808,B808)=VLOOKUP(B808,Partidas!$C:$J,8,0),B808+1,B808)</f>
        <v>182</v>
      </c>
      <c r="C809" s="41" t="str">
        <f t="array" ref="C809">+INDEX(Partidas!$A:$J,MATCH('Resultados dashboard'!$B809,Partidas!$C:$C,0),3+COUNTIF($B$2:B809,'Resultados dashboard'!$B809))</f>
        <v>Sofi</v>
      </c>
      <c r="D809" s="54">
        <v>6</v>
      </c>
      <c r="E809" s="53"/>
      <c r="F809" s="53"/>
      <c r="G809" s="53"/>
      <c r="H809" s="38">
        <f t="shared" si="7"/>
        <v>6</v>
      </c>
      <c r="I809" s="38">
        <f t="shared" si="6"/>
        <v>4</v>
      </c>
      <c r="J809" s="55"/>
    </row>
    <row r="810" spans="1:10" ht="12.75" customHeight="1" x14ac:dyDescent="0.2">
      <c r="A810" s="50">
        <f t="array" ref="A810">+INDEX(Partidas!$A:$J,MATCH('Resultados dashboard'!$B810,Partidas!$C:$C,0),2)</f>
        <v>45610</v>
      </c>
      <c r="B810" s="56">
        <f>+IF(COUNTIF($B$2:B809,B809)=VLOOKUP(B809,Partidas!$C:$J,8,0),B809+1,B809)</f>
        <v>183</v>
      </c>
      <c r="C810" s="41" t="str">
        <f t="array" ref="C810">+INDEX(Partidas!$A:$J,MATCH('Resultados dashboard'!$B810,Partidas!$C:$C,0),3+COUNTIF($B$2:B810,'Resultados dashboard'!$B810))</f>
        <v>Gallo</v>
      </c>
      <c r="D810" s="54">
        <v>4</v>
      </c>
      <c r="E810" s="53"/>
      <c r="F810" s="53"/>
      <c r="G810" s="53"/>
      <c r="H810" s="38">
        <f t="shared" si="7"/>
        <v>4</v>
      </c>
      <c r="I810" s="38">
        <f t="shared" si="6"/>
        <v>2</v>
      </c>
      <c r="J810" s="55"/>
    </row>
    <row r="811" spans="1:10" ht="12.75" customHeight="1" x14ac:dyDescent="0.2">
      <c r="A811" s="50">
        <f t="array" ref="A811">+INDEX(Partidas!$A:$J,MATCH('Resultados dashboard'!$B811,Partidas!$C:$C,0),2)</f>
        <v>45610</v>
      </c>
      <c r="B811" s="56">
        <f>+IF(COUNTIF($B$2:B810,B810)=VLOOKUP(B810,Partidas!$C:$J,8,0),B810+1,B810)</f>
        <v>183</v>
      </c>
      <c r="C811" s="41" t="str">
        <f t="array" ref="C811">+INDEX(Partidas!$A:$J,MATCH('Resultados dashboard'!$B811,Partidas!$C:$C,0),3+COUNTIF($B$2:B811,'Resultados dashboard'!$B811))</f>
        <v>Ivo</v>
      </c>
      <c r="D811" s="54">
        <v>8</v>
      </c>
      <c r="E811" s="53"/>
      <c r="F811" s="53"/>
      <c r="G811" s="54">
        <v>1</v>
      </c>
      <c r="H811" s="38">
        <f t="shared" si="7"/>
        <v>10</v>
      </c>
      <c r="I811" s="38">
        <f t="shared" si="6"/>
        <v>1</v>
      </c>
      <c r="J811" s="55"/>
    </row>
    <row r="812" spans="1:10" ht="12.75" customHeight="1" x14ac:dyDescent="0.2">
      <c r="A812" s="50">
        <f t="array" ref="A812">+INDEX(Partidas!$A:$J,MATCH('Resultados dashboard'!$B812,Partidas!$C:$C,0),2)</f>
        <v>45610</v>
      </c>
      <c r="B812" s="56">
        <f>+IF(COUNTIF($B$2:B811,B811)=VLOOKUP(B811,Partidas!$C:$J,8,0),B811+1,B811)</f>
        <v>183</v>
      </c>
      <c r="C812" s="41" t="str">
        <f t="array" ref="C812">+INDEX(Partidas!$A:$J,MATCH('Resultados dashboard'!$B812,Partidas!$C:$C,0),3+COUNTIF($B$2:B812,'Resultados dashboard'!$B812))</f>
        <v>Max</v>
      </c>
      <c r="D812" s="54">
        <v>3</v>
      </c>
      <c r="E812" s="53"/>
      <c r="F812" s="53"/>
      <c r="G812" s="53"/>
      <c r="H812" s="38">
        <f t="shared" si="7"/>
        <v>3</v>
      </c>
      <c r="I812" s="38">
        <f t="shared" si="6"/>
        <v>3</v>
      </c>
      <c r="J812" s="55"/>
    </row>
    <row r="813" spans="1:10" ht="12.75" customHeight="1" x14ac:dyDescent="0.2">
      <c r="A813" s="50">
        <f t="array" ref="A813">+INDEX(Partidas!$A:$J,MATCH('Resultados dashboard'!$B813,Partidas!$C:$C,0),2)</f>
        <v>45610</v>
      </c>
      <c r="B813" s="56">
        <f>+IF(COUNTIF($B$2:B812,B812)=VLOOKUP(B812,Partidas!$C:$J,8,0),B812+1,B812)</f>
        <v>183</v>
      </c>
      <c r="C813" s="41" t="str">
        <f t="array" ref="C813">+INDEX(Partidas!$A:$J,MATCH('Resultados dashboard'!$B813,Partidas!$C:$C,0),3+COUNTIF($B$2:B813,'Resultados dashboard'!$B813))</f>
        <v>Hugo</v>
      </c>
      <c r="D813" s="54">
        <v>3</v>
      </c>
      <c r="E813" s="53"/>
      <c r="F813" s="53"/>
      <c r="G813" s="53"/>
      <c r="H813" s="38">
        <f t="shared" si="7"/>
        <v>3</v>
      </c>
      <c r="I813" s="38">
        <f t="shared" si="6"/>
        <v>3</v>
      </c>
      <c r="J813" s="55"/>
    </row>
    <row r="814" spans="1:10" ht="12.75" customHeight="1" x14ac:dyDescent="0.2">
      <c r="A814" s="50">
        <f t="array" ref="A814">+INDEX(Partidas!$A:$J,MATCH('Resultados dashboard'!$B814,Partidas!$C:$C,0),2)</f>
        <v>45610</v>
      </c>
      <c r="B814" s="56">
        <f>+IF(COUNTIF($B$2:B813,B813)=VLOOKUP(B813,Partidas!$C:$J,8,0),B813+1,B813)</f>
        <v>183</v>
      </c>
      <c r="C814" s="41" t="str">
        <f t="array" ref="C814">+INDEX(Partidas!$A:$J,MATCH('Resultados dashboard'!$B814,Partidas!$C:$C,0),3+COUNTIF($B$2:B814,'Resultados dashboard'!$B814))</f>
        <v>Moch</v>
      </c>
      <c r="D814" s="54">
        <v>3</v>
      </c>
      <c r="E814" s="53"/>
      <c r="F814" s="53"/>
      <c r="G814" s="53"/>
      <c r="H814" s="38">
        <f t="shared" si="7"/>
        <v>3</v>
      </c>
      <c r="I814" s="38">
        <f t="shared" si="6"/>
        <v>3</v>
      </c>
      <c r="J814" s="55"/>
    </row>
    <row r="815" spans="1:10" ht="12.75" customHeight="1" x14ac:dyDescent="0.2">
      <c r="A815" s="50">
        <f t="array" ref="A815">+INDEX(Partidas!$A:$J,MATCH('Resultados dashboard'!$B815,Partidas!$C:$C,0),2)</f>
        <v>45610</v>
      </c>
      <c r="B815" s="56">
        <f>+IF(COUNTIF($B$2:B814,B814)=VLOOKUP(B814,Partidas!$C:$J,8,0),B814+1,B814)</f>
        <v>184</v>
      </c>
      <c r="C815" s="41" t="str">
        <f t="array" ref="C815">+INDEX(Partidas!$A:$J,MATCH('Resultados dashboard'!$B815,Partidas!$C:$C,0),3+COUNTIF($B$2:B815,'Resultados dashboard'!$B815))</f>
        <v>Gallo</v>
      </c>
      <c r="D815" s="54">
        <v>5</v>
      </c>
      <c r="E815" s="54">
        <v>1</v>
      </c>
      <c r="F815" s="53"/>
      <c r="G815" s="53"/>
      <c r="H815" s="38">
        <f t="shared" si="7"/>
        <v>6</v>
      </c>
      <c r="I815" s="38">
        <f t="shared" si="6"/>
        <v>4</v>
      </c>
      <c r="J815" s="55"/>
    </row>
    <row r="816" spans="1:10" ht="12.75" customHeight="1" x14ac:dyDescent="0.2">
      <c r="A816" s="50">
        <f t="array" ref="A816">+INDEX(Partidas!$A:$J,MATCH('Resultados dashboard'!$B816,Partidas!$C:$C,0),2)</f>
        <v>45610</v>
      </c>
      <c r="B816" s="56">
        <f>+IF(COUNTIF($B$2:B815,B815)=VLOOKUP(B815,Partidas!$C:$J,8,0),B815+1,B815)</f>
        <v>184</v>
      </c>
      <c r="C816" s="41" t="str">
        <f t="array" ref="C816">+INDEX(Partidas!$A:$J,MATCH('Resultados dashboard'!$B816,Partidas!$C:$C,0),3+COUNTIF($B$2:B816,'Resultados dashboard'!$B816))</f>
        <v>Ivo</v>
      </c>
      <c r="D816" s="54">
        <v>7</v>
      </c>
      <c r="E816" s="53"/>
      <c r="F816" s="54">
        <v>1</v>
      </c>
      <c r="G816" s="53"/>
      <c r="H816" s="38">
        <f t="shared" si="7"/>
        <v>9</v>
      </c>
      <c r="I816" s="38">
        <f t="shared" si="6"/>
        <v>2</v>
      </c>
      <c r="J816" s="55"/>
    </row>
    <row r="817" spans="1:10" ht="12.75" customHeight="1" x14ac:dyDescent="0.2">
      <c r="A817" s="50">
        <f t="array" ref="A817">+INDEX(Partidas!$A:$J,MATCH('Resultados dashboard'!$B817,Partidas!$C:$C,0),2)</f>
        <v>45610</v>
      </c>
      <c r="B817" s="56">
        <f>+IF(COUNTIF($B$2:B816,B816)=VLOOKUP(B816,Partidas!$C:$J,8,0),B816+1,B816)</f>
        <v>184</v>
      </c>
      <c r="C817" s="41" t="str">
        <f t="array" ref="C817">+INDEX(Partidas!$A:$J,MATCH('Resultados dashboard'!$B817,Partidas!$C:$C,0),3+COUNTIF($B$2:B817,'Resultados dashboard'!$B817))</f>
        <v>Max</v>
      </c>
      <c r="D817" s="54">
        <v>8</v>
      </c>
      <c r="E817" s="53"/>
      <c r="F817" s="53"/>
      <c r="G817" s="54">
        <v>1</v>
      </c>
      <c r="H817" s="38">
        <f t="shared" si="7"/>
        <v>10</v>
      </c>
      <c r="I817" s="38">
        <f t="shared" si="6"/>
        <v>1</v>
      </c>
      <c r="J817" s="55"/>
    </row>
    <row r="818" spans="1:10" ht="12.75" customHeight="1" x14ac:dyDescent="0.2">
      <c r="A818" s="50">
        <f t="array" ref="A818">+INDEX(Partidas!$A:$J,MATCH('Resultados dashboard'!$B818,Partidas!$C:$C,0),2)</f>
        <v>45610</v>
      </c>
      <c r="B818" s="56">
        <f>+IF(COUNTIF($B$2:B817,B817)=VLOOKUP(B817,Partidas!$C:$J,8,0),B817+1,B817)</f>
        <v>184</v>
      </c>
      <c r="C818" s="41" t="str">
        <f t="array" ref="C818">+INDEX(Partidas!$A:$J,MATCH('Resultados dashboard'!$B818,Partidas!$C:$C,0),3+COUNTIF($B$2:B818,'Resultados dashboard'!$B818))</f>
        <v>Hugo</v>
      </c>
      <c r="D818" s="54">
        <v>7</v>
      </c>
      <c r="E818" s="53"/>
      <c r="F818" s="53"/>
      <c r="G818" s="53"/>
      <c r="H818" s="38">
        <f t="shared" si="7"/>
        <v>7</v>
      </c>
      <c r="I818" s="38">
        <f t="shared" si="6"/>
        <v>3</v>
      </c>
      <c r="J818" s="55"/>
    </row>
    <row r="819" spans="1:10" ht="12.75" customHeight="1" x14ac:dyDescent="0.2">
      <c r="A819" s="50">
        <f t="array" ref="A819">+INDEX(Partidas!$A:$J,MATCH('Resultados dashboard'!$B819,Partidas!$C:$C,0),2)</f>
        <v>45610</v>
      </c>
      <c r="B819" s="56">
        <f>+IF(COUNTIF($B$2:B818,B818)=VLOOKUP(B818,Partidas!$C:$J,8,0),B818+1,B818)</f>
        <v>184</v>
      </c>
      <c r="C819" s="41" t="str">
        <f t="array" ref="C819">+INDEX(Partidas!$A:$J,MATCH('Resultados dashboard'!$B819,Partidas!$C:$C,0),3+COUNTIF($B$2:B819,'Resultados dashboard'!$B819))</f>
        <v>Moch</v>
      </c>
      <c r="D819" s="54">
        <v>6</v>
      </c>
      <c r="E819" s="53"/>
      <c r="F819" s="53"/>
      <c r="G819" s="53"/>
      <c r="H819" s="38">
        <f t="shared" si="7"/>
        <v>6</v>
      </c>
      <c r="I819" s="38">
        <f t="shared" si="6"/>
        <v>4</v>
      </c>
      <c r="J819" s="55"/>
    </row>
    <row r="820" spans="1:10" ht="12.75" customHeight="1" x14ac:dyDescent="0.2">
      <c r="A820" s="50">
        <f t="array" ref="A820">+INDEX(Partidas!$A:$J,MATCH('Resultados dashboard'!$B820,Partidas!$C:$C,0),2)</f>
        <v>45610</v>
      </c>
      <c r="B820" s="56">
        <f>+IF(COUNTIF($B$2:B819,B819)=VLOOKUP(B819,Partidas!$C:$J,8,0),B819+1,B819)</f>
        <v>185</v>
      </c>
      <c r="C820" s="41" t="str">
        <f t="array" ref="C820">+INDEX(Partidas!$A:$J,MATCH('Resultados dashboard'!$B820,Partidas!$C:$C,0),3+COUNTIF($B$2:B820,'Resultados dashboard'!$B820))</f>
        <v>Gallo</v>
      </c>
      <c r="D820" s="54">
        <v>5</v>
      </c>
      <c r="E820" s="54">
        <v>1</v>
      </c>
      <c r="F820" s="53"/>
      <c r="G820" s="53"/>
      <c r="H820" s="38">
        <f t="shared" si="7"/>
        <v>6</v>
      </c>
      <c r="I820" s="38">
        <f t="shared" si="6"/>
        <v>3</v>
      </c>
      <c r="J820" s="55"/>
    </row>
    <row r="821" spans="1:10" ht="12.75" customHeight="1" x14ac:dyDescent="0.2">
      <c r="A821" s="50">
        <f t="array" ref="A821">+INDEX(Partidas!$A:$J,MATCH('Resultados dashboard'!$B821,Partidas!$C:$C,0),2)</f>
        <v>45610</v>
      </c>
      <c r="B821" s="56">
        <f>+IF(COUNTIF($B$2:B820,B820)=VLOOKUP(B820,Partidas!$C:$J,8,0),B820+1,B820)</f>
        <v>185</v>
      </c>
      <c r="C821" s="41" t="str">
        <f t="array" ref="C821">+INDEX(Partidas!$A:$J,MATCH('Resultados dashboard'!$B821,Partidas!$C:$C,0),3+COUNTIF($B$2:B821,'Resultados dashboard'!$B821))</f>
        <v>Ivo</v>
      </c>
      <c r="D821" s="54">
        <v>6</v>
      </c>
      <c r="E821" s="53"/>
      <c r="F821" s="53"/>
      <c r="G821" s="53"/>
      <c r="H821" s="38">
        <f t="shared" si="7"/>
        <v>6</v>
      </c>
      <c r="I821" s="38">
        <f t="shared" si="6"/>
        <v>3</v>
      </c>
      <c r="J821" s="55"/>
    </row>
    <row r="822" spans="1:10" ht="12.75" customHeight="1" x14ac:dyDescent="0.2">
      <c r="A822" s="50">
        <f t="array" ref="A822">+INDEX(Partidas!$A:$J,MATCH('Resultados dashboard'!$B822,Partidas!$C:$C,0),2)</f>
        <v>45610</v>
      </c>
      <c r="B822" s="56">
        <f>+IF(COUNTIF($B$2:B821,B821)=VLOOKUP(B821,Partidas!$C:$J,8,0),B821+1,B821)</f>
        <v>185</v>
      </c>
      <c r="C822" s="41" t="str">
        <f t="array" ref="C822">+INDEX(Partidas!$A:$J,MATCH('Resultados dashboard'!$B822,Partidas!$C:$C,0),3+COUNTIF($B$2:B822,'Resultados dashboard'!$B822))</f>
        <v>Max</v>
      </c>
      <c r="D822" s="54">
        <v>4</v>
      </c>
      <c r="E822" s="54">
        <v>1</v>
      </c>
      <c r="F822" s="53"/>
      <c r="G822" s="53"/>
      <c r="H822" s="38">
        <f t="shared" si="7"/>
        <v>5</v>
      </c>
      <c r="I822" s="38">
        <f t="shared" si="6"/>
        <v>6</v>
      </c>
      <c r="J822" s="55"/>
    </row>
    <row r="823" spans="1:10" ht="12.75" customHeight="1" x14ac:dyDescent="0.2">
      <c r="A823" s="50">
        <f t="array" ref="A823">+INDEX(Partidas!$A:$J,MATCH('Resultados dashboard'!$B823,Partidas!$C:$C,0),2)</f>
        <v>45610</v>
      </c>
      <c r="B823" s="56">
        <f>+IF(COUNTIF($B$2:B822,B822)=VLOOKUP(B822,Partidas!$C:$J,8,0),B822+1,B822)</f>
        <v>185</v>
      </c>
      <c r="C823" s="41" t="str">
        <f t="array" ref="C823">+INDEX(Partidas!$A:$J,MATCH('Resultados dashboard'!$B823,Partidas!$C:$C,0),3+COUNTIF($B$2:B823,'Resultados dashboard'!$B823))</f>
        <v>Hugo</v>
      </c>
      <c r="D823" s="54">
        <v>5</v>
      </c>
      <c r="E823" s="54">
        <v>1</v>
      </c>
      <c r="F823" s="54">
        <v>1</v>
      </c>
      <c r="G823" s="53"/>
      <c r="H823" s="38">
        <f t="shared" si="7"/>
        <v>8</v>
      </c>
      <c r="I823" s="38">
        <f t="shared" si="6"/>
        <v>2</v>
      </c>
      <c r="J823" s="55"/>
    </row>
    <row r="824" spans="1:10" ht="12.75" customHeight="1" x14ac:dyDescent="0.2">
      <c r="A824" s="50">
        <f t="array" ref="A824">+INDEX(Partidas!$A:$J,MATCH('Resultados dashboard'!$B824,Partidas!$C:$C,0),2)</f>
        <v>45610</v>
      </c>
      <c r="B824" s="56">
        <f>+IF(COUNTIF($B$2:B823,B823)=VLOOKUP(B823,Partidas!$C:$J,8,0),B823+1,B823)</f>
        <v>185</v>
      </c>
      <c r="C824" s="41" t="str">
        <f t="array" ref="C824">+INDEX(Partidas!$A:$J,MATCH('Resultados dashboard'!$B824,Partidas!$C:$C,0),3+COUNTIF($B$2:B824,'Resultados dashboard'!$B824))</f>
        <v>Gaspa</v>
      </c>
      <c r="D824" s="54">
        <v>7</v>
      </c>
      <c r="E824" s="54">
        <v>1</v>
      </c>
      <c r="F824" s="53"/>
      <c r="G824" s="54">
        <v>1</v>
      </c>
      <c r="H824" s="38">
        <f t="shared" si="7"/>
        <v>10</v>
      </c>
      <c r="I824" s="38">
        <f t="shared" si="6"/>
        <v>1</v>
      </c>
      <c r="J824" s="55"/>
    </row>
    <row r="825" spans="1:10" ht="12.75" customHeight="1" x14ac:dyDescent="0.2">
      <c r="A825" s="50">
        <f t="array" ref="A825">+INDEX(Partidas!$A:$J,MATCH('Resultados dashboard'!$B825,Partidas!$C:$C,0),2)</f>
        <v>45610</v>
      </c>
      <c r="B825" s="56">
        <f>+IF(COUNTIF($B$2:B824,B824)=VLOOKUP(B824,Partidas!$C:$J,8,0),B824+1,B824)</f>
        <v>185</v>
      </c>
      <c r="C825" s="41" t="str">
        <f t="array" ref="C825">+INDEX(Partidas!$A:$J,MATCH('Resultados dashboard'!$B825,Partidas!$C:$C,0),3+COUNTIF($B$2:B825,'Resultados dashboard'!$B825))</f>
        <v>Moch</v>
      </c>
      <c r="D825" s="54">
        <v>6</v>
      </c>
      <c r="E825" s="53"/>
      <c r="F825" s="53"/>
      <c r="G825" s="53"/>
      <c r="H825" s="38">
        <f t="shared" si="7"/>
        <v>6</v>
      </c>
      <c r="I825" s="38">
        <f t="shared" si="6"/>
        <v>3</v>
      </c>
      <c r="J825" s="55"/>
    </row>
    <row r="826" spans="1:10" ht="12.75" customHeight="1" x14ac:dyDescent="0.2">
      <c r="A826" s="50">
        <f t="array" ref="A826">+INDEX(Partidas!$A:$J,MATCH('Resultados dashboard'!$B826,Partidas!$C:$C,0),2)</f>
        <v>45626</v>
      </c>
      <c r="B826" s="56">
        <f>+IF(COUNTIF($B$2:B825,B825)=VLOOKUP(B825,Partidas!$C:$J,8,0),B825+1,B825)</f>
        <v>186</v>
      </c>
      <c r="C826" s="41" t="str">
        <f t="array" ref="C826">+INDEX(Partidas!$A:$J,MATCH('Resultados dashboard'!$B826,Partidas!$C:$C,0),3+COUNTIF($B$2:B826,'Resultados dashboard'!$B826))</f>
        <v>Gallo</v>
      </c>
      <c r="D826" s="54">
        <v>5</v>
      </c>
      <c r="E826" s="54">
        <v>3</v>
      </c>
      <c r="F826" s="54">
        <v>1</v>
      </c>
      <c r="G826" s="53"/>
      <c r="H826" s="38">
        <f t="shared" si="7"/>
        <v>10</v>
      </c>
      <c r="I826" s="38">
        <f t="shared" si="6"/>
        <v>1</v>
      </c>
      <c r="J826" s="55"/>
    </row>
    <row r="827" spans="1:10" ht="12.75" customHeight="1" x14ac:dyDescent="0.2">
      <c r="A827" s="50">
        <f t="array" ref="A827">+INDEX(Partidas!$A:$J,MATCH('Resultados dashboard'!$B827,Partidas!$C:$C,0),2)</f>
        <v>45626</v>
      </c>
      <c r="B827" s="56">
        <f>+IF(COUNTIF($B$2:B826,B826)=VLOOKUP(B826,Partidas!$C:$J,8,0),B826+1,B826)</f>
        <v>186</v>
      </c>
      <c r="C827" s="41" t="str">
        <f t="array" ref="C827">+INDEX(Partidas!$A:$J,MATCH('Resultados dashboard'!$B827,Partidas!$C:$C,0),3+COUNTIF($B$2:B827,'Resultados dashboard'!$B827))</f>
        <v>Ivo</v>
      </c>
      <c r="D827" s="54">
        <v>8</v>
      </c>
      <c r="E827" s="54">
        <v>1</v>
      </c>
      <c r="F827" s="53"/>
      <c r="G827" s="53"/>
      <c r="H827" s="38">
        <f t="shared" si="7"/>
        <v>9</v>
      </c>
      <c r="I827" s="38">
        <f t="shared" si="6"/>
        <v>2</v>
      </c>
      <c r="J827" s="55"/>
    </row>
    <row r="828" spans="1:10" ht="12.75" customHeight="1" x14ac:dyDescent="0.2">
      <c r="A828" s="50">
        <f t="array" ref="A828">+INDEX(Partidas!$A:$J,MATCH('Resultados dashboard'!$B828,Partidas!$C:$C,0),2)</f>
        <v>45626</v>
      </c>
      <c r="B828" s="56">
        <f>+IF(COUNTIF($B$2:B827,B827)=VLOOKUP(B827,Partidas!$C:$J,8,0),B827+1,B827)</f>
        <v>186</v>
      </c>
      <c r="C828" s="41" t="str">
        <f t="array" ref="C828">+INDEX(Partidas!$A:$J,MATCH('Resultados dashboard'!$B828,Partidas!$C:$C,0),3+COUNTIF($B$2:B828,'Resultados dashboard'!$B828))</f>
        <v>Max</v>
      </c>
      <c r="D828" s="54">
        <v>5</v>
      </c>
      <c r="E828" s="53"/>
      <c r="F828" s="53"/>
      <c r="G828" s="54">
        <v>1</v>
      </c>
      <c r="H828" s="38">
        <f t="shared" si="7"/>
        <v>7</v>
      </c>
      <c r="I828" s="38">
        <f t="shared" si="6"/>
        <v>3</v>
      </c>
      <c r="J828" s="55"/>
    </row>
    <row r="829" spans="1:10" ht="12.75" customHeight="1" x14ac:dyDescent="0.2">
      <c r="A829" s="50">
        <f t="array" ref="A829">+INDEX(Partidas!$A:$J,MATCH('Resultados dashboard'!$B829,Partidas!$C:$C,0),2)</f>
        <v>45626</v>
      </c>
      <c r="B829" s="56">
        <f>+IF(COUNTIF($B$2:B828,B828)=VLOOKUP(B828,Partidas!$C:$J,8,0),B828+1,B828)</f>
        <v>186</v>
      </c>
      <c r="C829" s="41" t="str">
        <f t="array" ref="C829">+INDEX(Partidas!$A:$J,MATCH('Resultados dashboard'!$B829,Partidas!$C:$C,0),3+COUNTIF($B$2:B829,'Resultados dashboard'!$B829))</f>
        <v>Gaspa</v>
      </c>
      <c r="D829" s="54">
        <v>5</v>
      </c>
      <c r="E829" s="53"/>
      <c r="F829" s="53"/>
      <c r="G829" s="53"/>
      <c r="H829" s="38">
        <f t="shared" si="7"/>
        <v>5</v>
      </c>
      <c r="I829" s="38">
        <f t="shared" si="6"/>
        <v>4</v>
      </c>
      <c r="J829" s="55"/>
    </row>
    <row r="830" spans="1:10" ht="12.75" customHeight="1" x14ac:dyDescent="0.2">
      <c r="A830" s="50">
        <f t="array" ref="A830">+INDEX(Partidas!$A:$J,MATCH('Resultados dashboard'!$B830,Partidas!$C:$C,0),2)</f>
        <v>45626</v>
      </c>
      <c r="B830" s="56">
        <f>+IF(COUNTIF($B$2:B829,B829)=VLOOKUP(B829,Partidas!$C:$J,8,0),B829+1,B829)</f>
        <v>187</v>
      </c>
      <c r="C830" s="41" t="str">
        <f t="array" ref="C830">+INDEX(Partidas!$A:$J,MATCH('Resultados dashboard'!$B830,Partidas!$C:$C,0),3+COUNTIF($B$2:B830,'Resultados dashboard'!$B830))</f>
        <v>Gallo</v>
      </c>
      <c r="D830" s="54">
        <v>6</v>
      </c>
      <c r="E830" s="54">
        <v>2</v>
      </c>
      <c r="F830" s="54">
        <v>1</v>
      </c>
      <c r="G830" s="53"/>
      <c r="H830" s="38">
        <f t="shared" si="7"/>
        <v>10</v>
      </c>
      <c r="I830" s="38">
        <f t="shared" si="6"/>
        <v>1</v>
      </c>
      <c r="J830" s="55"/>
    </row>
    <row r="831" spans="1:10" ht="12.75" customHeight="1" x14ac:dyDescent="0.2">
      <c r="A831" s="50">
        <f t="array" ref="A831">+INDEX(Partidas!$A:$J,MATCH('Resultados dashboard'!$B831,Partidas!$C:$C,0),2)</f>
        <v>45626</v>
      </c>
      <c r="B831" s="56">
        <f>+IF(COUNTIF($B$2:B830,B830)=VLOOKUP(B830,Partidas!$C:$J,8,0),B830+1,B830)</f>
        <v>187</v>
      </c>
      <c r="C831" s="41" t="str">
        <f t="array" ref="C831">+INDEX(Partidas!$A:$J,MATCH('Resultados dashboard'!$B831,Partidas!$C:$C,0),3+COUNTIF($B$2:B831,'Resultados dashboard'!$B831))</f>
        <v>Ivo</v>
      </c>
      <c r="D831" s="54">
        <v>5</v>
      </c>
      <c r="E831" s="53"/>
      <c r="F831" s="53"/>
      <c r="G831" s="54">
        <v>1</v>
      </c>
      <c r="H831" s="38">
        <f t="shared" si="7"/>
        <v>7</v>
      </c>
      <c r="I831" s="38">
        <f t="shared" si="6"/>
        <v>2</v>
      </c>
      <c r="J831" s="55"/>
    </row>
    <row r="832" spans="1:10" ht="12.75" customHeight="1" x14ac:dyDescent="0.2">
      <c r="A832" s="50">
        <f t="array" ref="A832">+INDEX(Partidas!$A:$J,MATCH('Resultados dashboard'!$B832,Partidas!$C:$C,0),2)</f>
        <v>45626</v>
      </c>
      <c r="B832" s="56">
        <f>+IF(COUNTIF($B$2:B831,B831)=VLOOKUP(B831,Partidas!$C:$J,8,0),B831+1,B831)</f>
        <v>187</v>
      </c>
      <c r="C832" s="41" t="str">
        <f t="array" ref="C832">+INDEX(Partidas!$A:$J,MATCH('Resultados dashboard'!$B832,Partidas!$C:$C,0),3+COUNTIF($B$2:B832,'Resultados dashboard'!$B832))</f>
        <v>Max</v>
      </c>
      <c r="D832" s="54">
        <v>6</v>
      </c>
      <c r="E832" s="53"/>
      <c r="F832" s="53"/>
      <c r="G832" s="53"/>
      <c r="H832" s="38">
        <f t="shared" si="7"/>
        <v>6</v>
      </c>
      <c r="I832" s="38">
        <f t="shared" si="6"/>
        <v>4</v>
      </c>
      <c r="J832" s="55"/>
    </row>
    <row r="833" spans="1:10" ht="12.75" customHeight="1" x14ac:dyDescent="0.2">
      <c r="A833" s="50">
        <f t="array" ref="A833">+INDEX(Partidas!$A:$J,MATCH('Resultados dashboard'!$B833,Partidas!$C:$C,0),2)</f>
        <v>45626</v>
      </c>
      <c r="B833" s="56">
        <f>+IF(COUNTIF($B$2:B832,B832)=VLOOKUP(B832,Partidas!$C:$J,8,0),B832+1,B832)</f>
        <v>187</v>
      </c>
      <c r="C833" s="41" t="str">
        <f t="array" ref="C833">+INDEX(Partidas!$A:$J,MATCH('Resultados dashboard'!$B833,Partidas!$C:$C,0),3+COUNTIF($B$2:B833,'Resultados dashboard'!$B833))</f>
        <v>Gaspa</v>
      </c>
      <c r="D833" s="54">
        <v>7</v>
      </c>
      <c r="E833" s="53"/>
      <c r="F833" s="53"/>
      <c r="G833" s="53"/>
      <c r="H833" s="38">
        <f t="shared" si="7"/>
        <v>7</v>
      </c>
      <c r="I833" s="38">
        <f t="shared" si="6"/>
        <v>2</v>
      </c>
      <c r="J833" s="55"/>
    </row>
    <row r="834" spans="1:10" ht="12.75" customHeight="1" x14ac:dyDescent="0.2">
      <c r="A834" s="50">
        <f t="array" ref="A834">+INDEX(Partidas!$A:$J,MATCH('Resultados dashboard'!$B834,Partidas!$C:$C,0),2)</f>
        <v>45626</v>
      </c>
      <c r="B834" s="56">
        <f>+IF(COUNTIF($B$2:B833,B833)=VLOOKUP(B833,Partidas!$C:$J,8,0),B833+1,B833)</f>
        <v>188</v>
      </c>
      <c r="C834" s="41" t="str">
        <f t="array" ref="C834">+INDEX(Partidas!$A:$J,MATCH('Resultados dashboard'!$B834,Partidas!$C:$C,0),3+COUNTIF($B$2:B834,'Resultados dashboard'!$B834))</f>
        <v>Gallo</v>
      </c>
      <c r="D834" s="54">
        <v>10</v>
      </c>
      <c r="E834" s="53"/>
      <c r="F834" s="53"/>
      <c r="G834" s="53"/>
      <c r="H834" s="38">
        <f t="shared" si="7"/>
        <v>10</v>
      </c>
      <c r="I834" s="38">
        <f t="shared" si="6"/>
        <v>1</v>
      </c>
      <c r="J834" s="55"/>
    </row>
    <row r="835" spans="1:10" ht="12.75" customHeight="1" x14ac:dyDescent="0.2">
      <c r="A835" s="50">
        <f t="array" ref="A835">+INDEX(Partidas!$A:$J,MATCH('Resultados dashboard'!$B835,Partidas!$C:$C,0),2)</f>
        <v>45626</v>
      </c>
      <c r="B835" s="56">
        <f>+IF(COUNTIF($B$2:B834,B834)=VLOOKUP(B834,Partidas!$C:$J,8,0),B834+1,B834)</f>
        <v>188</v>
      </c>
      <c r="C835" s="41" t="str">
        <f t="array" ref="C835">+INDEX(Partidas!$A:$J,MATCH('Resultados dashboard'!$B835,Partidas!$C:$C,0),3+COUNTIF($B$2:B835,'Resultados dashboard'!$B835))</f>
        <v>Ivo</v>
      </c>
      <c r="D835" s="54">
        <v>4</v>
      </c>
      <c r="E835" s="54">
        <v>1</v>
      </c>
      <c r="F835" s="54">
        <v>1</v>
      </c>
      <c r="G835" s="53"/>
      <c r="H835" s="38">
        <f t="shared" si="7"/>
        <v>7</v>
      </c>
      <c r="I835" s="38">
        <f t="shared" si="6"/>
        <v>2</v>
      </c>
      <c r="J835" s="55"/>
    </row>
    <row r="836" spans="1:10" ht="12.75" customHeight="1" x14ac:dyDescent="0.2">
      <c r="A836" s="50">
        <f t="array" ref="A836">+INDEX(Partidas!$A:$J,MATCH('Resultados dashboard'!$B836,Partidas!$C:$C,0),2)</f>
        <v>45626</v>
      </c>
      <c r="B836" s="56">
        <f>+IF(COUNTIF($B$2:B835,B835)=VLOOKUP(B835,Partidas!$C:$J,8,0),B835+1,B835)</f>
        <v>188</v>
      </c>
      <c r="C836" s="41" t="str">
        <f t="array" ref="C836">+INDEX(Partidas!$A:$J,MATCH('Resultados dashboard'!$B836,Partidas!$C:$C,0),3+COUNTIF($B$2:B836,'Resultados dashboard'!$B836))</f>
        <v>Max</v>
      </c>
      <c r="D836" s="54">
        <v>4</v>
      </c>
      <c r="E836" s="53"/>
      <c r="F836" s="53"/>
      <c r="G836" s="54">
        <v>1</v>
      </c>
      <c r="H836" s="38">
        <f t="shared" si="7"/>
        <v>6</v>
      </c>
      <c r="I836" s="38">
        <f t="shared" si="6"/>
        <v>4</v>
      </c>
      <c r="J836" s="55"/>
    </row>
    <row r="837" spans="1:10" ht="12.75" customHeight="1" x14ac:dyDescent="0.2">
      <c r="A837" s="50">
        <f t="array" ref="A837">+INDEX(Partidas!$A:$J,MATCH('Resultados dashboard'!$B837,Partidas!$C:$C,0),2)</f>
        <v>45626</v>
      </c>
      <c r="B837" s="56">
        <f>+IF(COUNTIF($B$2:B836,B836)=VLOOKUP(B836,Partidas!$C:$J,8,0),B836+1,B836)</f>
        <v>188</v>
      </c>
      <c r="C837" s="41" t="str">
        <f t="array" ref="C837">+INDEX(Partidas!$A:$J,MATCH('Resultados dashboard'!$B837,Partidas!$C:$C,0),3+COUNTIF($B$2:B837,'Resultados dashboard'!$B837))</f>
        <v>Gaspa</v>
      </c>
      <c r="D837" s="54">
        <v>7</v>
      </c>
      <c r="E837" s="53"/>
      <c r="F837" s="53"/>
      <c r="G837" s="53"/>
      <c r="H837" s="38">
        <f t="shared" si="7"/>
        <v>7</v>
      </c>
      <c r="I837" s="38">
        <f t="shared" si="6"/>
        <v>2</v>
      </c>
      <c r="J837" s="55"/>
    </row>
    <row r="838" spans="1:10" ht="12.75" customHeight="1" x14ac:dyDescent="0.2">
      <c r="A838" s="50">
        <f t="array" ref="A838">+INDEX(Partidas!$A:$J,MATCH('Resultados dashboard'!$B838,Partidas!$C:$C,0),2)</f>
        <v>45626</v>
      </c>
      <c r="B838" s="56">
        <f>+IF(COUNTIF($B$2:B837,B837)=VLOOKUP(B837,Partidas!$C:$J,8,0),B837+1,B837)</f>
        <v>189</v>
      </c>
      <c r="C838" s="41" t="str">
        <f t="array" ref="C838">+INDEX(Partidas!$A:$J,MATCH('Resultados dashboard'!$B838,Partidas!$C:$C,0),3+COUNTIF($B$2:B838,'Resultados dashboard'!$B838))</f>
        <v>Gallo</v>
      </c>
      <c r="D838" s="54">
        <v>5</v>
      </c>
      <c r="E838" s="53"/>
      <c r="F838" s="53"/>
      <c r="G838" s="53"/>
      <c r="H838" s="38">
        <f t="shared" si="7"/>
        <v>5</v>
      </c>
      <c r="I838" s="38">
        <f t="shared" si="6"/>
        <v>4</v>
      </c>
      <c r="J838" s="55"/>
    </row>
    <row r="839" spans="1:10" ht="12.75" customHeight="1" x14ac:dyDescent="0.2">
      <c r="A839" s="50">
        <f t="array" ref="A839">+INDEX(Partidas!$A:$J,MATCH('Resultados dashboard'!$B839,Partidas!$C:$C,0),2)</f>
        <v>45626</v>
      </c>
      <c r="B839" s="56">
        <f>+IF(COUNTIF($B$2:B838,B838)=VLOOKUP(B838,Partidas!$C:$J,8,0),B838+1,B838)</f>
        <v>189</v>
      </c>
      <c r="C839" s="41" t="str">
        <f t="array" ref="C839">+INDEX(Partidas!$A:$J,MATCH('Resultados dashboard'!$B839,Partidas!$C:$C,0),3+COUNTIF($B$2:B839,'Resultados dashboard'!$B839))</f>
        <v>Ivo</v>
      </c>
      <c r="D839" s="54">
        <v>6</v>
      </c>
      <c r="E839" s="54">
        <v>1</v>
      </c>
      <c r="F839" s="53"/>
      <c r="G839" s="54">
        <v>1</v>
      </c>
      <c r="H839" s="38">
        <f t="shared" si="7"/>
        <v>9</v>
      </c>
      <c r="I839" s="38">
        <f t="shared" si="6"/>
        <v>2</v>
      </c>
      <c r="J839" s="55"/>
    </row>
    <row r="840" spans="1:10" ht="12.75" customHeight="1" x14ac:dyDescent="0.2">
      <c r="A840" s="50">
        <f t="array" ref="A840">+INDEX(Partidas!$A:$J,MATCH('Resultados dashboard'!$B840,Partidas!$C:$C,0),2)</f>
        <v>45626</v>
      </c>
      <c r="B840" s="56">
        <f>+IF(COUNTIF($B$2:B839,B839)=VLOOKUP(B839,Partidas!$C:$J,8,0),B839+1,B839)</f>
        <v>189</v>
      </c>
      <c r="C840" s="41" t="str">
        <f t="array" ref="C840">+INDEX(Partidas!$A:$J,MATCH('Resultados dashboard'!$B840,Partidas!$C:$C,0),3+COUNTIF($B$2:B840,'Resultados dashboard'!$B840))</f>
        <v>Max</v>
      </c>
      <c r="D840" s="54">
        <v>7</v>
      </c>
      <c r="E840" s="53"/>
      <c r="F840" s="53"/>
      <c r="G840" s="53"/>
      <c r="H840" s="38">
        <f t="shared" si="7"/>
        <v>7</v>
      </c>
      <c r="I840" s="38">
        <f t="shared" si="6"/>
        <v>3</v>
      </c>
      <c r="J840" s="55"/>
    </row>
    <row r="841" spans="1:10" ht="12.75" customHeight="1" x14ac:dyDescent="0.2">
      <c r="A841" s="50">
        <f t="array" ref="A841">+INDEX(Partidas!$A:$J,MATCH('Resultados dashboard'!$B841,Partidas!$C:$C,0),2)</f>
        <v>45626</v>
      </c>
      <c r="B841" s="56">
        <f>+IF(COUNTIF($B$2:B840,B840)=VLOOKUP(B840,Partidas!$C:$J,8,0),B840+1,B840)</f>
        <v>189</v>
      </c>
      <c r="C841" s="41" t="str">
        <f t="array" ref="C841">+INDEX(Partidas!$A:$J,MATCH('Resultados dashboard'!$B841,Partidas!$C:$C,0),3+COUNTIF($B$2:B841,'Resultados dashboard'!$B841))</f>
        <v>Gaspa</v>
      </c>
      <c r="D841" s="54">
        <v>6</v>
      </c>
      <c r="E841" s="54">
        <v>2</v>
      </c>
      <c r="F841" s="54">
        <v>1</v>
      </c>
      <c r="G841" s="53"/>
      <c r="H841" s="38">
        <f t="shared" si="7"/>
        <v>10</v>
      </c>
      <c r="I841" s="38">
        <f t="shared" si="6"/>
        <v>1</v>
      </c>
      <c r="J841" s="55"/>
    </row>
    <row r="842" spans="1:10" ht="12.75" customHeight="1" x14ac:dyDescent="0.2">
      <c r="A842" s="50">
        <f t="array" ref="A842">+INDEX(Partidas!$A:$J,MATCH('Resultados dashboard'!$B842,Partidas!$C:$C,0),2)</f>
        <v>45626</v>
      </c>
      <c r="B842" s="56">
        <f>+IF(COUNTIF($B$2:B841,B841)=VLOOKUP(B841,Partidas!$C:$J,8,0),B841+1,B841)</f>
        <v>190</v>
      </c>
      <c r="C842" s="41" t="str">
        <f t="array" ref="C842">+INDEX(Partidas!$A:$J,MATCH('Resultados dashboard'!$B842,Partidas!$C:$C,0),3+COUNTIF($B$2:B842,'Resultados dashboard'!$B842))</f>
        <v>Gallo</v>
      </c>
      <c r="D842" s="54">
        <v>7</v>
      </c>
      <c r="E842" s="53"/>
      <c r="F842" s="53"/>
      <c r="G842" s="54">
        <v>1</v>
      </c>
      <c r="H842" s="38">
        <f t="shared" si="7"/>
        <v>9</v>
      </c>
      <c r="I842" s="38">
        <f t="shared" si="6"/>
        <v>2</v>
      </c>
      <c r="J842" s="55"/>
    </row>
    <row r="843" spans="1:10" ht="12.75" customHeight="1" x14ac:dyDescent="0.2">
      <c r="A843" s="50">
        <f t="array" ref="A843">+INDEX(Partidas!$A:$J,MATCH('Resultados dashboard'!$B843,Partidas!$C:$C,0),2)</f>
        <v>45626</v>
      </c>
      <c r="B843" s="56">
        <f>+IF(COUNTIF($B$2:B842,B842)=VLOOKUP(B842,Partidas!$C:$J,8,0),B842+1,B842)</f>
        <v>190</v>
      </c>
      <c r="C843" s="41" t="str">
        <f t="array" ref="C843">+INDEX(Partidas!$A:$J,MATCH('Resultados dashboard'!$B843,Partidas!$C:$C,0),3+COUNTIF($B$2:B843,'Resultados dashboard'!$B843))</f>
        <v>Ivo</v>
      </c>
      <c r="D843" s="54">
        <v>5</v>
      </c>
      <c r="E843" s="53"/>
      <c r="F843" s="54">
        <v>1</v>
      </c>
      <c r="G843" s="53"/>
      <c r="H843" s="38">
        <f t="shared" si="7"/>
        <v>7</v>
      </c>
      <c r="I843" s="38">
        <f t="shared" si="6"/>
        <v>4</v>
      </c>
      <c r="J843" s="55"/>
    </row>
    <row r="844" spans="1:10" ht="12.75" customHeight="1" x14ac:dyDescent="0.2">
      <c r="A844" s="50">
        <f t="array" ref="A844">+INDEX(Partidas!$A:$J,MATCH('Resultados dashboard'!$B844,Partidas!$C:$C,0),2)</f>
        <v>45626</v>
      </c>
      <c r="B844" s="56">
        <f>+IF(COUNTIF($B$2:B843,B843)=VLOOKUP(B843,Partidas!$C:$J,8,0),B843+1,B843)</f>
        <v>190</v>
      </c>
      <c r="C844" s="41" t="str">
        <f t="array" ref="C844">+INDEX(Partidas!$A:$J,MATCH('Resultados dashboard'!$B844,Partidas!$C:$C,0),3+COUNTIF($B$2:B844,'Resultados dashboard'!$B844))</f>
        <v>Max</v>
      </c>
      <c r="D844" s="54">
        <v>9</v>
      </c>
      <c r="E844" s="54">
        <v>1</v>
      </c>
      <c r="F844" s="53"/>
      <c r="G844" s="53"/>
      <c r="H844" s="38">
        <f t="shared" si="7"/>
        <v>10</v>
      </c>
      <c r="I844" s="38">
        <f t="shared" si="6"/>
        <v>1</v>
      </c>
      <c r="J844" s="55"/>
    </row>
    <row r="845" spans="1:10" ht="12.75" customHeight="1" x14ac:dyDescent="0.2">
      <c r="A845" s="50">
        <f t="array" ref="A845">+INDEX(Partidas!$A:$J,MATCH('Resultados dashboard'!$B845,Partidas!$C:$C,0),2)</f>
        <v>45626</v>
      </c>
      <c r="B845" s="56">
        <f>+IF(COUNTIF($B$2:B844,B844)=VLOOKUP(B844,Partidas!$C:$J,8,0),B844+1,B844)</f>
        <v>190</v>
      </c>
      <c r="C845" s="41" t="str">
        <f t="array" ref="C845">+INDEX(Partidas!$A:$J,MATCH('Resultados dashboard'!$B845,Partidas!$C:$C,0),3+COUNTIF($B$2:B845,'Resultados dashboard'!$B845))</f>
        <v>Gaspa</v>
      </c>
      <c r="D845" s="54">
        <v>4</v>
      </c>
      <c r="E845" s="54">
        <v>4</v>
      </c>
      <c r="F845" s="53"/>
      <c r="G845" s="53"/>
      <c r="H845" s="38">
        <f t="shared" si="7"/>
        <v>8</v>
      </c>
      <c r="I845" s="38">
        <f t="shared" si="6"/>
        <v>3</v>
      </c>
      <c r="J845" s="55"/>
    </row>
    <row r="846" spans="1:10" ht="12.75" customHeight="1" x14ac:dyDescent="0.2">
      <c r="A846" s="50">
        <f t="array" ref="A846">+INDEX(Partidas!$A:$J,MATCH('Resultados dashboard'!$B846,Partidas!$C:$C,0),2)</f>
        <v>45628</v>
      </c>
      <c r="B846" s="56">
        <f>+IF(COUNTIF($B$2:B845,B845)=VLOOKUP(B845,Partidas!$C:$J,8,0),B845+1,B845)</f>
        <v>191</v>
      </c>
      <c r="C846" s="41" t="str">
        <f t="array" ref="C846">+INDEX(Partidas!$A:$J,MATCH('Resultados dashboard'!$B846,Partidas!$C:$C,0),3+COUNTIF($B$2:B846,'Resultados dashboard'!$B846))</f>
        <v>Gallo</v>
      </c>
      <c r="D846" s="54">
        <v>8</v>
      </c>
      <c r="E846" s="53"/>
      <c r="F846" s="53"/>
      <c r="G846" s="54">
        <v>1</v>
      </c>
      <c r="H846" s="38">
        <f t="shared" si="7"/>
        <v>10</v>
      </c>
      <c r="I846" s="38">
        <f t="shared" si="6"/>
        <v>1</v>
      </c>
      <c r="J846" s="55"/>
    </row>
    <row r="847" spans="1:10" ht="12.75" customHeight="1" x14ac:dyDescent="0.2">
      <c r="A847" s="50">
        <f t="array" ref="A847">+INDEX(Partidas!$A:$J,MATCH('Resultados dashboard'!$B847,Partidas!$C:$C,0),2)</f>
        <v>45628</v>
      </c>
      <c r="B847" s="56">
        <f>+IF(COUNTIF($B$2:B846,B846)=VLOOKUP(B846,Partidas!$C:$J,8,0),B846+1,B846)</f>
        <v>191</v>
      </c>
      <c r="C847" s="41" t="str">
        <f t="array" ref="C847">+INDEX(Partidas!$A:$J,MATCH('Resultados dashboard'!$B847,Partidas!$C:$C,0),3+COUNTIF($B$2:B847,'Resultados dashboard'!$B847))</f>
        <v>Ivo</v>
      </c>
      <c r="D847" s="54">
        <v>8</v>
      </c>
      <c r="E847" s="54">
        <v>1</v>
      </c>
      <c r="F847" s="53"/>
      <c r="G847" s="53"/>
      <c r="H847" s="38">
        <f t="shared" si="7"/>
        <v>9</v>
      </c>
      <c r="I847" s="38">
        <f t="shared" si="6"/>
        <v>2</v>
      </c>
      <c r="J847" s="55"/>
    </row>
    <row r="848" spans="1:10" ht="12.75" customHeight="1" x14ac:dyDescent="0.2">
      <c r="A848" s="50">
        <f t="array" ref="A848">+INDEX(Partidas!$A:$J,MATCH('Resultados dashboard'!$B848,Partidas!$C:$C,0),2)</f>
        <v>45628</v>
      </c>
      <c r="B848" s="56">
        <f>+IF(COUNTIF($B$2:B847,B847)=VLOOKUP(B847,Partidas!$C:$J,8,0),B847+1,B847)</f>
        <v>191</v>
      </c>
      <c r="C848" s="41" t="str">
        <f t="array" ref="C848">+INDEX(Partidas!$A:$J,MATCH('Resultados dashboard'!$B848,Partidas!$C:$C,0),3+COUNTIF($B$2:B848,'Resultados dashboard'!$B848))</f>
        <v>Max</v>
      </c>
      <c r="D848" s="54">
        <v>8</v>
      </c>
      <c r="E848" s="54">
        <v>1</v>
      </c>
      <c r="F848" s="53"/>
      <c r="G848" s="53"/>
      <c r="H848" s="38">
        <f t="shared" si="7"/>
        <v>9</v>
      </c>
      <c r="I848" s="38">
        <f t="shared" si="6"/>
        <v>2</v>
      </c>
      <c r="J848" s="55"/>
    </row>
    <row r="849" spans="1:10" ht="12.75" customHeight="1" x14ac:dyDescent="0.2">
      <c r="A849" s="50">
        <f t="array" ref="A849">+INDEX(Partidas!$A:$J,MATCH('Resultados dashboard'!$B849,Partidas!$C:$C,0),2)</f>
        <v>45628</v>
      </c>
      <c r="B849" s="56">
        <f>+IF(COUNTIF($B$2:B848,B848)=VLOOKUP(B848,Partidas!$C:$J,8,0),B848+1,B848)</f>
        <v>191</v>
      </c>
      <c r="C849" s="41" t="str">
        <f t="array" ref="C849">+INDEX(Partidas!$A:$J,MATCH('Resultados dashboard'!$B849,Partidas!$C:$C,0),3+COUNTIF($B$2:B849,'Resultados dashboard'!$B849))</f>
        <v>Gaspa</v>
      </c>
      <c r="D849" s="54">
        <v>4</v>
      </c>
      <c r="E849" s="54">
        <v>1</v>
      </c>
      <c r="F849" s="54">
        <v>1</v>
      </c>
      <c r="G849" s="53"/>
      <c r="H849" s="38">
        <f t="shared" si="7"/>
        <v>7</v>
      </c>
      <c r="I849" s="38">
        <f t="shared" si="6"/>
        <v>4</v>
      </c>
      <c r="J849" s="55"/>
    </row>
    <row r="850" spans="1:10" ht="12.75" customHeight="1" x14ac:dyDescent="0.2">
      <c r="A850" s="50">
        <f t="array" ref="A850">+INDEX(Partidas!$A:$J,MATCH('Resultados dashboard'!$B850,Partidas!$C:$C,0),2)</f>
        <v>45628</v>
      </c>
      <c r="B850" s="56">
        <f>+IF(COUNTIF($B$2:B849,B849)=VLOOKUP(B849,Partidas!$C:$J,8,0),B849+1,B849)</f>
        <v>191</v>
      </c>
      <c r="C850" s="41" t="str">
        <f t="array" ref="C850">+INDEX(Partidas!$A:$J,MATCH('Resultados dashboard'!$B850,Partidas!$C:$C,0),3+COUNTIF($B$2:B850,'Resultados dashboard'!$B850))</f>
        <v>Hugo</v>
      </c>
      <c r="D850" s="54">
        <v>7</v>
      </c>
      <c r="E850" s="53"/>
      <c r="F850" s="53"/>
      <c r="G850" s="53"/>
      <c r="H850" s="38">
        <f t="shared" si="7"/>
        <v>7</v>
      </c>
      <c r="I850" s="38">
        <f t="shared" si="6"/>
        <v>4</v>
      </c>
      <c r="J850" s="55"/>
    </row>
    <row r="851" spans="1:10" ht="12.75" customHeight="1" x14ac:dyDescent="0.2">
      <c r="A851" s="50">
        <f t="array" ref="A851">+INDEX(Partidas!$A:$J,MATCH('Resultados dashboard'!$B851,Partidas!$C:$C,0),2)</f>
        <v>45628</v>
      </c>
      <c r="B851" s="56">
        <f>+IF(COUNTIF($B$2:B850,B850)=VLOOKUP(B850,Partidas!$C:$J,8,0),B850+1,B850)</f>
        <v>192</v>
      </c>
      <c r="C851" s="41" t="str">
        <f t="array" ref="C851">+INDEX(Partidas!$A:$J,MATCH('Resultados dashboard'!$B851,Partidas!$C:$C,0),3+COUNTIF($B$2:B851,'Resultados dashboard'!$B851))</f>
        <v>Gallo</v>
      </c>
      <c r="D851" s="54">
        <v>6</v>
      </c>
      <c r="E851" s="53"/>
      <c r="F851" s="53"/>
      <c r="G851" s="54">
        <v>1</v>
      </c>
      <c r="H851" s="38">
        <f t="shared" si="7"/>
        <v>8</v>
      </c>
      <c r="I851" s="38">
        <f t="shared" si="6"/>
        <v>2</v>
      </c>
      <c r="J851" s="55"/>
    </row>
    <row r="852" spans="1:10" ht="12.75" customHeight="1" x14ac:dyDescent="0.2">
      <c r="A852" s="50">
        <f t="array" ref="A852">+INDEX(Partidas!$A:$J,MATCH('Resultados dashboard'!$B852,Partidas!$C:$C,0),2)</f>
        <v>45628</v>
      </c>
      <c r="B852" s="56">
        <f>+IF(COUNTIF($B$2:B851,B851)=VLOOKUP(B851,Partidas!$C:$J,8,0),B851+1,B851)</f>
        <v>192</v>
      </c>
      <c r="C852" s="41" t="str">
        <f t="array" ref="C852">+INDEX(Partidas!$A:$J,MATCH('Resultados dashboard'!$B852,Partidas!$C:$C,0),3+COUNTIF($B$2:B852,'Resultados dashboard'!$B852))</f>
        <v>Ivo</v>
      </c>
      <c r="D852" s="54">
        <v>6</v>
      </c>
      <c r="E852" s="54">
        <v>2</v>
      </c>
      <c r="F852" s="53"/>
      <c r="G852" s="53"/>
      <c r="H852" s="38">
        <f t="shared" si="7"/>
        <v>8</v>
      </c>
      <c r="I852" s="38">
        <f t="shared" si="6"/>
        <v>2</v>
      </c>
      <c r="J852" s="55"/>
    </row>
    <row r="853" spans="1:10" ht="12.75" customHeight="1" x14ac:dyDescent="0.2">
      <c r="A853" s="50">
        <f t="array" ref="A853">+INDEX(Partidas!$A:$J,MATCH('Resultados dashboard'!$B853,Partidas!$C:$C,0),2)</f>
        <v>45628</v>
      </c>
      <c r="B853" s="56">
        <f>+IF(COUNTIF($B$2:B852,B852)=VLOOKUP(B852,Partidas!$C:$J,8,0),B852+1,B852)</f>
        <v>192</v>
      </c>
      <c r="C853" s="41" t="str">
        <f t="array" ref="C853">+INDEX(Partidas!$A:$J,MATCH('Resultados dashboard'!$B853,Partidas!$C:$C,0),3+COUNTIF($B$2:B853,'Resultados dashboard'!$B853))</f>
        <v>Max</v>
      </c>
      <c r="D853" s="54">
        <v>6</v>
      </c>
      <c r="E853" s="54">
        <v>1</v>
      </c>
      <c r="F853" s="53"/>
      <c r="G853" s="53"/>
      <c r="H853" s="38">
        <f t="shared" si="7"/>
        <v>7</v>
      </c>
      <c r="I853" s="38">
        <f t="shared" si="6"/>
        <v>5</v>
      </c>
      <c r="J853" s="55"/>
    </row>
    <row r="854" spans="1:10" ht="12.75" customHeight="1" x14ac:dyDescent="0.2">
      <c r="A854" s="50">
        <f t="array" ref="A854">+INDEX(Partidas!$A:$J,MATCH('Resultados dashboard'!$B854,Partidas!$C:$C,0),2)</f>
        <v>45628</v>
      </c>
      <c r="B854" s="56">
        <f>+IF(COUNTIF($B$2:B853,B853)=VLOOKUP(B853,Partidas!$C:$J,8,0),B853+1,B853)</f>
        <v>192</v>
      </c>
      <c r="C854" s="41" t="str">
        <f t="array" ref="C854">+INDEX(Partidas!$A:$J,MATCH('Resultados dashboard'!$B854,Partidas!$C:$C,0),3+COUNTIF($B$2:B854,'Resultados dashboard'!$B854))</f>
        <v>Gaspa</v>
      </c>
      <c r="D854" s="54">
        <v>8</v>
      </c>
      <c r="E854" s="53"/>
      <c r="F854" s="54">
        <v>1</v>
      </c>
      <c r="G854" s="53"/>
      <c r="H854" s="38">
        <f t="shared" si="7"/>
        <v>10</v>
      </c>
      <c r="I854" s="38">
        <f t="shared" si="6"/>
        <v>1</v>
      </c>
      <c r="J854" s="55"/>
    </row>
    <row r="855" spans="1:10" ht="12.75" customHeight="1" x14ac:dyDescent="0.2">
      <c r="A855" s="50">
        <f t="array" ref="A855">+INDEX(Partidas!$A:$J,MATCH('Resultados dashboard'!$B855,Partidas!$C:$C,0),2)</f>
        <v>45628</v>
      </c>
      <c r="B855" s="56">
        <f>+IF(COUNTIF($B$2:B854,B854)=VLOOKUP(B854,Partidas!$C:$J,8,0),B854+1,B854)</f>
        <v>192</v>
      </c>
      <c r="C855" s="41" t="str">
        <f t="array" ref="C855">+INDEX(Partidas!$A:$J,MATCH('Resultados dashboard'!$B855,Partidas!$C:$C,0),3+COUNTIF($B$2:B855,'Resultados dashboard'!$B855))</f>
        <v>Hugo</v>
      </c>
      <c r="D855" s="54">
        <v>7</v>
      </c>
      <c r="E855" s="54">
        <v>1</v>
      </c>
      <c r="F855" s="53"/>
      <c r="G855" s="53"/>
      <c r="H855" s="38">
        <f t="shared" si="7"/>
        <v>8</v>
      </c>
      <c r="I855" s="38">
        <f t="shared" si="6"/>
        <v>2</v>
      </c>
      <c r="J855" s="55"/>
    </row>
    <row r="856" spans="1:10" ht="12.75" customHeight="1" x14ac:dyDescent="0.2">
      <c r="A856" s="50">
        <f t="array" ref="A856">+INDEX(Partidas!$A:$J,MATCH('Resultados dashboard'!$B856,Partidas!$C:$C,0),2)</f>
        <v>45628</v>
      </c>
      <c r="B856" s="56">
        <f>+IF(COUNTIF($B$2:B855,B855)=VLOOKUP(B855,Partidas!$C:$J,8,0),B855+1,B855)</f>
        <v>193</v>
      </c>
      <c r="C856" s="41" t="str">
        <f t="array" ref="C856">+INDEX(Partidas!$A:$J,MATCH('Resultados dashboard'!$B856,Partidas!$C:$C,0),3+COUNTIF($B$2:B856,'Resultados dashboard'!$B856))</f>
        <v>Gallo</v>
      </c>
      <c r="D856" s="54">
        <v>6</v>
      </c>
      <c r="E856" s="54">
        <v>1</v>
      </c>
      <c r="F856" s="53"/>
      <c r="G856" s="53"/>
      <c r="H856" s="38">
        <f t="shared" si="7"/>
        <v>7</v>
      </c>
      <c r="I856" s="38">
        <f t="shared" si="6"/>
        <v>2</v>
      </c>
      <c r="J856" s="55"/>
    </row>
    <row r="857" spans="1:10" ht="12.75" customHeight="1" x14ac:dyDescent="0.2">
      <c r="A857" s="50">
        <f t="array" ref="A857">+INDEX(Partidas!$A:$J,MATCH('Resultados dashboard'!$B857,Partidas!$C:$C,0),2)</f>
        <v>45628</v>
      </c>
      <c r="B857" s="56">
        <f>+IF(COUNTIF($B$2:B856,B856)=VLOOKUP(B856,Partidas!$C:$J,8,0),B856+1,B856)</f>
        <v>193</v>
      </c>
      <c r="C857" s="41" t="str">
        <f t="array" ref="C857">+INDEX(Partidas!$A:$J,MATCH('Resultados dashboard'!$B857,Partidas!$C:$C,0),3+COUNTIF($B$2:B857,'Resultados dashboard'!$B857))</f>
        <v>Ivo</v>
      </c>
      <c r="D857" s="54">
        <v>4</v>
      </c>
      <c r="E857" s="53"/>
      <c r="F857" s="53"/>
      <c r="G857" s="53"/>
      <c r="H857" s="38">
        <f t="shared" si="7"/>
        <v>4</v>
      </c>
      <c r="I857" s="38">
        <f t="shared" si="6"/>
        <v>5</v>
      </c>
      <c r="J857" s="55"/>
    </row>
    <row r="858" spans="1:10" ht="12.75" customHeight="1" x14ac:dyDescent="0.2">
      <c r="A858" s="50">
        <f t="array" ref="A858">+INDEX(Partidas!$A:$J,MATCH('Resultados dashboard'!$B858,Partidas!$C:$C,0),2)</f>
        <v>45628</v>
      </c>
      <c r="B858" s="56">
        <f>+IF(COUNTIF($B$2:B857,B857)=VLOOKUP(B857,Partidas!$C:$J,8,0),B857+1,B857)</f>
        <v>193</v>
      </c>
      <c r="C858" s="41" t="str">
        <f t="array" ref="C858">+INDEX(Partidas!$A:$J,MATCH('Resultados dashboard'!$B858,Partidas!$C:$C,0),3+COUNTIF($B$2:B858,'Resultados dashboard'!$B858))</f>
        <v>Max</v>
      </c>
      <c r="D858" s="54">
        <v>8</v>
      </c>
      <c r="E858" s="53"/>
      <c r="F858" s="53"/>
      <c r="G858" s="54">
        <v>1</v>
      </c>
      <c r="H858" s="38">
        <f t="shared" si="7"/>
        <v>10</v>
      </c>
      <c r="I858" s="38">
        <f t="shared" si="6"/>
        <v>1</v>
      </c>
      <c r="J858" s="55"/>
    </row>
    <row r="859" spans="1:10" ht="12.75" customHeight="1" x14ac:dyDescent="0.2">
      <c r="A859" s="50">
        <f t="array" ref="A859">+INDEX(Partidas!$A:$J,MATCH('Resultados dashboard'!$B859,Partidas!$C:$C,0),2)</f>
        <v>45628</v>
      </c>
      <c r="B859" s="56">
        <f>+IF(COUNTIF($B$2:B858,B858)=VLOOKUP(B858,Partidas!$C:$J,8,0),B858+1,B858)</f>
        <v>193</v>
      </c>
      <c r="C859" s="41" t="str">
        <f t="array" ref="C859">+INDEX(Partidas!$A:$J,MATCH('Resultados dashboard'!$B859,Partidas!$C:$C,0),3+COUNTIF($B$2:B859,'Resultados dashboard'!$B859))</f>
        <v>Gaspa</v>
      </c>
      <c r="D859" s="54">
        <v>4</v>
      </c>
      <c r="E859" s="54">
        <v>1</v>
      </c>
      <c r="F859" s="54">
        <v>1</v>
      </c>
      <c r="G859" s="53"/>
      <c r="H859" s="38">
        <f t="shared" si="7"/>
        <v>7</v>
      </c>
      <c r="I859" s="38">
        <f t="shared" si="6"/>
        <v>2</v>
      </c>
      <c r="J859" s="55"/>
    </row>
    <row r="860" spans="1:10" ht="12.75" customHeight="1" x14ac:dyDescent="0.2">
      <c r="A860" s="50">
        <f t="array" ref="A860">+INDEX(Partidas!$A:$J,MATCH('Resultados dashboard'!$B860,Partidas!$C:$C,0),2)</f>
        <v>45628</v>
      </c>
      <c r="B860" s="56">
        <f>+IF(COUNTIF($B$2:B859,B859)=VLOOKUP(B859,Partidas!$C:$J,8,0),B859+1,B859)</f>
        <v>193</v>
      </c>
      <c r="C860" s="41" t="str">
        <f t="array" ref="C860">+INDEX(Partidas!$A:$J,MATCH('Resultados dashboard'!$B860,Partidas!$C:$C,0),3+COUNTIF($B$2:B860,'Resultados dashboard'!$B860))</f>
        <v>Hugo</v>
      </c>
      <c r="D860" s="54">
        <v>5</v>
      </c>
      <c r="E860" s="54">
        <v>1</v>
      </c>
      <c r="F860" s="53"/>
      <c r="G860" s="53"/>
      <c r="H860" s="38">
        <f t="shared" si="7"/>
        <v>6</v>
      </c>
      <c r="I860" s="38">
        <f t="shared" si="6"/>
        <v>4</v>
      </c>
      <c r="J860" s="55"/>
    </row>
    <row r="861" spans="1:10" ht="12.75" customHeight="1" x14ac:dyDescent="0.2">
      <c r="A861" s="50">
        <f t="array" ref="A861">+INDEX(Partidas!$A:$J,MATCH('Resultados dashboard'!$B861,Partidas!$C:$C,0),2)</f>
        <v>45641</v>
      </c>
      <c r="B861" s="56">
        <f>+IF(COUNTIF($B$2:B860,B860)=VLOOKUP(B860,Partidas!$C:$J,8,0),B860+1,B860)</f>
        <v>194</v>
      </c>
      <c r="C861" s="41" t="str">
        <f t="array" ref="C861">+INDEX(Partidas!$A:$J,MATCH('Resultados dashboard'!$B861,Partidas!$C:$C,0),3+COUNTIF($B$2:B861,'Resultados dashboard'!$B861))</f>
        <v>Gallo</v>
      </c>
      <c r="D861" s="54">
        <v>8</v>
      </c>
      <c r="E861" s="54">
        <v>1</v>
      </c>
      <c r="F861" s="53"/>
      <c r="G861" s="53"/>
      <c r="H861" s="38">
        <f t="shared" si="7"/>
        <v>9</v>
      </c>
      <c r="I861" s="38">
        <f t="shared" si="6"/>
        <v>2</v>
      </c>
      <c r="J861" s="55"/>
    </row>
    <row r="862" spans="1:10" ht="12.75" customHeight="1" x14ac:dyDescent="0.2">
      <c r="A862" s="50">
        <f t="array" ref="A862">+INDEX(Partidas!$A:$J,MATCH('Resultados dashboard'!$B862,Partidas!$C:$C,0),2)</f>
        <v>45641</v>
      </c>
      <c r="B862" s="56">
        <f>+IF(COUNTIF($B$2:B861,B861)=VLOOKUP(B861,Partidas!$C:$J,8,0),B861+1,B861)</f>
        <v>194</v>
      </c>
      <c r="C862" s="41" t="str">
        <f t="array" ref="C862">+INDEX(Partidas!$A:$J,MATCH('Resultados dashboard'!$B862,Partidas!$C:$C,0),3+COUNTIF($B$2:B862,'Resultados dashboard'!$B862))</f>
        <v>Ivo</v>
      </c>
      <c r="D862" s="54">
        <v>5</v>
      </c>
      <c r="E862" s="53"/>
      <c r="F862" s="53"/>
      <c r="G862" s="53"/>
      <c r="H862" s="38">
        <f t="shared" si="7"/>
        <v>5</v>
      </c>
      <c r="I862" s="38">
        <f t="shared" si="6"/>
        <v>5</v>
      </c>
      <c r="J862" s="55"/>
    </row>
    <row r="863" spans="1:10" ht="12.75" customHeight="1" x14ac:dyDescent="0.2">
      <c r="A863" s="50">
        <f t="array" ref="A863">+INDEX(Partidas!$A:$J,MATCH('Resultados dashboard'!$B863,Partidas!$C:$C,0),2)</f>
        <v>45641</v>
      </c>
      <c r="B863" s="56">
        <f>+IF(COUNTIF($B$2:B862,B862)=VLOOKUP(B862,Partidas!$C:$J,8,0),B862+1,B862)</f>
        <v>194</v>
      </c>
      <c r="C863" s="41" t="str">
        <f t="array" ref="C863">+INDEX(Partidas!$A:$J,MATCH('Resultados dashboard'!$B863,Partidas!$C:$C,0),3+COUNTIF($B$2:B863,'Resultados dashboard'!$B863))</f>
        <v>Max</v>
      </c>
      <c r="D863" s="54">
        <v>8</v>
      </c>
      <c r="E863" s="53"/>
      <c r="F863" s="53"/>
      <c r="G863" s="54">
        <v>1</v>
      </c>
      <c r="H863" s="38">
        <f t="shared" si="7"/>
        <v>10</v>
      </c>
      <c r="I863" s="38">
        <f t="shared" si="6"/>
        <v>1</v>
      </c>
      <c r="J863" s="55"/>
    </row>
    <row r="864" spans="1:10" ht="12.75" customHeight="1" x14ac:dyDescent="0.2">
      <c r="A864" s="50">
        <f t="array" ref="A864">+INDEX(Partidas!$A:$J,MATCH('Resultados dashboard'!$B864,Partidas!$C:$C,0),2)</f>
        <v>45641</v>
      </c>
      <c r="B864" s="56">
        <f>+IF(COUNTIF($B$2:B863,B863)=VLOOKUP(B863,Partidas!$C:$J,8,0),B863+1,B863)</f>
        <v>194</v>
      </c>
      <c r="C864" s="41" t="str">
        <f t="array" ref="C864">+INDEX(Partidas!$A:$J,MATCH('Resultados dashboard'!$B864,Partidas!$C:$C,0),3+COUNTIF($B$2:B864,'Resultados dashboard'!$B864))</f>
        <v>Hugo</v>
      </c>
      <c r="D864" s="54">
        <v>7</v>
      </c>
      <c r="E864" s="53"/>
      <c r="F864" s="53"/>
      <c r="G864" s="53"/>
      <c r="H864" s="38">
        <f t="shared" si="7"/>
        <v>7</v>
      </c>
      <c r="I864" s="38">
        <f t="shared" si="6"/>
        <v>4</v>
      </c>
      <c r="J864" s="55"/>
    </row>
    <row r="865" spans="1:10" ht="12.75" customHeight="1" x14ac:dyDescent="0.2">
      <c r="A865" s="50">
        <f t="array" ref="A865">+INDEX(Partidas!$A:$J,MATCH('Resultados dashboard'!$B865,Partidas!$C:$C,0),2)</f>
        <v>45641</v>
      </c>
      <c r="B865" s="56">
        <f>+IF(COUNTIF($B$2:B864,B864)=VLOOKUP(B864,Partidas!$C:$J,8,0),B864+1,B864)</f>
        <v>194</v>
      </c>
      <c r="C865" s="41" t="str">
        <f t="array" ref="C865">+INDEX(Partidas!$A:$J,MATCH('Resultados dashboard'!$B865,Partidas!$C:$C,0),3+COUNTIF($B$2:B865,'Resultados dashboard'!$B865))</f>
        <v>Gaspa</v>
      </c>
      <c r="D865" s="54">
        <v>6</v>
      </c>
      <c r="E865" s="54">
        <v>1</v>
      </c>
      <c r="F865" s="54">
        <v>1</v>
      </c>
      <c r="G865" s="53"/>
      <c r="H865" s="38">
        <f t="shared" si="7"/>
        <v>9</v>
      </c>
      <c r="I865" s="38">
        <f t="shared" si="6"/>
        <v>2</v>
      </c>
      <c r="J865" s="55"/>
    </row>
    <row r="866" spans="1:10" ht="12.75" customHeight="1" x14ac:dyDescent="0.2">
      <c r="A866" s="50">
        <f t="array" ref="A866">+INDEX(Partidas!$A:$J,MATCH('Resultados dashboard'!$B866,Partidas!$C:$C,0),2)</f>
        <v>45641</v>
      </c>
      <c r="B866" s="56">
        <f>+IF(COUNTIF($B$2:B865,B865)=VLOOKUP(B865,Partidas!$C:$J,8,0),B865+1,B865)</f>
        <v>195</v>
      </c>
      <c r="C866" s="41" t="str">
        <f t="array" ref="C866">+INDEX(Partidas!$A:$J,MATCH('Resultados dashboard'!$B866,Partidas!$C:$C,0),3+COUNTIF($B$2:B866,'Resultados dashboard'!$B866))</f>
        <v>Gallo</v>
      </c>
      <c r="D866" s="54">
        <v>5</v>
      </c>
      <c r="E866" s="53"/>
      <c r="F866" s="53"/>
      <c r="G866" s="53"/>
      <c r="H866" s="38">
        <f t="shared" si="7"/>
        <v>5</v>
      </c>
      <c r="I866" s="38">
        <f t="shared" si="6"/>
        <v>4</v>
      </c>
      <c r="J866" s="55"/>
    </row>
    <row r="867" spans="1:10" ht="12.75" customHeight="1" x14ac:dyDescent="0.2">
      <c r="A867" s="50">
        <f t="array" ref="A867">+INDEX(Partidas!$A:$J,MATCH('Resultados dashboard'!$B867,Partidas!$C:$C,0),2)</f>
        <v>45641</v>
      </c>
      <c r="B867" s="56">
        <f>+IF(COUNTIF($B$2:B866,B866)=VLOOKUP(B866,Partidas!$C:$J,8,0),B866+1,B866)</f>
        <v>195</v>
      </c>
      <c r="C867" s="41" t="str">
        <f t="array" ref="C867">+INDEX(Partidas!$A:$J,MATCH('Resultados dashboard'!$B867,Partidas!$C:$C,0),3+COUNTIF($B$2:B867,'Resultados dashboard'!$B867))</f>
        <v>Ivo</v>
      </c>
      <c r="D867" s="54">
        <v>8</v>
      </c>
      <c r="E867" s="53"/>
      <c r="F867" s="54">
        <v>1</v>
      </c>
      <c r="G867" s="53"/>
      <c r="H867" s="38">
        <f t="shared" si="7"/>
        <v>10</v>
      </c>
      <c r="I867" s="38">
        <f t="shared" si="6"/>
        <v>1</v>
      </c>
      <c r="J867" s="55"/>
    </row>
    <row r="868" spans="1:10" ht="12.75" customHeight="1" x14ac:dyDescent="0.2">
      <c r="A868" s="50">
        <f t="array" ref="A868">+INDEX(Partidas!$A:$J,MATCH('Resultados dashboard'!$B868,Partidas!$C:$C,0),2)</f>
        <v>45641</v>
      </c>
      <c r="B868" s="56">
        <f>+IF(COUNTIF($B$2:B867,B867)=VLOOKUP(B867,Partidas!$C:$J,8,0),B867+1,B867)</f>
        <v>195</v>
      </c>
      <c r="C868" s="41" t="str">
        <f t="array" ref="C868">+INDEX(Partidas!$A:$J,MATCH('Resultados dashboard'!$B868,Partidas!$C:$C,0),3+COUNTIF($B$2:B868,'Resultados dashboard'!$B868))</f>
        <v>Max</v>
      </c>
      <c r="D868" s="54">
        <v>4</v>
      </c>
      <c r="E868" s="53"/>
      <c r="F868" s="53"/>
      <c r="G868" s="54">
        <v>1</v>
      </c>
      <c r="H868" s="38">
        <f t="shared" si="7"/>
        <v>6</v>
      </c>
      <c r="I868" s="38">
        <f t="shared" si="6"/>
        <v>2</v>
      </c>
      <c r="J868" s="55"/>
    </row>
    <row r="869" spans="1:10" ht="12.75" customHeight="1" x14ac:dyDescent="0.2">
      <c r="A869" s="50">
        <f t="array" ref="A869">+INDEX(Partidas!$A:$J,MATCH('Resultados dashboard'!$B869,Partidas!$C:$C,0),2)</f>
        <v>45641</v>
      </c>
      <c r="B869" s="56">
        <f>+IF(COUNTIF($B$2:B868,B868)=VLOOKUP(B868,Partidas!$C:$J,8,0),B868+1,B868)</f>
        <v>195</v>
      </c>
      <c r="C869" s="41" t="str">
        <f t="array" ref="C869">+INDEX(Partidas!$A:$J,MATCH('Resultados dashboard'!$B869,Partidas!$C:$C,0),3+COUNTIF($B$2:B869,'Resultados dashboard'!$B869))</f>
        <v>Hugo</v>
      </c>
      <c r="D869" s="54">
        <v>6</v>
      </c>
      <c r="E869" s="53"/>
      <c r="F869" s="53"/>
      <c r="G869" s="53"/>
      <c r="H869" s="38">
        <f t="shared" si="7"/>
        <v>6</v>
      </c>
      <c r="I869" s="38">
        <f t="shared" si="6"/>
        <v>2</v>
      </c>
      <c r="J869" s="55"/>
    </row>
    <row r="870" spans="1:10" ht="12.75" customHeight="1" x14ac:dyDescent="0.2">
      <c r="A870" s="50">
        <f t="array" ref="A870">+INDEX(Partidas!$A:$J,MATCH('Resultados dashboard'!$B870,Partidas!$C:$C,0),2)</f>
        <v>45641</v>
      </c>
      <c r="B870" s="56">
        <f>+IF(COUNTIF($B$2:B869,B869)=VLOOKUP(B869,Partidas!$C:$J,8,0),B869+1,B869)</f>
        <v>195</v>
      </c>
      <c r="C870" s="41" t="str">
        <f t="array" ref="C870">+INDEX(Partidas!$A:$J,MATCH('Resultados dashboard'!$B870,Partidas!$C:$C,0),3+COUNTIF($B$2:B870,'Resultados dashboard'!$B870))</f>
        <v>Gaspa</v>
      </c>
      <c r="D870" s="54">
        <v>3</v>
      </c>
      <c r="E870" s="53"/>
      <c r="F870" s="53"/>
      <c r="G870" s="53"/>
      <c r="H870" s="38">
        <f t="shared" si="7"/>
        <v>3</v>
      </c>
      <c r="I870" s="38">
        <f t="shared" si="6"/>
        <v>5</v>
      </c>
      <c r="J870" s="55"/>
    </row>
    <row r="871" spans="1:10" ht="12.75" customHeight="1" x14ac:dyDescent="0.2">
      <c r="A871" s="50">
        <f t="array" ref="A871">+INDEX(Partidas!$A:$J,MATCH('Resultados dashboard'!$B871,Partidas!$C:$C,0),2)</f>
        <v>45641</v>
      </c>
      <c r="B871" s="56">
        <f>+IF(COUNTIF($B$2:B870,B870)=VLOOKUP(B870,Partidas!$C:$J,8,0),B870+1,B870)</f>
        <v>196</v>
      </c>
      <c r="C871" s="41" t="str">
        <f t="array" ref="C871">+INDEX(Partidas!$A:$J,MATCH('Resultados dashboard'!$B871,Partidas!$C:$C,0),3+COUNTIF($B$2:B871,'Resultados dashboard'!$B871))</f>
        <v>Gallo</v>
      </c>
      <c r="D871" s="54">
        <v>5</v>
      </c>
      <c r="E871" s="53"/>
      <c r="F871" s="53"/>
      <c r="G871" s="53"/>
      <c r="H871" s="38">
        <f t="shared" si="7"/>
        <v>5</v>
      </c>
      <c r="I871" s="38">
        <f t="shared" si="6"/>
        <v>5</v>
      </c>
      <c r="J871" s="55"/>
    </row>
    <row r="872" spans="1:10" ht="12.75" customHeight="1" x14ac:dyDescent="0.2">
      <c r="A872" s="50">
        <f t="array" ref="A872">+INDEX(Partidas!$A:$J,MATCH('Resultados dashboard'!$B872,Partidas!$C:$C,0),2)</f>
        <v>45641</v>
      </c>
      <c r="B872" s="56">
        <f>+IF(COUNTIF($B$2:B871,B871)=VLOOKUP(B871,Partidas!$C:$J,8,0),B871+1,B871)</f>
        <v>196</v>
      </c>
      <c r="C872" s="41" t="str">
        <f t="array" ref="C872">+INDEX(Partidas!$A:$J,MATCH('Resultados dashboard'!$B872,Partidas!$C:$C,0),3+COUNTIF($B$2:B872,'Resultados dashboard'!$B872))</f>
        <v>Ivo</v>
      </c>
      <c r="D872" s="54">
        <v>4</v>
      </c>
      <c r="E872" s="54">
        <v>2</v>
      </c>
      <c r="F872" s="53"/>
      <c r="G872" s="53"/>
      <c r="H872" s="38">
        <f t="shared" si="7"/>
        <v>6</v>
      </c>
      <c r="I872" s="38">
        <f t="shared" si="6"/>
        <v>3</v>
      </c>
      <c r="J872" s="55"/>
    </row>
    <row r="873" spans="1:10" ht="12.75" customHeight="1" x14ac:dyDescent="0.2">
      <c r="A873" s="50">
        <f t="array" ref="A873">+INDEX(Partidas!$A:$J,MATCH('Resultados dashboard'!$B873,Partidas!$C:$C,0),2)</f>
        <v>45641</v>
      </c>
      <c r="B873" s="56">
        <f>+IF(COUNTIF($B$2:B872,B872)=VLOOKUP(B872,Partidas!$C:$J,8,0),B872+1,B872)</f>
        <v>196</v>
      </c>
      <c r="C873" s="41" t="str">
        <f t="array" ref="C873">+INDEX(Partidas!$A:$J,MATCH('Resultados dashboard'!$B873,Partidas!$C:$C,0),3+COUNTIF($B$2:B873,'Resultados dashboard'!$B873))</f>
        <v>Max</v>
      </c>
      <c r="D873" s="54">
        <v>6</v>
      </c>
      <c r="E873" s="53"/>
      <c r="F873" s="53"/>
      <c r="G873" s="53"/>
      <c r="H873" s="38">
        <f t="shared" si="7"/>
        <v>6</v>
      </c>
      <c r="I873" s="38">
        <f t="shared" si="6"/>
        <v>3</v>
      </c>
      <c r="J873" s="55"/>
    </row>
    <row r="874" spans="1:10" ht="12.75" customHeight="1" x14ac:dyDescent="0.2">
      <c r="A874" s="50">
        <f t="array" ref="A874">+INDEX(Partidas!$A:$J,MATCH('Resultados dashboard'!$B874,Partidas!$C:$C,0),2)</f>
        <v>45641</v>
      </c>
      <c r="B874" s="56">
        <f>+IF(COUNTIF($B$2:B873,B873)=VLOOKUP(B873,Partidas!$C:$J,8,0),B873+1,B873)</f>
        <v>196</v>
      </c>
      <c r="C874" s="41" t="str">
        <f t="array" ref="C874">+INDEX(Partidas!$A:$J,MATCH('Resultados dashboard'!$B874,Partidas!$C:$C,0),3+COUNTIF($B$2:B874,'Resultados dashboard'!$B874))</f>
        <v>Hugo</v>
      </c>
      <c r="D874" s="54">
        <v>8</v>
      </c>
      <c r="E874" s="53"/>
      <c r="F874" s="53"/>
      <c r="G874" s="54">
        <v>1</v>
      </c>
      <c r="H874" s="38">
        <f t="shared" si="7"/>
        <v>10</v>
      </c>
      <c r="I874" s="38">
        <f t="shared" si="6"/>
        <v>1</v>
      </c>
      <c r="J874" s="55"/>
    </row>
    <row r="875" spans="1:10" ht="12.75" customHeight="1" x14ac:dyDescent="0.2">
      <c r="A875" s="50">
        <f t="array" ref="A875">+INDEX(Partidas!$A:$J,MATCH('Resultados dashboard'!$B875,Partidas!$C:$C,0),2)</f>
        <v>45641</v>
      </c>
      <c r="B875" s="56">
        <f>+IF(COUNTIF($B$2:B874,B874)=VLOOKUP(B874,Partidas!$C:$J,8,0),B874+1,B874)</f>
        <v>196</v>
      </c>
      <c r="C875" s="41" t="str">
        <f t="array" ref="C875">+INDEX(Partidas!$A:$J,MATCH('Resultados dashboard'!$B875,Partidas!$C:$C,0),3+COUNTIF($B$2:B875,'Resultados dashboard'!$B875))</f>
        <v>Gaspa</v>
      </c>
      <c r="D875" s="54">
        <v>5</v>
      </c>
      <c r="E875" s="53"/>
      <c r="F875" s="54">
        <v>1</v>
      </c>
      <c r="G875" s="53"/>
      <c r="H875" s="38">
        <f t="shared" si="7"/>
        <v>7</v>
      </c>
      <c r="I875" s="38">
        <f t="shared" si="6"/>
        <v>2</v>
      </c>
      <c r="J875" s="55"/>
    </row>
    <row r="876" spans="1:10" ht="12.75" customHeight="1" x14ac:dyDescent="0.2">
      <c r="A876" s="50">
        <f t="array" ref="A876">+INDEX(Partidas!$A:$J,MATCH('Resultados dashboard'!$B876,Partidas!$C:$C,0),2)</f>
        <v>45641</v>
      </c>
      <c r="B876" s="56">
        <f>+IF(COUNTIF($B$2:B875,B875)=VLOOKUP(B875,Partidas!$C:$J,8,0),B875+1,B875)</f>
        <v>197</v>
      </c>
      <c r="C876" s="41" t="str">
        <f t="array" ref="C876">+INDEX(Partidas!$A:$J,MATCH('Resultados dashboard'!$B876,Partidas!$C:$C,0),3+COUNTIF($B$2:B876,'Resultados dashboard'!$B876))</f>
        <v>Gallo</v>
      </c>
      <c r="D876" s="54">
        <v>5</v>
      </c>
      <c r="E876" s="53"/>
      <c r="F876" s="53"/>
      <c r="G876" s="53"/>
      <c r="H876" s="38">
        <f t="shared" si="7"/>
        <v>5</v>
      </c>
      <c r="I876" s="38">
        <f t="shared" si="6"/>
        <v>4</v>
      </c>
      <c r="J876" s="55"/>
    </row>
    <row r="877" spans="1:10" ht="12.75" customHeight="1" x14ac:dyDescent="0.2">
      <c r="A877" s="50">
        <f t="array" ref="A877">+INDEX(Partidas!$A:$J,MATCH('Resultados dashboard'!$B877,Partidas!$C:$C,0),2)</f>
        <v>45641</v>
      </c>
      <c r="B877" s="56">
        <f>+IF(COUNTIF($B$2:B876,B876)=VLOOKUP(B876,Partidas!$C:$J,8,0),B876+1,B876)</f>
        <v>197</v>
      </c>
      <c r="C877" s="41" t="str">
        <f t="array" ref="C877">+INDEX(Partidas!$A:$J,MATCH('Resultados dashboard'!$B877,Partidas!$C:$C,0),3+COUNTIF($B$2:B877,'Resultados dashboard'!$B877))</f>
        <v>Ivo</v>
      </c>
      <c r="D877" s="54">
        <v>5</v>
      </c>
      <c r="E877" s="53"/>
      <c r="F877" s="53"/>
      <c r="G877" s="54">
        <v>1</v>
      </c>
      <c r="H877" s="38">
        <f t="shared" si="7"/>
        <v>7</v>
      </c>
      <c r="I877" s="38">
        <f t="shared" si="6"/>
        <v>2</v>
      </c>
      <c r="J877" s="55"/>
    </row>
    <row r="878" spans="1:10" ht="12.75" customHeight="1" x14ac:dyDescent="0.2">
      <c r="A878" s="50">
        <f t="array" ref="A878">+INDEX(Partidas!$A:$J,MATCH('Resultados dashboard'!$B878,Partidas!$C:$C,0),2)</f>
        <v>45641</v>
      </c>
      <c r="B878" s="56">
        <f>+IF(COUNTIF($B$2:B877,B877)=VLOOKUP(B877,Partidas!$C:$J,8,0),B877+1,B877)</f>
        <v>197</v>
      </c>
      <c r="C878" s="41" t="str">
        <f t="array" ref="C878">+INDEX(Partidas!$A:$J,MATCH('Resultados dashboard'!$B878,Partidas!$C:$C,0),3+COUNTIF($B$2:B878,'Resultados dashboard'!$B878))</f>
        <v>Max</v>
      </c>
      <c r="D878" s="54">
        <v>6</v>
      </c>
      <c r="E878" s="53"/>
      <c r="F878" s="53"/>
      <c r="G878" s="53"/>
      <c r="H878" s="38">
        <f t="shared" si="7"/>
        <v>6</v>
      </c>
      <c r="I878" s="38">
        <f t="shared" si="6"/>
        <v>3</v>
      </c>
      <c r="J878" s="55"/>
    </row>
    <row r="879" spans="1:10" ht="12.75" customHeight="1" x14ac:dyDescent="0.2">
      <c r="A879" s="50">
        <f t="array" ref="A879">+INDEX(Partidas!$A:$J,MATCH('Resultados dashboard'!$B879,Partidas!$C:$C,0),2)</f>
        <v>45641</v>
      </c>
      <c r="B879" s="56">
        <f>+IF(COUNTIF($B$2:B878,B878)=VLOOKUP(B878,Partidas!$C:$J,8,0),B878+1,B878)</f>
        <v>197</v>
      </c>
      <c r="C879" s="41" t="str">
        <f t="array" ref="C879">+INDEX(Partidas!$A:$J,MATCH('Resultados dashboard'!$B879,Partidas!$C:$C,0),3+COUNTIF($B$2:B879,'Resultados dashboard'!$B879))</f>
        <v>Hugo</v>
      </c>
      <c r="D879" s="54">
        <v>5</v>
      </c>
      <c r="E879" s="53"/>
      <c r="F879" s="53"/>
      <c r="G879" s="53"/>
      <c r="H879" s="38">
        <f t="shared" si="7"/>
        <v>5</v>
      </c>
      <c r="I879" s="38">
        <f t="shared" si="6"/>
        <v>4</v>
      </c>
      <c r="J879" s="55"/>
    </row>
    <row r="880" spans="1:10" ht="12.75" customHeight="1" x14ac:dyDescent="0.2">
      <c r="A880" s="50">
        <f t="array" ref="A880">+INDEX(Partidas!$A:$J,MATCH('Resultados dashboard'!$B880,Partidas!$C:$C,0),2)</f>
        <v>45641</v>
      </c>
      <c r="B880" s="56">
        <f>+IF(COUNTIF($B$2:B879,B879)=VLOOKUP(B879,Partidas!$C:$J,8,0),B879+1,B879)</f>
        <v>197</v>
      </c>
      <c r="C880" s="41" t="str">
        <f t="array" ref="C880">+INDEX(Partidas!$A:$J,MATCH('Resultados dashboard'!$B880,Partidas!$C:$C,0),3+COUNTIF($B$2:B880,'Resultados dashboard'!$B880))</f>
        <v>Gaspa</v>
      </c>
      <c r="D880" s="54">
        <v>5</v>
      </c>
      <c r="E880" s="54">
        <v>3</v>
      </c>
      <c r="F880" s="54">
        <v>1</v>
      </c>
      <c r="G880" s="53"/>
      <c r="H880" s="38">
        <f t="shared" si="7"/>
        <v>10</v>
      </c>
      <c r="I880" s="38">
        <f t="shared" si="6"/>
        <v>1</v>
      </c>
      <c r="J880" s="55"/>
    </row>
    <row r="881" spans="1:10" ht="12.75" customHeight="1" x14ac:dyDescent="0.2">
      <c r="A881" s="50">
        <f t="array" ref="A881">+INDEX(Partidas!$A:$J,MATCH('Resultados dashboard'!$B881,Partidas!$C:$C,0),2)</f>
        <v>45641</v>
      </c>
      <c r="B881" s="56">
        <f>+IF(COUNTIF($B$2:B880,B880)=VLOOKUP(B880,Partidas!$C:$J,8,0),B880+1,B880)</f>
        <v>198</v>
      </c>
      <c r="C881" s="41" t="str">
        <f t="array" ref="C881">+INDEX(Partidas!$A:$J,MATCH('Resultados dashboard'!$B881,Partidas!$C:$C,0),3+COUNTIF($B$2:B881,'Resultados dashboard'!$B881))</f>
        <v>Gallo</v>
      </c>
      <c r="D881" s="54">
        <v>4</v>
      </c>
      <c r="E881" s="53"/>
      <c r="F881" s="53"/>
      <c r="G881" s="53"/>
      <c r="H881" s="38">
        <f t="shared" si="7"/>
        <v>4</v>
      </c>
      <c r="I881" s="38">
        <f t="shared" si="6"/>
        <v>5</v>
      </c>
      <c r="J881" s="55"/>
    </row>
    <row r="882" spans="1:10" ht="12.75" customHeight="1" x14ac:dyDescent="0.2">
      <c r="A882" s="50">
        <f t="array" ref="A882">+INDEX(Partidas!$A:$J,MATCH('Resultados dashboard'!$B882,Partidas!$C:$C,0),2)</f>
        <v>45641</v>
      </c>
      <c r="B882" s="56">
        <f>+IF(COUNTIF($B$2:B881,B881)=VLOOKUP(B881,Partidas!$C:$J,8,0),B881+1,B881)</f>
        <v>198</v>
      </c>
      <c r="C882" s="41" t="str">
        <f t="array" ref="C882">+INDEX(Partidas!$A:$J,MATCH('Resultados dashboard'!$B882,Partidas!$C:$C,0),3+COUNTIF($B$2:B882,'Resultados dashboard'!$B882))</f>
        <v>Ivo</v>
      </c>
      <c r="D882" s="54">
        <v>7</v>
      </c>
      <c r="E882" s="54">
        <v>1</v>
      </c>
      <c r="F882" s="53"/>
      <c r="G882" s="54">
        <v>1</v>
      </c>
      <c r="H882" s="38">
        <f t="shared" si="7"/>
        <v>10</v>
      </c>
      <c r="I882" s="38">
        <f t="shared" si="6"/>
        <v>1</v>
      </c>
      <c r="J882" s="55"/>
    </row>
    <row r="883" spans="1:10" ht="12.75" customHeight="1" x14ac:dyDescent="0.2">
      <c r="A883" s="50">
        <f t="array" ref="A883">+INDEX(Partidas!$A:$J,MATCH('Resultados dashboard'!$B883,Partidas!$C:$C,0),2)</f>
        <v>45641</v>
      </c>
      <c r="B883" s="56">
        <f>+IF(COUNTIF($B$2:B882,B882)=VLOOKUP(B882,Partidas!$C:$J,8,0),B882+1,B882)</f>
        <v>198</v>
      </c>
      <c r="C883" s="41" t="str">
        <f t="array" ref="C883">+INDEX(Partidas!$A:$J,MATCH('Resultados dashboard'!$B883,Partidas!$C:$C,0),3+COUNTIF($B$2:B883,'Resultados dashboard'!$B883))</f>
        <v>Max</v>
      </c>
      <c r="D883" s="54">
        <v>5</v>
      </c>
      <c r="E883" s="53"/>
      <c r="F883" s="53"/>
      <c r="G883" s="53"/>
      <c r="H883" s="38">
        <f t="shared" si="7"/>
        <v>5</v>
      </c>
      <c r="I883" s="38">
        <f t="shared" si="6"/>
        <v>3</v>
      </c>
      <c r="J883" s="55"/>
    </row>
    <row r="884" spans="1:10" ht="12.75" customHeight="1" x14ac:dyDescent="0.2">
      <c r="A884" s="50">
        <f t="array" ref="A884">+INDEX(Partidas!$A:$J,MATCH('Resultados dashboard'!$B884,Partidas!$C:$C,0),2)</f>
        <v>45641</v>
      </c>
      <c r="B884" s="56">
        <f>+IF(COUNTIF($B$2:B883,B883)=VLOOKUP(B883,Partidas!$C:$J,8,0),B883+1,B883)</f>
        <v>198</v>
      </c>
      <c r="C884" s="41" t="str">
        <f t="array" ref="C884">+INDEX(Partidas!$A:$J,MATCH('Resultados dashboard'!$B884,Partidas!$C:$C,0),3+COUNTIF($B$2:B884,'Resultados dashboard'!$B884))</f>
        <v>Hugo</v>
      </c>
      <c r="D884" s="54">
        <v>4</v>
      </c>
      <c r="E884" s="54">
        <v>1</v>
      </c>
      <c r="F884" s="54">
        <v>1</v>
      </c>
      <c r="G884" s="53"/>
      <c r="H884" s="38">
        <f t="shared" si="7"/>
        <v>7</v>
      </c>
      <c r="I884" s="38">
        <f t="shared" si="6"/>
        <v>2</v>
      </c>
      <c r="J884" s="55"/>
    </row>
    <row r="885" spans="1:10" ht="12.75" customHeight="1" x14ac:dyDescent="0.2">
      <c r="A885" s="50">
        <f t="array" ref="A885">+INDEX(Partidas!$A:$J,MATCH('Resultados dashboard'!$B885,Partidas!$C:$C,0),2)</f>
        <v>45641</v>
      </c>
      <c r="B885" s="56">
        <f>+IF(COUNTIF($B$2:B884,B884)=VLOOKUP(B884,Partidas!$C:$J,8,0),B884+1,B884)</f>
        <v>198</v>
      </c>
      <c r="C885" s="41" t="str">
        <f t="array" ref="C885">+INDEX(Partidas!$A:$J,MATCH('Resultados dashboard'!$B885,Partidas!$C:$C,0),3+COUNTIF($B$2:B885,'Resultados dashboard'!$B885))</f>
        <v>Gaspa</v>
      </c>
      <c r="D885" s="54">
        <v>5</v>
      </c>
      <c r="E885" s="53"/>
      <c r="F885" s="53"/>
      <c r="G885" s="53"/>
      <c r="H885" s="38">
        <f t="shared" si="7"/>
        <v>5</v>
      </c>
      <c r="I885" s="38">
        <f t="shared" si="6"/>
        <v>3</v>
      </c>
      <c r="J885" s="55"/>
    </row>
    <row r="886" spans="1:10" ht="12.75" customHeight="1" x14ac:dyDescent="0.2">
      <c r="A886" s="50">
        <f t="array" ref="A886">+INDEX(Partidas!$A:$J,MATCH('Resultados dashboard'!$B886,Partidas!$C:$C,0),2)</f>
        <v>45649</v>
      </c>
      <c r="B886" s="56">
        <f>+IF(COUNTIF($B$2:B885,B885)=VLOOKUP(B885,Partidas!$C:$J,8,0),B885+1,B885)</f>
        <v>199</v>
      </c>
      <c r="C886" s="41" t="str">
        <f t="array" ref="C886">+INDEX(Partidas!$A:$J,MATCH('Resultados dashboard'!$B886,Partidas!$C:$C,0),3+COUNTIF($B$2:B886,'Resultados dashboard'!$B886))</f>
        <v>Gallo</v>
      </c>
      <c r="D886" s="54">
        <v>8</v>
      </c>
      <c r="E886" s="53"/>
      <c r="F886" s="53"/>
      <c r="G886" s="54">
        <v>1</v>
      </c>
      <c r="H886" s="38">
        <f t="shared" si="7"/>
        <v>10</v>
      </c>
      <c r="I886" s="38">
        <f t="shared" si="6"/>
        <v>1</v>
      </c>
      <c r="J886" s="55"/>
    </row>
    <row r="887" spans="1:10" ht="12.75" customHeight="1" x14ac:dyDescent="0.2">
      <c r="A887" s="50">
        <f t="array" ref="A887">+INDEX(Partidas!$A:$J,MATCH('Resultados dashboard'!$B887,Partidas!$C:$C,0),2)</f>
        <v>45649</v>
      </c>
      <c r="B887" s="56">
        <f>+IF(COUNTIF($B$2:B886,B886)=VLOOKUP(B886,Partidas!$C:$J,8,0),B886+1,B886)</f>
        <v>199</v>
      </c>
      <c r="C887" s="41" t="str">
        <f t="array" ref="C887">+INDEX(Partidas!$A:$J,MATCH('Resultados dashboard'!$B887,Partidas!$C:$C,0),3+COUNTIF($B$2:B887,'Resultados dashboard'!$B887))</f>
        <v>Ivo</v>
      </c>
      <c r="D887" s="54">
        <v>5</v>
      </c>
      <c r="E887" s="54">
        <v>1</v>
      </c>
      <c r="F887" s="53"/>
      <c r="G887" s="53"/>
      <c r="H887" s="38">
        <f t="shared" si="7"/>
        <v>6</v>
      </c>
      <c r="I887" s="38">
        <f t="shared" si="6"/>
        <v>2</v>
      </c>
      <c r="J887" s="55"/>
    </row>
    <row r="888" spans="1:10" ht="12.75" customHeight="1" x14ac:dyDescent="0.2">
      <c r="A888" s="50">
        <f t="array" ref="A888">+INDEX(Partidas!$A:$J,MATCH('Resultados dashboard'!$B888,Partidas!$C:$C,0),2)</f>
        <v>45649</v>
      </c>
      <c r="B888" s="56">
        <f>+IF(COUNTIF($B$2:B887,B887)=VLOOKUP(B887,Partidas!$C:$J,8,0),B887+1,B887)</f>
        <v>199</v>
      </c>
      <c r="C888" s="41" t="str">
        <f t="array" ref="C888">+INDEX(Partidas!$A:$J,MATCH('Resultados dashboard'!$B888,Partidas!$C:$C,0),3+COUNTIF($B$2:B888,'Resultados dashboard'!$B888))</f>
        <v>Max</v>
      </c>
      <c r="D888" s="54">
        <v>4</v>
      </c>
      <c r="E888" s="54"/>
      <c r="F888" s="53"/>
      <c r="G888" s="53"/>
      <c r="H888" s="38">
        <f t="shared" si="7"/>
        <v>4</v>
      </c>
      <c r="I888" s="38">
        <f t="shared" si="6"/>
        <v>3</v>
      </c>
      <c r="J888" s="55"/>
    </row>
    <row r="889" spans="1:10" ht="12.75" customHeight="1" x14ac:dyDescent="0.2">
      <c r="A889" s="50">
        <f t="array" ref="A889">+INDEX(Partidas!$A:$J,MATCH('Resultados dashboard'!$B889,Partidas!$C:$C,0),2)</f>
        <v>45649</v>
      </c>
      <c r="B889" s="56">
        <f>+IF(COUNTIF($B$2:B888,B888)=VLOOKUP(B888,Partidas!$C:$J,8,0),B888+1,B888)</f>
        <v>199</v>
      </c>
      <c r="C889" s="41" t="str">
        <f t="array" ref="C889">+INDEX(Partidas!$A:$J,MATCH('Resultados dashboard'!$B889,Partidas!$C:$C,0),3+COUNTIF($B$2:B889,'Resultados dashboard'!$B889))</f>
        <v>Hugo</v>
      </c>
      <c r="D889" s="54">
        <v>4</v>
      </c>
      <c r="E889" s="54"/>
      <c r="F889" s="53"/>
      <c r="G889" s="53"/>
      <c r="H889" s="38">
        <f t="shared" si="7"/>
        <v>4</v>
      </c>
      <c r="I889" s="38">
        <f t="shared" si="6"/>
        <v>3</v>
      </c>
      <c r="J889" s="55"/>
    </row>
    <row r="890" spans="1:10" ht="12.75" customHeight="1" x14ac:dyDescent="0.2">
      <c r="A890" s="50">
        <f t="array" ref="A890">+INDEX(Partidas!$A:$J,MATCH('Resultados dashboard'!$B890,Partidas!$C:$C,0),2)</f>
        <v>45649</v>
      </c>
      <c r="B890" s="56">
        <f>+IF(COUNTIF($B$2:B889,B889)=VLOOKUP(B889,Partidas!$C:$J,8,0),B889+1,B889)</f>
        <v>199</v>
      </c>
      <c r="C890" s="41" t="str">
        <f t="array" ref="C890">+INDEX(Partidas!$A:$J,MATCH('Resultados dashboard'!$B890,Partidas!$C:$C,0),3+COUNTIF($B$2:B890,'Resultados dashboard'!$B890))</f>
        <v>Gaspa</v>
      </c>
      <c r="D890" s="54">
        <v>4</v>
      </c>
      <c r="E890" s="54"/>
      <c r="F890" s="53"/>
      <c r="G890" s="53"/>
      <c r="H890" s="38">
        <f t="shared" si="7"/>
        <v>4</v>
      </c>
      <c r="I890" s="38">
        <f t="shared" si="6"/>
        <v>3</v>
      </c>
      <c r="J890" s="55"/>
    </row>
    <row r="891" spans="1:10" ht="12.75" customHeight="1" x14ac:dyDescent="0.2">
      <c r="A891" s="50">
        <f t="array" ref="A891">+INDEX(Partidas!$A:$J,MATCH('Resultados dashboard'!$B891,Partidas!$C:$C,0),2)</f>
        <v>45649</v>
      </c>
      <c r="B891" s="56">
        <f>+IF(COUNTIF($B$2:B890,B890)=VLOOKUP(B890,Partidas!$C:$J,8,0),B890+1,B890)</f>
        <v>200</v>
      </c>
      <c r="C891" s="41" t="str">
        <f t="array" ref="C891">+INDEX(Partidas!$A:$J,MATCH('Resultados dashboard'!$B891,Partidas!$C:$C,0),3+COUNTIF($B$2:B891,'Resultados dashboard'!$B891))</f>
        <v>Gallo</v>
      </c>
      <c r="D891" s="54">
        <v>7</v>
      </c>
      <c r="E891" s="53"/>
      <c r="F891" s="54">
        <v>1</v>
      </c>
      <c r="G891" s="53"/>
      <c r="H891" s="38">
        <f t="shared" si="7"/>
        <v>9</v>
      </c>
      <c r="I891" s="38">
        <f t="shared" si="6"/>
        <v>2</v>
      </c>
      <c r="J891" s="55"/>
    </row>
    <row r="892" spans="1:10" ht="12.75" customHeight="1" x14ac:dyDescent="0.2">
      <c r="A892" s="50">
        <f t="array" ref="A892">+INDEX(Partidas!$A:$J,MATCH('Resultados dashboard'!$B892,Partidas!$C:$C,0),2)</f>
        <v>45649</v>
      </c>
      <c r="B892" s="56">
        <f>+IF(COUNTIF($B$2:B891,B891)=VLOOKUP(B891,Partidas!$C:$J,8,0),B891+1,B891)</f>
        <v>200</v>
      </c>
      <c r="C892" s="41" t="str">
        <f t="array" ref="C892">+INDEX(Partidas!$A:$J,MATCH('Resultados dashboard'!$B892,Partidas!$C:$C,0),3+COUNTIF($B$2:B892,'Resultados dashboard'!$B892))</f>
        <v>Ivo</v>
      </c>
      <c r="D892" s="54">
        <v>2</v>
      </c>
      <c r="E892" s="54">
        <v>1</v>
      </c>
      <c r="F892" s="53"/>
      <c r="G892" s="53"/>
      <c r="H892" s="38">
        <f t="shared" si="7"/>
        <v>3</v>
      </c>
      <c r="I892" s="38">
        <f t="shared" si="6"/>
        <v>5</v>
      </c>
      <c r="J892" s="55"/>
    </row>
    <row r="893" spans="1:10" ht="12.75" customHeight="1" x14ac:dyDescent="0.2">
      <c r="A893" s="50">
        <f t="array" ref="A893">+INDEX(Partidas!$A:$J,MATCH('Resultados dashboard'!$B893,Partidas!$C:$C,0),2)</f>
        <v>45649</v>
      </c>
      <c r="B893" s="56">
        <f>+IF(COUNTIF($B$2:B892,B892)=VLOOKUP(B892,Partidas!$C:$J,8,0),B892+1,B892)</f>
        <v>200</v>
      </c>
      <c r="C893" s="41" t="str">
        <f t="array" ref="C893">+INDEX(Partidas!$A:$J,MATCH('Resultados dashboard'!$B893,Partidas!$C:$C,0),3+COUNTIF($B$2:B893,'Resultados dashboard'!$B893))</f>
        <v>Max</v>
      </c>
      <c r="D893" s="54">
        <v>6</v>
      </c>
      <c r="E893" s="53"/>
      <c r="F893" s="53"/>
      <c r="G893" s="53"/>
      <c r="H893" s="38">
        <f t="shared" si="7"/>
        <v>6</v>
      </c>
      <c r="I893" s="38">
        <f t="shared" si="6"/>
        <v>3</v>
      </c>
      <c r="J893" s="55"/>
    </row>
    <row r="894" spans="1:10" ht="12.75" customHeight="1" x14ac:dyDescent="0.2">
      <c r="A894" s="50">
        <f t="array" ref="A894">+INDEX(Partidas!$A:$J,MATCH('Resultados dashboard'!$B894,Partidas!$C:$C,0),2)</f>
        <v>45649</v>
      </c>
      <c r="B894" s="56">
        <f>+IF(COUNTIF($B$2:B893,B893)=VLOOKUP(B893,Partidas!$C:$J,8,0),B893+1,B893)</f>
        <v>200</v>
      </c>
      <c r="C894" s="41" t="str">
        <f t="array" ref="C894">+INDEX(Partidas!$A:$J,MATCH('Resultados dashboard'!$B894,Partidas!$C:$C,0),3+COUNTIF($B$2:B894,'Resultados dashboard'!$B894))</f>
        <v>Hugo</v>
      </c>
      <c r="D894" s="54">
        <v>7</v>
      </c>
      <c r="E894" s="54">
        <v>1</v>
      </c>
      <c r="F894" s="53"/>
      <c r="G894" s="54">
        <v>1</v>
      </c>
      <c r="H894" s="38">
        <f t="shared" si="7"/>
        <v>10</v>
      </c>
      <c r="I894" s="38">
        <f t="shared" si="6"/>
        <v>1</v>
      </c>
      <c r="J894" s="55"/>
    </row>
    <row r="895" spans="1:10" ht="12.75" customHeight="1" x14ac:dyDescent="0.2">
      <c r="A895" s="50">
        <f t="array" ref="A895">+INDEX(Partidas!$A:$J,MATCH('Resultados dashboard'!$B895,Partidas!$C:$C,0),2)</f>
        <v>45649</v>
      </c>
      <c r="B895" s="56">
        <f>+IF(COUNTIF($B$2:B894,B894)=VLOOKUP(B894,Partidas!$C:$J,8,0),B894+1,B894)</f>
        <v>200</v>
      </c>
      <c r="C895" s="41" t="str">
        <f t="array" ref="C895">+INDEX(Partidas!$A:$J,MATCH('Resultados dashboard'!$B895,Partidas!$C:$C,0),3+COUNTIF($B$2:B895,'Resultados dashboard'!$B895))</f>
        <v>Gaspa</v>
      </c>
      <c r="D895" s="54">
        <v>4</v>
      </c>
      <c r="E895" s="53"/>
      <c r="F895" s="53"/>
      <c r="G895" s="53"/>
      <c r="H895" s="38">
        <f t="shared" si="7"/>
        <v>4</v>
      </c>
      <c r="I895" s="38">
        <f t="shared" si="6"/>
        <v>4</v>
      </c>
      <c r="J895" s="55"/>
    </row>
    <row r="896" spans="1:10" ht="12.75" customHeight="1" x14ac:dyDescent="0.2">
      <c r="A896" s="50">
        <f t="array" ref="A896">+INDEX(Partidas!$A:$J,MATCH('Resultados dashboard'!$B896,Partidas!$C:$C,0),2)</f>
        <v>45649</v>
      </c>
      <c r="B896" s="56">
        <f>+IF(COUNTIF($B$2:B895,B895)=VLOOKUP(B895,Partidas!$C:$J,8,0),B895+1,B895)</f>
        <v>201</v>
      </c>
      <c r="C896" s="41" t="str">
        <f t="array" ref="C896">+INDEX(Partidas!$A:$J,MATCH('Resultados dashboard'!$B896,Partidas!$C:$C,0),3+COUNTIF($B$2:B896,'Resultados dashboard'!$B896))</f>
        <v>Gallo</v>
      </c>
      <c r="D896" s="54">
        <v>6</v>
      </c>
      <c r="E896" s="53"/>
      <c r="F896" s="53"/>
      <c r="G896" s="54">
        <v>1</v>
      </c>
      <c r="H896" s="38">
        <f t="shared" si="7"/>
        <v>8</v>
      </c>
      <c r="I896" s="38">
        <f t="shared" si="6"/>
        <v>3</v>
      </c>
      <c r="J896" s="55"/>
    </row>
    <row r="897" spans="1:10" ht="12.75" customHeight="1" x14ac:dyDescent="0.2">
      <c r="A897" s="50">
        <f t="array" ref="A897">+INDEX(Partidas!$A:$J,MATCH('Resultados dashboard'!$B897,Partidas!$C:$C,0),2)</f>
        <v>45649</v>
      </c>
      <c r="B897" s="56">
        <f>+IF(COUNTIF($B$2:B896,B896)=VLOOKUP(B896,Partidas!$C:$J,8,0),B896+1,B896)</f>
        <v>201</v>
      </c>
      <c r="C897" s="41" t="str">
        <f t="array" ref="C897">+INDEX(Partidas!$A:$J,MATCH('Resultados dashboard'!$B897,Partidas!$C:$C,0),3+COUNTIF($B$2:B897,'Resultados dashboard'!$B897))</f>
        <v>Ivo</v>
      </c>
      <c r="D897" s="54">
        <v>9</v>
      </c>
      <c r="E897" s="53"/>
      <c r="F897" s="53"/>
      <c r="G897" s="53"/>
      <c r="H897" s="38">
        <f t="shared" si="7"/>
        <v>9</v>
      </c>
      <c r="I897" s="38">
        <f t="shared" si="6"/>
        <v>2</v>
      </c>
      <c r="J897" s="55"/>
    </row>
    <row r="898" spans="1:10" ht="12.75" customHeight="1" x14ac:dyDescent="0.2">
      <c r="A898" s="50">
        <f t="array" ref="A898">+INDEX(Partidas!$A:$J,MATCH('Resultados dashboard'!$B898,Partidas!$C:$C,0),2)</f>
        <v>45649</v>
      </c>
      <c r="B898" s="56">
        <f>+IF(COUNTIF($B$2:B897,B897)=VLOOKUP(B897,Partidas!$C:$J,8,0),B897+1,B897)</f>
        <v>201</v>
      </c>
      <c r="C898" s="41" t="str">
        <f t="array" ref="C898">+INDEX(Partidas!$A:$J,MATCH('Resultados dashboard'!$B898,Partidas!$C:$C,0),3+COUNTIF($B$2:B898,'Resultados dashboard'!$B898))</f>
        <v>Max</v>
      </c>
      <c r="D898" s="54">
        <v>10</v>
      </c>
      <c r="E898" s="53"/>
      <c r="F898" s="53"/>
      <c r="G898" s="53"/>
      <c r="H898" s="38">
        <f t="shared" si="7"/>
        <v>10</v>
      </c>
      <c r="I898" s="38">
        <f t="shared" si="6"/>
        <v>1</v>
      </c>
      <c r="J898" s="55"/>
    </row>
    <row r="899" spans="1:10" ht="12.75" customHeight="1" x14ac:dyDescent="0.2">
      <c r="A899" s="50">
        <f t="array" ref="A899">+INDEX(Partidas!$A:$J,MATCH('Resultados dashboard'!$B899,Partidas!$C:$C,0),2)</f>
        <v>45649</v>
      </c>
      <c r="B899" s="56">
        <f>+IF(COUNTIF($B$2:B898,B898)=VLOOKUP(B898,Partidas!$C:$J,8,0),B898+1,B898)</f>
        <v>201</v>
      </c>
      <c r="C899" s="41" t="str">
        <f t="array" ref="C899">+INDEX(Partidas!$A:$J,MATCH('Resultados dashboard'!$B899,Partidas!$C:$C,0),3+COUNTIF($B$2:B899,'Resultados dashboard'!$B899))</f>
        <v>Hugo</v>
      </c>
      <c r="D899" s="54">
        <v>5</v>
      </c>
      <c r="E899" s="54">
        <v>2</v>
      </c>
      <c r="F899" s="53"/>
      <c r="G899" s="53"/>
      <c r="H899" s="38">
        <f t="shared" si="7"/>
        <v>7</v>
      </c>
      <c r="I899" s="38">
        <f t="shared" si="6"/>
        <v>5</v>
      </c>
      <c r="J899" s="55"/>
    </row>
    <row r="900" spans="1:10" ht="12.75" customHeight="1" x14ac:dyDescent="0.2">
      <c r="A900" s="50">
        <f t="array" ref="A900">+INDEX(Partidas!$A:$J,MATCH('Resultados dashboard'!$B900,Partidas!$C:$C,0),2)</f>
        <v>45649</v>
      </c>
      <c r="B900" s="56">
        <f>+IF(COUNTIF($B$2:B899,B899)=VLOOKUP(B899,Partidas!$C:$J,8,0),B899+1,B899)</f>
        <v>201</v>
      </c>
      <c r="C900" s="41" t="str">
        <f t="array" ref="C900">+INDEX(Partidas!$A:$J,MATCH('Resultados dashboard'!$B900,Partidas!$C:$C,0),3+COUNTIF($B$2:B900,'Resultados dashboard'!$B900))</f>
        <v>Gaspa</v>
      </c>
      <c r="D900" s="54">
        <v>5</v>
      </c>
      <c r="E900" s="54">
        <v>1</v>
      </c>
      <c r="F900" s="54">
        <v>1</v>
      </c>
      <c r="G900" s="53"/>
      <c r="H900" s="38">
        <f t="shared" si="7"/>
        <v>8</v>
      </c>
      <c r="I900" s="38">
        <f t="shared" si="6"/>
        <v>3</v>
      </c>
      <c r="J900" s="55"/>
    </row>
    <row r="901" spans="1:10" ht="12.75" customHeight="1" x14ac:dyDescent="0.2">
      <c r="A901" s="50">
        <f t="array" ref="A901">+INDEX(Partidas!$A:$J,MATCH('Resultados dashboard'!$B901,Partidas!$C:$C,0),2)</f>
        <v>45652</v>
      </c>
      <c r="B901" s="56">
        <f>+IF(COUNTIF($B$2:B900,B900)=VLOOKUP(B900,Partidas!$C:$J,8,0),B900+1,B900)</f>
        <v>202</v>
      </c>
      <c r="C901" s="41" t="str">
        <f t="array" ref="C901">+INDEX(Partidas!$A:$J,MATCH('Resultados dashboard'!$B901,Partidas!$C:$C,0),3+COUNTIF($B$2:B901,'Resultados dashboard'!$B901))</f>
        <v>Gallo</v>
      </c>
      <c r="D901" s="54">
        <v>5</v>
      </c>
      <c r="E901" s="54">
        <v>2</v>
      </c>
      <c r="F901" s="54">
        <v>1</v>
      </c>
      <c r="G901" s="53"/>
      <c r="H901" s="38">
        <f t="shared" si="7"/>
        <v>9</v>
      </c>
      <c r="I901" s="38">
        <f t="shared" si="6"/>
        <v>2</v>
      </c>
      <c r="J901" s="55"/>
    </row>
    <row r="902" spans="1:10" ht="12.75" customHeight="1" x14ac:dyDescent="0.2">
      <c r="A902" s="50">
        <f t="array" ref="A902">+INDEX(Partidas!$A:$J,MATCH('Resultados dashboard'!$B902,Partidas!$C:$C,0),2)</f>
        <v>45652</v>
      </c>
      <c r="B902" s="56">
        <f>+IF(COUNTIF($B$2:B901,B901)=VLOOKUP(B901,Partidas!$C:$J,8,0),B901+1,B901)</f>
        <v>202</v>
      </c>
      <c r="C902" s="41" t="str">
        <f t="array" ref="C902">+INDEX(Partidas!$A:$J,MATCH('Resultados dashboard'!$B902,Partidas!$C:$C,0),3+COUNTIF($B$2:B902,'Resultados dashboard'!$B902))</f>
        <v>Ivo</v>
      </c>
      <c r="D902" s="54">
        <v>8</v>
      </c>
      <c r="E902" s="53"/>
      <c r="F902" s="53"/>
      <c r="G902" s="54">
        <v>1</v>
      </c>
      <c r="H902" s="38">
        <f t="shared" si="7"/>
        <v>10</v>
      </c>
      <c r="I902" s="38">
        <f t="shared" si="6"/>
        <v>1</v>
      </c>
      <c r="J902" s="55"/>
    </row>
    <row r="903" spans="1:10" ht="12.75" customHeight="1" x14ac:dyDescent="0.2">
      <c r="A903" s="50">
        <f t="array" ref="A903">+INDEX(Partidas!$A:$J,MATCH('Resultados dashboard'!$B903,Partidas!$C:$C,0),2)</f>
        <v>45652</v>
      </c>
      <c r="B903" s="56">
        <f>+IF(COUNTIF($B$2:B902,B902)=VLOOKUP(B902,Partidas!$C:$J,8,0),B902+1,B902)</f>
        <v>202</v>
      </c>
      <c r="C903" s="41" t="str">
        <f t="array" ref="C903">+INDEX(Partidas!$A:$J,MATCH('Resultados dashboard'!$B903,Partidas!$C:$C,0),3+COUNTIF($B$2:B903,'Resultados dashboard'!$B903))</f>
        <v>Max</v>
      </c>
      <c r="D903" s="54">
        <v>9</v>
      </c>
      <c r="E903" s="53"/>
      <c r="F903" s="53"/>
      <c r="G903" s="53"/>
      <c r="H903" s="38">
        <f t="shared" si="7"/>
        <v>9</v>
      </c>
      <c r="I903" s="38">
        <f t="shared" si="6"/>
        <v>2</v>
      </c>
      <c r="J903" s="55"/>
    </row>
    <row r="904" spans="1:10" ht="12.75" customHeight="1" x14ac:dyDescent="0.2">
      <c r="A904" s="50">
        <f t="array" ref="A904">+INDEX(Partidas!$A:$J,MATCH('Resultados dashboard'!$B904,Partidas!$C:$C,0),2)</f>
        <v>45652</v>
      </c>
      <c r="B904" s="56">
        <f>+IF(COUNTIF($B$2:B903,B903)=VLOOKUP(B903,Partidas!$C:$J,8,0),B903+1,B903)</f>
        <v>202</v>
      </c>
      <c r="C904" s="41" t="str">
        <f t="array" ref="C904">+INDEX(Partidas!$A:$J,MATCH('Resultados dashboard'!$B904,Partidas!$C:$C,0),3+COUNTIF($B$2:B904,'Resultados dashboard'!$B904))</f>
        <v>Gaspa</v>
      </c>
      <c r="D904" s="54">
        <v>6</v>
      </c>
      <c r="E904" s="54">
        <v>3</v>
      </c>
      <c r="F904" s="53"/>
      <c r="G904" s="53"/>
      <c r="H904" s="38">
        <f t="shared" si="7"/>
        <v>9</v>
      </c>
      <c r="I904" s="38">
        <f t="shared" si="6"/>
        <v>2</v>
      </c>
      <c r="J904" s="55"/>
    </row>
    <row r="905" spans="1:10" ht="12.75" customHeight="1" x14ac:dyDescent="0.2">
      <c r="A905" s="50">
        <f t="array" ref="A905">+INDEX(Partidas!$A:$J,MATCH('Resultados dashboard'!$B905,Partidas!$C:$C,0),2)</f>
        <v>45652</v>
      </c>
      <c r="B905" s="56">
        <f>+IF(COUNTIF($B$2:B904,B904)=VLOOKUP(B904,Partidas!$C:$J,8,0),B904+1,B904)</f>
        <v>203</v>
      </c>
      <c r="C905" s="41" t="str">
        <f t="array" ref="C905">+INDEX(Partidas!$A:$J,MATCH('Resultados dashboard'!$B905,Partidas!$C:$C,0),3+COUNTIF($B$2:B905,'Resultados dashboard'!$B905))</f>
        <v>Gallo</v>
      </c>
      <c r="D905" s="54">
        <v>8</v>
      </c>
      <c r="E905" s="54">
        <v>2</v>
      </c>
      <c r="F905" s="53"/>
      <c r="G905" s="53"/>
      <c r="H905" s="38">
        <f t="shared" si="7"/>
        <v>10</v>
      </c>
      <c r="I905" s="38">
        <f t="shared" si="6"/>
        <v>1</v>
      </c>
      <c r="J905" s="55"/>
    </row>
    <row r="906" spans="1:10" ht="12.75" customHeight="1" x14ac:dyDescent="0.2">
      <c r="A906" s="50">
        <f t="array" ref="A906">+INDEX(Partidas!$A:$J,MATCH('Resultados dashboard'!$B906,Partidas!$C:$C,0),2)</f>
        <v>45652</v>
      </c>
      <c r="B906" s="56">
        <f>+IF(COUNTIF($B$2:B905,B905)=VLOOKUP(B905,Partidas!$C:$J,8,0),B905+1,B905)</f>
        <v>203</v>
      </c>
      <c r="C906" s="41" t="str">
        <f t="array" ref="C906">+INDEX(Partidas!$A:$J,MATCH('Resultados dashboard'!$B906,Partidas!$C:$C,0),3+COUNTIF($B$2:B906,'Resultados dashboard'!$B906))</f>
        <v>Ivo</v>
      </c>
      <c r="D906" s="54">
        <v>8</v>
      </c>
      <c r="E906" s="53"/>
      <c r="F906" s="53"/>
      <c r="G906" s="53"/>
      <c r="H906" s="38">
        <f t="shared" si="7"/>
        <v>8</v>
      </c>
      <c r="I906" s="38">
        <f t="shared" si="6"/>
        <v>4</v>
      </c>
      <c r="J906" s="55"/>
    </row>
    <row r="907" spans="1:10" ht="12.75" customHeight="1" x14ac:dyDescent="0.2">
      <c r="A907" s="50">
        <f t="array" ref="A907">+INDEX(Partidas!$A:$J,MATCH('Resultados dashboard'!$B907,Partidas!$C:$C,0),2)</f>
        <v>45652</v>
      </c>
      <c r="B907" s="56">
        <f>+IF(COUNTIF($B$2:B906,B906)=VLOOKUP(B906,Partidas!$C:$J,8,0),B906+1,B906)</f>
        <v>203</v>
      </c>
      <c r="C907" s="41" t="str">
        <f t="array" ref="C907">+INDEX(Partidas!$A:$J,MATCH('Resultados dashboard'!$B907,Partidas!$C:$C,0),3+COUNTIF($B$2:B907,'Resultados dashboard'!$B907))</f>
        <v>Max</v>
      </c>
      <c r="D907" s="54">
        <v>5</v>
      </c>
      <c r="E907" s="54">
        <v>1</v>
      </c>
      <c r="F907" s="53"/>
      <c r="G907" s="54">
        <v>1</v>
      </c>
      <c r="H907" s="38">
        <f t="shared" si="7"/>
        <v>8</v>
      </c>
      <c r="I907" s="38">
        <f t="shared" si="6"/>
        <v>4</v>
      </c>
      <c r="J907" s="55"/>
    </row>
    <row r="908" spans="1:10" ht="12.75" customHeight="1" x14ac:dyDescent="0.2">
      <c r="A908" s="50">
        <f t="array" ref="A908">+INDEX(Partidas!$A:$J,MATCH('Resultados dashboard'!$B908,Partidas!$C:$C,0),2)</f>
        <v>45652</v>
      </c>
      <c r="B908" s="56">
        <f>+IF(COUNTIF($B$2:B907,B907)=VLOOKUP(B907,Partidas!$C:$J,8,0),B907+1,B907)</f>
        <v>203</v>
      </c>
      <c r="C908" s="41" t="str">
        <f t="array" ref="C908">+INDEX(Partidas!$A:$J,MATCH('Resultados dashboard'!$B908,Partidas!$C:$C,0),3+COUNTIF($B$2:B908,'Resultados dashboard'!$B908))</f>
        <v>Gaspa</v>
      </c>
      <c r="D908" s="54">
        <v>7</v>
      </c>
      <c r="E908" s="53"/>
      <c r="F908" s="54">
        <v>1</v>
      </c>
      <c r="G908" s="53"/>
      <c r="H908" s="38">
        <f t="shared" si="7"/>
        <v>9</v>
      </c>
      <c r="I908" s="38">
        <f t="shared" si="6"/>
        <v>2</v>
      </c>
      <c r="J908" s="55"/>
    </row>
    <row r="909" spans="1:10" ht="12.75" customHeight="1" x14ac:dyDescent="0.2">
      <c r="A909" s="50">
        <f t="array" ref="A909">+INDEX(Partidas!$A:$J,MATCH('Resultados dashboard'!$B909,Partidas!$C:$C,0),2)</f>
        <v>45652</v>
      </c>
      <c r="B909" s="56">
        <f>+IF(COUNTIF($B$2:B908,B908)=VLOOKUP(B908,Partidas!$C:$J,8,0),B908+1,B908)</f>
        <v>203</v>
      </c>
      <c r="C909" s="41" t="str">
        <f t="array" ref="C909">+INDEX(Partidas!$A:$J,MATCH('Resultados dashboard'!$B909,Partidas!$C:$C,0),3+COUNTIF($B$2:B909,'Resultados dashboard'!$B909))</f>
        <v>Hugo</v>
      </c>
      <c r="D909" s="54">
        <v>9</v>
      </c>
      <c r="E909" s="53"/>
      <c r="F909" s="53"/>
      <c r="G909" s="53"/>
      <c r="H909" s="38">
        <f t="shared" si="7"/>
        <v>9</v>
      </c>
      <c r="I909" s="38">
        <f t="shared" si="6"/>
        <v>2</v>
      </c>
      <c r="J909" s="55"/>
    </row>
    <row r="910" spans="1:10" ht="12.75" customHeight="1" x14ac:dyDescent="0.2">
      <c r="A910" s="50">
        <f t="array" ref="A910">+INDEX(Partidas!$A:$J,MATCH('Resultados dashboard'!$B910,Partidas!$C:$C,0),2)</f>
        <v>45652</v>
      </c>
      <c r="B910" s="56">
        <f>+IF(COUNTIF($B$2:B909,B909)=VLOOKUP(B909,Partidas!$C:$J,8,0),B909+1,B909)</f>
        <v>204</v>
      </c>
      <c r="C910" s="41" t="str">
        <f t="array" ref="C910">+INDEX(Partidas!$A:$J,MATCH('Resultados dashboard'!$B910,Partidas!$C:$C,0),3+COUNTIF($B$2:B910,'Resultados dashboard'!$B910))</f>
        <v>Gallo</v>
      </c>
      <c r="D910" s="54">
        <v>4</v>
      </c>
      <c r="E910" s="54">
        <v>1</v>
      </c>
      <c r="F910" s="53"/>
      <c r="G910" s="53"/>
      <c r="H910" s="38">
        <f t="shared" si="7"/>
        <v>5</v>
      </c>
      <c r="I910" s="38">
        <f t="shared" si="6"/>
        <v>3</v>
      </c>
      <c r="J910" s="55"/>
    </row>
    <row r="911" spans="1:10" ht="12.75" customHeight="1" x14ac:dyDescent="0.2">
      <c r="A911" s="50">
        <f t="array" ref="A911">+INDEX(Partidas!$A:$J,MATCH('Resultados dashboard'!$B911,Partidas!$C:$C,0),2)</f>
        <v>45652</v>
      </c>
      <c r="B911" s="56">
        <f>+IF(COUNTIF($B$2:B910,B910)=VLOOKUP(B910,Partidas!$C:$J,8,0),B910+1,B910)</f>
        <v>204</v>
      </c>
      <c r="C911" s="41" t="str">
        <f t="array" ref="C911">+INDEX(Partidas!$A:$J,MATCH('Resultados dashboard'!$B911,Partidas!$C:$C,0),3+COUNTIF($B$2:B911,'Resultados dashboard'!$B911))</f>
        <v>Ivo</v>
      </c>
      <c r="D911" s="54">
        <v>5</v>
      </c>
      <c r="E911" s="53"/>
      <c r="F911" s="53"/>
      <c r="G911" s="53"/>
      <c r="H911" s="38">
        <f t="shared" si="7"/>
        <v>5</v>
      </c>
      <c r="I911" s="38">
        <f t="shared" si="6"/>
        <v>3</v>
      </c>
      <c r="J911" s="55"/>
    </row>
    <row r="912" spans="1:10" ht="12.75" customHeight="1" x14ac:dyDescent="0.2">
      <c r="A912" s="50">
        <f t="array" ref="A912">+INDEX(Partidas!$A:$J,MATCH('Resultados dashboard'!$B912,Partidas!$C:$C,0),2)</f>
        <v>45652</v>
      </c>
      <c r="B912" s="56">
        <f>+IF(COUNTIF($B$2:B911,B911)=VLOOKUP(B911,Partidas!$C:$J,8,0),B911+1,B911)</f>
        <v>204</v>
      </c>
      <c r="C912" s="41" t="str">
        <f t="array" ref="C912">+INDEX(Partidas!$A:$J,MATCH('Resultados dashboard'!$B912,Partidas!$C:$C,0),3+COUNTIF($B$2:B912,'Resultados dashboard'!$B912))</f>
        <v>Max</v>
      </c>
      <c r="D912" s="54">
        <v>4</v>
      </c>
      <c r="E912" s="53"/>
      <c r="F912" s="53"/>
      <c r="G912" s="53"/>
      <c r="H912" s="38">
        <f t="shared" si="7"/>
        <v>4</v>
      </c>
      <c r="I912" s="38">
        <f t="shared" si="6"/>
        <v>5</v>
      </c>
      <c r="J912" s="55"/>
    </row>
    <row r="913" spans="1:10" ht="12.75" customHeight="1" x14ac:dyDescent="0.2">
      <c r="A913" s="50">
        <f t="array" ref="A913">+INDEX(Partidas!$A:$J,MATCH('Resultados dashboard'!$B913,Partidas!$C:$C,0),2)</f>
        <v>45652</v>
      </c>
      <c r="B913" s="56">
        <f>+IF(COUNTIF($B$2:B912,B912)=VLOOKUP(B912,Partidas!$C:$J,8,0),B912+1,B912)</f>
        <v>204</v>
      </c>
      <c r="C913" s="41" t="str">
        <f t="array" ref="C913">+INDEX(Partidas!$A:$J,MATCH('Resultados dashboard'!$B913,Partidas!$C:$C,0),3+COUNTIF($B$2:B913,'Resultados dashboard'!$B913))</f>
        <v>Gaspa</v>
      </c>
      <c r="D913" s="54">
        <v>3</v>
      </c>
      <c r="E913" s="54">
        <v>1</v>
      </c>
      <c r="F913" s="54">
        <v>1</v>
      </c>
      <c r="G913" s="53"/>
      <c r="H913" s="38">
        <f t="shared" si="7"/>
        <v>6</v>
      </c>
      <c r="I913" s="38">
        <f t="shared" si="6"/>
        <v>2</v>
      </c>
      <c r="J913" s="55"/>
    </row>
    <row r="914" spans="1:10" ht="12.75" customHeight="1" x14ac:dyDescent="0.2">
      <c r="A914" s="50">
        <f t="array" ref="A914">+INDEX(Partidas!$A:$J,MATCH('Resultados dashboard'!$B914,Partidas!$C:$C,0),2)</f>
        <v>45652</v>
      </c>
      <c r="B914" s="56">
        <f>+IF(COUNTIF($B$2:B913,B913)=VLOOKUP(B913,Partidas!$C:$J,8,0),B913+1,B913)</f>
        <v>204</v>
      </c>
      <c r="C914" s="41" t="str">
        <f t="array" ref="C914">+INDEX(Partidas!$A:$J,MATCH('Resultados dashboard'!$B914,Partidas!$C:$C,0),3+COUNTIF($B$2:B914,'Resultados dashboard'!$B914))</f>
        <v>Hugo</v>
      </c>
      <c r="D914" s="54">
        <v>8</v>
      </c>
      <c r="E914" s="53"/>
      <c r="F914" s="53"/>
      <c r="G914" s="54">
        <v>1</v>
      </c>
      <c r="H914" s="38">
        <f t="shared" si="7"/>
        <v>10</v>
      </c>
      <c r="I914" s="38">
        <f t="shared" si="6"/>
        <v>1</v>
      </c>
      <c r="J914" s="55"/>
    </row>
    <row r="915" spans="1:10" ht="12.75" customHeight="1" x14ac:dyDescent="0.2">
      <c r="A915" s="50">
        <f t="array" ref="A915">+INDEX(Partidas!$A:$J,MATCH('Resultados dashboard'!$B915,Partidas!$C:$C,0),2)</f>
        <v>45652</v>
      </c>
      <c r="B915" s="56">
        <f>+IF(COUNTIF($B$2:B914,B914)=VLOOKUP(B914,Partidas!$C:$J,8,0),B914+1,B914)</f>
        <v>205</v>
      </c>
      <c r="C915" s="41" t="str">
        <f t="array" ref="C915">+INDEX(Partidas!$A:$J,MATCH('Resultados dashboard'!$B915,Partidas!$C:$C,0),3+COUNTIF($B$2:B915,'Resultados dashboard'!$B915))</f>
        <v>Gallo</v>
      </c>
      <c r="D915" s="54">
        <v>7</v>
      </c>
      <c r="E915" s="53"/>
      <c r="F915" s="53"/>
      <c r="G915" s="53"/>
      <c r="H915" s="38">
        <f t="shared" si="7"/>
        <v>7</v>
      </c>
      <c r="I915" s="38">
        <f t="shared" si="6"/>
        <v>3</v>
      </c>
      <c r="J915" s="55"/>
    </row>
    <row r="916" spans="1:10" ht="12.75" customHeight="1" x14ac:dyDescent="0.2">
      <c r="A916" s="50">
        <f t="array" ref="A916">+INDEX(Partidas!$A:$J,MATCH('Resultados dashboard'!$B916,Partidas!$C:$C,0),2)</f>
        <v>45652</v>
      </c>
      <c r="B916" s="56">
        <f>+IF(COUNTIF($B$2:B915,B915)=VLOOKUP(B915,Partidas!$C:$J,8,0),B915+1,B915)</f>
        <v>205</v>
      </c>
      <c r="C916" s="41" t="str">
        <f t="array" ref="C916">+INDEX(Partidas!$A:$J,MATCH('Resultados dashboard'!$B916,Partidas!$C:$C,0),3+COUNTIF($B$2:B916,'Resultados dashboard'!$B916))</f>
        <v>Ivo</v>
      </c>
      <c r="D916" s="54">
        <v>6</v>
      </c>
      <c r="E916" s="54">
        <v>1</v>
      </c>
      <c r="F916" s="53"/>
      <c r="G916" s="54">
        <v>1</v>
      </c>
      <c r="H916" s="38">
        <f t="shared" si="7"/>
        <v>9</v>
      </c>
      <c r="I916" s="38">
        <f t="shared" si="6"/>
        <v>2</v>
      </c>
      <c r="J916" s="55"/>
    </row>
    <row r="917" spans="1:10" ht="12.75" customHeight="1" x14ac:dyDescent="0.2">
      <c r="A917" s="50">
        <f t="array" ref="A917">+INDEX(Partidas!$A:$J,MATCH('Resultados dashboard'!$B917,Partidas!$C:$C,0),2)</f>
        <v>45652</v>
      </c>
      <c r="B917" s="56">
        <f>+IF(COUNTIF($B$2:B916,B916)=VLOOKUP(B916,Partidas!$C:$J,8,0),B916+1,B916)</f>
        <v>205</v>
      </c>
      <c r="C917" s="41" t="str">
        <f t="array" ref="C917">+INDEX(Partidas!$A:$J,MATCH('Resultados dashboard'!$B917,Partidas!$C:$C,0),3+COUNTIF($B$2:B917,'Resultados dashboard'!$B917))</f>
        <v>Max</v>
      </c>
      <c r="D917" s="54">
        <v>5</v>
      </c>
      <c r="E917" s="53"/>
      <c r="F917" s="53"/>
      <c r="G917" s="53"/>
      <c r="H917" s="38">
        <f t="shared" si="7"/>
        <v>5</v>
      </c>
      <c r="I917" s="38">
        <f t="shared" si="6"/>
        <v>5</v>
      </c>
      <c r="J917" s="55"/>
    </row>
    <row r="918" spans="1:10" ht="12.75" customHeight="1" x14ac:dyDescent="0.2">
      <c r="A918" s="50">
        <f t="array" ref="A918">+INDEX(Partidas!$A:$J,MATCH('Resultados dashboard'!$B918,Partidas!$C:$C,0),2)</f>
        <v>45652</v>
      </c>
      <c r="B918" s="56">
        <f>+IF(COUNTIF($B$2:B917,B917)=VLOOKUP(B917,Partidas!$C:$J,8,0),B917+1,B917)</f>
        <v>205</v>
      </c>
      <c r="C918" s="41" t="str">
        <f t="array" ref="C918">+INDEX(Partidas!$A:$J,MATCH('Resultados dashboard'!$B918,Partidas!$C:$C,0),3+COUNTIF($B$2:B918,'Resultados dashboard'!$B918))</f>
        <v>Gaspa</v>
      </c>
      <c r="D918" s="54">
        <v>7</v>
      </c>
      <c r="E918" s="53"/>
      <c r="F918" s="53"/>
      <c r="G918" s="53"/>
      <c r="H918" s="38">
        <f t="shared" si="7"/>
        <v>7</v>
      </c>
      <c r="I918" s="38">
        <f t="shared" si="6"/>
        <v>3</v>
      </c>
      <c r="J918" s="55"/>
    </row>
    <row r="919" spans="1:10" ht="12.75" customHeight="1" x14ac:dyDescent="0.2">
      <c r="A919" s="50">
        <f t="array" ref="A919">+INDEX(Partidas!$A:$J,MATCH('Resultados dashboard'!$B919,Partidas!$C:$C,0),2)</f>
        <v>45652</v>
      </c>
      <c r="B919" s="56">
        <f>+IF(COUNTIF($B$2:B918,B918)=VLOOKUP(B918,Partidas!$C:$J,8,0),B918+1,B918)</f>
        <v>205</v>
      </c>
      <c r="C919" s="41" t="str">
        <f t="array" ref="C919">+INDEX(Partidas!$A:$J,MATCH('Resultados dashboard'!$B919,Partidas!$C:$C,0),3+COUNTIF($B$2:B919,'Resultados dashboard'!$B919))</f>
        <v>Hugo</v>
      </c>
      <c r="D919" s="54">
        <v>8</v>
      </c>
      <c r="E919" s="54">
        <v>1</v>
      </c>
      <c r="F919" s="54">
        <v>1</v>
      </c>
      <c r="G919" s="53"/>
      <c r="H919" s="38">
        <f t="shared" si="7"/>
        <v>11</v>
      </c>
      <c r="I919" s="38">
        <f t="shared" si="6"/>
        <v>1</v>
      </c>
      <c r="J919" s="55"/>
    </row>
    <row r="920" spans="1:10" ht="12.75" customHeight="1" x14ac:dyDescent="0.2">
      <c r="A920" s="50">
        <f t="array" ref="A920">+INDEX(Partidas!$A:$J,MATCH('Resultados dashboard'!$B920,Partidas!$C:$C,0),2)</f>
        <v>45652</v>
      </c>
      <c r="B920" s="56">
        <f>+IF(COUNTIF($B$2:B919,B919)=VLOOKUP(B919,Partidas!$C:$J,8,0),B919+1,B919)</f>
        <v>206</v>
      </c>
      <c r="C920" s="41" t="str">
        <f t="array" ref="C920">+INDEX(Partidas!$A:$J,MATCH('Resultados dashboard'!$B920,Partidas!$C:$C,0),3+COUNTIF($B$2:B920,'Resultados dashboard'!$B920))</f>
        <v>Gallo</v>
      </c>
      <c r="D920" s="54">
        <v>6</v>
      </c>
      <c r="E920" s="53"/>
      <c r="F920" s="54">
        <v>1</v>
      </c>
      <c r="G920" s="54">
        <v>1</v>
      </c>
      <c r="H920" s="38">
        <f t="shared" si="7"/>
        <v>10</v>
      </c>
      <c r="I920" s="38">
        <f t="shared" si="6"/>
        <v>1</v>
      </c>
      <c r="J920" s="55"/>
    </row>
    <row r="921" spans="1:10" ht="12.75" customHeight="1" x14ac:dyDescent="0.2">
      <c r="A921" s="50">
        <f t="array" ref="A921">+INDEX(Partidas!$A:$J,MATCH('Resultados dashboard'!$B921,Partidas!$C:$C,0),2)</f>
        <v>45652</v>
      </c>
      <c r="B921" s="56">
        <f>+IF(COUNTIF($B$2:B920,B920)=VLOOKUP(B920,Partidas!$C:$J,8,0),B920+1,B920)</f>
        <v>206</v>
      </c>
      <c r="C921" s="41" t="str">
        <f t="array" ref="C921">+INDEX(Partidas!$A:$J,MATCH('Resultados dashboard'!$B921,Partidas!$C:$C,0),3+COUNTIF($B$2:B921,'Resultados dashboard'!$B921))</f>
        <v>Ivo</v>
      </c>
      <c r="D921" s="54">
        <v>3</v>
      </c>
      <c r="E921" s="54">
        <v>3</v>
      </c>
      <c r="F921" s="53"/>
      <c r="G921" s="53"/>
      <c r="H921" s="38">
        <f t="shared" si="7"/>
        <v>6</v>
      </c>
      <c r="I921" s="38">
        <f t="shared" si="6"/>
        <v>2</v>
      </c>
      <c r="J921" s="55"/>
    </row>
    <row r="922" spans="1:10" ht="12.75" customHeight="1" x14ac:dyDescent="0.2">
      <c r="A922" s="50">
        <f t="array" ref="A922">+INDEX(Partidas!$A:$J,MATCH('Resultados dashboard'!$B922,Partidas!$C:$C,0),2)</f>
        <v>45652</v>
      </c>
      <c r="B922" s="56">
        <f>+IF(COUNTIF($B$2:B921,B921)=VLOOKUP(B921,Partidas!$C:$J,8,0),B921+1,B921)</f>
        <v>206</v>
      </c>
      <c r="C922" s="41" t="str">
        <f t="array" ref="C922">+INDEX(Partidas!$A:$J,MATCH('Resultados dashboard'!$B922,Partidas!$C:$C,0),3+COUNTIF($B$2:B922,'Resultados dashboard'!$B922))</f>
        <v>Max</v>
      </c>
      <c r="D922" s="54">
        <v>5</v>
      </c>
      <c r="E922" s="53"/>
      <c r="F922" s="53"/>
      <c r="G922" s="53"/>
      <c r="H922" s="38">
        <f t="shared" si="7"/>
        <v>5</v>
      </c>
      <c r="I922" s="38">
        <f t="shared" si="6"/>
        <v>3</v>
      </c>
      <c r="J922" s="55"/>
    </row>
    <row r="923" spans="1:10" ht="12.75" customHeight="1" x14ac:dyDescent="0.2">
      <c r="A923" s="50">
        <f t="array" ref="A923">+INDEX(Partidas!$A:$J,MATCH('Resultados dashboard'!$B923,Partidas!$C:$C,0),2)</f>
        <v>45652</v>
      </c>
      <c r="B923" s="56">
        <f>+IF(COUNTIF($B$2:B922,B922)=VLOOKUP(B922,Partidas!$C:$J,8,0),B922+1,B922)</f>
        <v>206</v>
      </c>
      <c r="C923" s="41" t="str">
        <f t="array" ref="C923">+INDEX(Partidas!$A:$J,MATCH('Resultados dashboard'!$B923,Partidas!$C:$C,0),3+COUNTIF($B$2:B923,'Resultados dashboard'!$B923))</f>
        <v>Gaspa</v>
      </c>
      <c r="D923" s="54">
        <v>2</v>
      </c>
      <c r="E923" s="53"/>
      <c r="F923" s="53"/>
      <c r="G923" s="53"/>
      <c r="H923" s="38">
        <f t="shared" si="7"/>
        <v>2</v>
      </c>
      <c r="I923" s="38">
        <f t="shared" si="6"/>
        <v>4</v>
      </c>
      <c r="J923" s="55"/>
    </row>
    <row r="924" spans="1:10" ht="12.75" customHeight="1" x14ac:dyDescent="0.2">
      <c r="A924" s="50">
        <f t="array" ref="A924">+INDEX(Partidas!$A:$J,MATCH('Resultados dashboard'!$B924,Partidas!$C:$C,0),2)</f>
        <v>45669</v>
      </c>
      <c r="B924" s="56">
        <f>+IF(COUNTIF($B$2:B923,B923)=VLOOKUP(B923,Partidas!$C:$J,8,0),B923+1,B923)</f>
        <v>207</v>
      </c>
      <c r="C924" s="41" t="str">
        <f t="array" ref="C924">+INDEX(Partidas!$A:$J,MATCH('Resultados dashboard'!$B924,Partidas!$C:$C,0),3+COUNTIF($B$2:B924,'Resultados dashboard'!$B924))</f>
        <v>Gallo</v>
      </c>
      <c r="D924" s="54">
        <v>8</v>
      </c>
      <c r="E924" s="54"/>
      <c r="F924" s="53"/>
      <c r="G924" s="54">
        <v>1</v>
      </c>
      <c r="H924" s="38">
        <f t="shared" si="7"/>
        <v>10</v>
      </c>
      <c r="I924" s="38">
        <f t="shared" si="6"/>
        <v>1</v>
      </c>
      <c r="J924" s="55"/>
    </row>
    <row r="925" spans="1:10" ht="12.75" customHeight="1" x14ac:dyDescent="0.2">
      <c r="A925" s="50">
        <f t="array" ref="A925">+INDEX(Partidas!$A:$J,MATCH('Resultados dashboard'!$B925,Partidas!$C:$C,0),2)</f>
        <v>45669</v>
      </c>
      <c r="B925" s="56">
        <f>+IF(COUNTIF($B$2:B924,B924)=VLOOKUP(B924,Partidas!$C:$J,8,0),B924+1,B924)</f>
        <v>207</v>
      </c>
      <c r="C925" s="41" t="str">
        <f t="array" ref="C925">+INDEX(Partidas!$A:$J,MATCH('Resultados dashboard'!$B925,Partidas!$C:$C,0),3+COUNTIF($B$2:B925,'Resultados dashboard'!$B925))</f>
        <v>Ivo</v>
      </c>
      <c r="D925" s="54">
        <v>6</v>
      </c>
      <c r="E925" s="53"/>
      <c r="F925" s="54">
        <v>1</v>
      </c>
      <c r="G925" s="53"/>
      <c r="H925" s="38">
        <f t="shared" si="7"/>
        <v>8</v>
      </c>
      <c r="I925" s="38">
        <f t="shared" si="6"/>
        <v>2</v>
      </c>
      <c r="J925" s="55"/>
    </row>
    <row r="926" spans="1:10" ht="12.75" customHeight="1" x14ac:dyDescent="0.2">
      <c r="A926" s="50">
        <f t="array" ref="A926">+INDEX(Partidas!$A:$J,MATCH('Resultados dashboard'!$B926,Partidas!$C:$C,0),2)</f>
        <v>45669</v>
      </c>
      <c r="B926" s="56">
        <f>+IF(COUNTIF($B$2:B925,B925)=VLOOKUP(B925,Partidas!$C:$J,8,0),B925+1,B925)</f>
        <v>207</v>
      </c>
      <c r="C926" s="41" t="str">
        <f t="array" ref="C926">+INDEX(Partidas!$A:$J,MATCH('Resultados dashboard'!$B926,Partidas!$C:$C,0),3+COUNTIF($B$2:B926,'Resultados dashboard'!$B926))</f>
        <v>Max</v>
      </c>
      <c r="D926" s="54">
        <v>8</v>
      </c>
      <c r="E926" s="53"/>
      <c r="F926" s="53"/>
      <c r="G926" s="53"/>
      <c r="H926" s="38">
        <f t="shared" si="7"/>
        <v>8</v>
      </c>
      <c r="I926" s="38">
        <f t="shared" si="6"/>
        <v>2</v>
      </c>
      <c r="J926" s="55"/>
    </row>
    <row r="927" spans="1:10" ht="12.75" customHeight="1" x14ac:dyDescent="0.2">
      <c r="A927" s="50">
        <f t="array" ref="A927">+INDEX(Partidas!$A:$J,MATCH('Resultados dashboard'!$B927,Partidas!$C:$C,0),2)</f>
        <v>45669</v>
      </c>
      <c r="B927" s="56">
        <f>+IF(COUNTIF($B$2:B926,B926)=VLOOKUP(B926,Partidas!$C:$J,8,0),B926+1,B926)</f>
        <v>207</v>
      </c>
      <c r="C927" s="41" t="str">
        <f t="array" ref="C927">+INDEX(Partidas!$A:$J,MATCH('Resultados dashboard'!$B927,Partidas!$C:$C,0),3+COUNTIF($B$2:B927,'Resultados dashboard'!$B927))</f>
        <v>Gaspa</v>
      </c>
      <c r="D927" s="54">
        <v>4</v>
      </c>
      <c r="E927" s="54">
        <v>2</v>
      </c>
      <c r="F927" s="53"/>
      <c r="G927" s="53"/>
      <c r="H927" s="38">
        <f t="shared" si="7"/>
        <v>6</v>
      </c>
      <c r="I927" s="38">
        <f t="shared" si="6"/>
        <v>5</v>
      </c>
      <c r="J927" s="55"/>
    </row>
    <row r="928" spans="1:10" ht="12.75" customHeight="1" x14ac:dyDescent="0.2">
      <c r="A928" s="50">
        <f t="array" ref="A928">+INDEX(Partidas!$A:$J,MATCH('Resultados dashboard'!$B928,Partidas!$C:$C,0),2)</f>
        <v>45669</v>
      </c>
      <c r="B928" s="56">
        <f>+IF(COUNTIF($B$2:B927,B927)=VLOOKUP(B927,Partidas!$C:$J,8,0),B927+1,B927)</f>
        <v>207</v>
      </c>
      <c r="C928" s="41" t="str">
        <f t="array" ref="C928">+INDEX(Partidas!$A:$J,MATCH('Resultados dashboard'!$B928,Partidas!$C:$C,0),3+COUNTIF($B$2:B928,'Resultados dashboard'!$B928))</f>
        <v>Gasta</v>
      </c>
      <c r="D928" s="54">
        <v>7</v>
      </c>
      <c r="E928" s="53"/>
      <c r="F928" s="53"/>
      <c r="G928" s="53"/>
      <c r="H928" s="38">
        <f t="shared" si="7"/>
        <v>7</v>
      </c>
      <c r="I928" s="38">
        <f t="shared" si="6"/>
        <v>4</v>
      </c>
      <c r="J928" s="55"/>
    </row>
    <row r="929" spans="1:10" ht="12.75" customHeight="1" x14ac:dyDescent="0.2">
      <c r="A929" s="50">
        <f t="array" ref="A929">+INDEX(Partidas!$A:$J,MATCH('Resultados dashboard'!$B929,Partidas!$C:$C,0),2)</f>
        <v>45669</v>
      </c>
      <c r="B929" s="56">
        <f>+IF(COUNTIF($B$2:B928,B928)=VLOOKUP(B928,Partidas!$C:$J,8,0),B928+1,B928)</f>
        <v>208</v>
      </c>
      <c r="C929" s="41" t="str">
        <f t="array" ref="C929">+INDEX(Partidas!$A:$J,MATCH('Resultados dashboard'!$B929,Partidas!$C:$C,0),3+COUNTIF($B$2:B929,'Resultados dashboard'!$B929))</f>
        <v>Gallo</v>
      </c>
      <c r="D929" s="54">
        <v>6</v>
      </c>
      <c r="E929" s="54">
        <v>1</v>
      </c>
      <c r="F929" s="54">
        <v>1</v>
      </c>
      <c r="G929" s="54"/>
      <c r="H929" s="38">
        <f t="shared" si="7"/>
        <v>9</v>
      </c>
      <c r="I929" s="38">
        <f t="shared" si="6"/>
        <v>2</v>
      </c>
      <c r="J929" s="55"/>
    </row>
    <row r="930" spans="1:10" ht="12.75" customHeight="1" x14ac:dyDescent="0.2">
      <c r="A930" s="50">
        <f t="array" ref="A930">+INDEX(Partidas!$A:$J,MATCH('Resultados dashboard'!$B930,Partidas!$C:$C,0),2)</f>
        <v>45669</v>
      </c>
      <c r="B930" s="56">
        <f>+IF(COUNTIF($B$2:B929,B929)=VLOOKUP(B929,Partidas!$C:$J,8,0),B929+1,B929)</f>
        <v>208</v>
      </c>
      <c r="C930" s="41" t="str">
        <f t="array" ref="C930">+INDEX(Partidas!$A:$J,MATCH('Resultados dashboard'!$B930,Partidas!$C:$C,0),3+COUNTIF($B$2:B930,'Resultados dashboard'!$B930))</f>
        <v>Ivo</v>
      </c>
      <c r="D930" s="54">
        <v>10</v>
      </c>
      <c r="E930" s="53"/>
      <c r="F930" s="53"/>
      <c r="G930" s="53"/>
      <c r="H930" s="38">
        <f t="shared" si="7"/>
        <v>10</v>
      </c>
      <c r="I930" s="38">
        <f t="shared" ref="I930:I1007" si="8">COUNTIFS($B$2:$B$1075,B930,$H$2:$H$1075,"&gt;" &amp; H930)+1</f>
        <v>1</v>
      </c>
      <c r="J930" s="55"/>
    </row>
    <row r="931" spans="1:10" ht="12.75" customHeight="1" x14ac:dyDescent="0.2">
      <c r="A931" s="50">
        <f t="array" ref="A931">+INDEX(Partidas!$A:$J,MATCH('Resultados dashboard'!$B931,Partidas!$C:$C,0),2)</f>
        <v>45669</v>
      </c>
      <c r="B931" s="56">
        <f>+IF(COUNTIF($B$2:B930,B930)=VLOOKUP(B930,Partidas!$C:$J,8,0),B930+1,B930)</f>
        <v>208</v>
      </c>
      <c r="C931" s="41" t="str">
        <f t="array" ref="C931">+INDEX(Partidas!$A:$J,MATCH('Resultados dashboard'!$B931,Partidas!$C:$C,0),3+COUNTIF($B$2:B931,'Resultados dashboard'!$B931))</f>
        <v>Max</v>
      </c>
      <c r="D931" s="54">
        <v>9</v>
      </c>
      <c r="E931" s="53"/>
      <c r="F931" s="53"/>
      <c r="G931" s="53"/>
      <c r="H931" s="38">
        <f t="shared" si="7"/>
        <v>9</v>
      </c>
      <c r="I931" s="38">
        <f t="shared" si="8"/>
        <v>2</v>
      </c>
      <c r="J931" s="55"/>
    </row>
    <row r="932" spans="1:10" ht="12.75" customHeight="1" x14ac:dyDescent="0.2">
      <c r="A932" s="50">
        <f t="array" ref="A932">+INDEX(Partidas!$A:$J,MATCH('Resultados dashboard'!$B932,Partidas!$C:$C,0),2)</f>
        <v>45669</v>
      </c>
      <c r="B932" s="56">
        <f>+IF(COUNTIF($B$2:B931,B931)=VLOOKUP(B931,Partidas!$C:$J,8,0),B931+1,B931)</f>
        <v>208</v>
      </c>
      <c r="C932" s="41" t="str">
        <f t="array" ref="C932">+INDEX(Partidas!$A:$J,MATCH('Resultados dashboard'!$B932,Partidas!$C:$C,0),3+COUNTIF($B$2:B932,'Resultados dashboard'!$B932))</f>
        <v>Gaspa</v>
      </c>
      <c r="D932" s="54">
        <v>6</v>
      </c>
      <c r="E932" s="54">
        <v>1</v>
      </c>
      <c r="F932" s="53"/>
      <c r="G932" s="54">
        <v>1</v>
      </c>
      <c r="H932" s="38">
        <f t="shared" si="7"/>
        <v>9</v>
      </c>
      <c r="I932" s="38">
        <f t="shared" si="8"/>
        <v>2</v>
      </c>
      <c r="J932" s="55"/>
    </row>
    <row r="933" spans="1:10" ht="12.75" customHeight="1" x14ac:dyDescent="0.2">
      <c r="A933" s="50">
        <f t="array" ref="A933">+INDEX(Partidas!$A:$J,MATCH('Resultados dashboard'!$B933,Partidas!$C:$C,0),2)</f>
        <v>45669</v>
      </c>
      <c r="B933" s="56">
        <f>+IF(COUNTIF($B$2:B932,B932)=VLOOKUP(B932,Partidas!$C:$J,8,0),B932+1,B932)</f>
        <v>209</v>
      </c>
      <c r="C933" s="41" t="str">
        <f t="array" ref="C933">+INDEX(Partidas!$A:$J,MATCH('Resultados dashboard'!$B933,Partidas!$C:$C,0),3+COUNTIF($B$2:B933,'Resultados dashboard'!$B933))</f>
        <v>Gallo</v>
      </c>
      <c r="D933" s="54">
        <v>6</v>
      </c>
      <c r="E933" s="53"/>
      <c r="F933" s="53"/>
      <c r="G933" s="53"/>
      <c r="H933" s="38">
        <f t="shared" si="7"/>
        <v>6</v>
      </c>
      <c r="I933" s="38">
        <f t="shared" si="8"/>
        <v>3</v>
      </c>
      <c r="J933" s="55"/>
    </row>
    <row r="934" spans="1:10" ht="12.75" customHeight="1" x14ac:dyDescent="0.2">
      <c r="A934" s="50">
        <f t="array" ref="A934">+INDEX(Partidas!$A:$J,MATCH('Resultados dashboard'!$B934,Partidas!$C:$C,0),2)</f>
        <v>45669</v>
      </c>
      <c r="B934" s="56">
        <f>+IF(COUNTIF($B$2:B933,B933)=VLOOKUP(B933,Partidas!$C:$J,8,0),B933+1,B933)</f>
        <v>209</v>
      </c>
      <c r="C934" s="41" t="str">
        <f t="array" ref="C934">+INDEX(Partidas!$A:$J,MATCH('Resultados dashboard'!$B934,Partidas!$C:$C,0),3+COUNTIF($B$2:B934,'Resultados dashboard'!$B934))</f>
        <v>Ivo</v>
      </c>
      <c r="D934" s="54">
        <v>5</v>
      </c>
      <c r="E934" s="54">
        <v>1</v>
      </c>
      <c r="F934" s="54">
        <v>1</v>
      </c>
      <c r="G934" s="54">
        <v>1</v>
      </c>
      <c r="H934" s="38">
        <f t="shared" si="7"/>
        <v>10</v>
      </c>
      <c r="I934" s="38">
        <f t="shared" si="8"/>
        <v>1</v>
      </c>
      <c r="J934" s="55"/>
    </row>
    <row r="935" spans="1:10" ht="12.75" customHeight="1" x14ac:dyDescent="0.2">
      <c r="A935" s="50">
        <f t="array" ref="A935">+INDEX(Partidas!$A:$J,MATCH('Resultados dashboard'!$B935,Partidas!$C:$C,0),2)</f>
        <v>45669</v>
      </c>
      <c r="B935" s="56">
        <f>+IF(COUNTIF($B$2:B934,B934)=VLOOKUP(B934,Partidas!$C:$J,8,0),B934+1,B934)</f>
        <v>209</v>
      </c>
      <c r="C935" s="41" t="str">
        <f t="array" ref="C935">+INDEX(Partidas!$A:$J,MATCH('Resultados dashboard'!$B935,Partidas!$C:$C,0),3+COUNTIF($B$2:B935,'Resultados dashboard'!$B935))</f>
        <v>Max</v>
      </c>
      <c r="D935" s="54">
        <v>7</v>
      </c>
      <c r="E935" s="53"/>
      <c r="F935" s="53"/>
      <c r="G935" s="53"/>
      <c r="H935" s="38">
        <f t="shared" si="7"/>
        <v>7</v>
      </c>
      <c r="I935" s="38">
        <f t="shared" si="8"/>
        <v>2</v>
      </c>
      <c r="J935" s="55"/>
    </row>
    <row r="936" spans="1:10" ht="12.75" customHeight="1" x14ac:dyDescent="0.2">
      <c r="A936" s="50">
        <f t="array" ref="A936">+INDEX(Partidas!$A:$J,MATCH('Resultados dashboard'!$B936,Partidas!$C:$C,0),2)</f>
        <v>45669</v>
      </c>
      <c r="B936" s="56">
        <f>+IF(COUNTIF($B$2:B935,B935)=VLOOKUP(B935,Partidas!$C:$J,8,0),B935+1,B935)</f>
        <v>209</v>
      </c>
      <c r="C936" s="41" t="str">
        <f t="array" ref="C936">+INDEX(Partidas!$A:$J,MATCH('Resultados dashboard'!$B936,Partidas!$C:$C,0),3+COUNTIF($B$2:B936,'Resultados dashboard'!$B936))</f>
        <v>Gaspa</v>
      </c>
      <c r="D936" s="54">
        <v>6</v>
      </c>
      <c r="E936" s="53"/>
      <c r="F936" s="53"/>
      <c r="G936" s="53"/>
      <c r="H936" s="38">
        <f t="shared" si="7"/>
        <v>6</v>
      </c>
      <c r="I936" s="38">
        <f t="shared" si="8"/>
        <v>3</v>
      </c>
      <c r="J936" s="55"/>
    </row>
    <row r="937" spans="1:10" ht="12.75" customHeight="1" x14ac:dyDescent="0.2">
      <c r="A937" s="50">
        <f t="array" ref="A937">+INDEX(Partidas!$A:$J,MATCH('Resultados dashboard'!$B937,Partidas!$C:$C,0),2)</f>
        <v>45669</v>
      </c>
      <c r="B937" s="56">
        <f>+IF(COUNTIF($B$2:B936,B936)=VLOOKUP(B936,Partidas!$C:$J,8,0),B936+1,B936)</f>
        <v>210</v>
      </c>
      <c r="C937" s="41" t="str">
        <f t="array" ref="C937">+INDEX(Partidas!$A:$J,MATCH('Resultados dashboard'!$B937,Partidas!$C:$C,0),3+COUNTIF($B$2:B937,'Resultados dashboard'!$B937))</f>
        <v>Gallo</v>
      </c>
      <c r="D937" s="54">
        <v>5</v>
      </c>
      <c r="E937" s="54">
        <v>3</v>
      </c>
      <c r="F937" s="53"/>
      <c r="G937" s="53"/>
      <c r="H937" s="38">
        <f t="shared" si="7"/>
        <v>8</v>
      </c>
      <c r="I937" s="38">
        <f t="shared" si="8"/>
        <v>2</v>
      </c>
      <c r="J937" s="55"/>
    </row>
    <row r="938" spans="1:10" ht="12.75" customHeight="1" x14ac:dyDescent="0.2">
      <c r="A938" s="50">
        <f t="array" ref="A938">+INDEX(Partidas!$A:$J,MATCH('Resultados dashboard'!$B938,Partidas!$C:$C,0),2)</f>
        <v>45669</v>
      </c>
      <c r="B938" s="56">
        <f>+IF(COUNTIF($B$2:B937,B937)=VLOOKUP(B937,Partidas!$C:$J,8,0),B937+1,B937)</f>
        <v>210</v>
      </c>
      <c r="C938" s="41" t="str">
        <f t="array" ref="C938">+INDEX(Partidas!$A:$J,MATCH('Resultados dashboard'!$B938,Partidas!$C:$C,0),3+COUNTIF($B$2:B938,'Resultados dashboard'!$B938))</f>
        <v>Ivo</v>
      </c>
      <c r="D938" s="54">
        <v>8</v>
      </c>
      <c r="E938" s="53"/>
      <c r="F938" s="54">
        <v>1</v>
      </c>
      <c r="G938" s="53"/>
      <c r="H938" s="38">
        <f t="shared" si="7"/>
        <v>10</v>
      </c>
      <c r="I938" s="38">
        <f t="shared" si="8"/>
        <v>1</v>
      </c>
      <c r="J938" s="55"/>
    </row>
    <row r="939" spans="1:10" ht="12.75" customHeight="1" x14ac:dyDescent="0.2">
      <c r="A939" s="50">
        <f t="array" ref="A939">+INDEX(Partidas!$A:$J,MATCH('Resultados dashboard'!$B939,Partidas!$C:$C,0),2)</f>
        <v>45669</v>
      </c>
      <c r="B939" s="56">
        <f>+IF(COUNTIF($B$2:B938,B938)=VLOOKUP(B938,Partidas!$C:$J,8,0),B938+1,B938)</f>
        <v>210</v>
      </c>
      <c r="C939" s="41" t="str">
        <f t="array" ref="C939">+INDEX(Partidas!$A:$J,MATCH('Resultados dashboard'!$B939,Partidas!$C:$C,0),3+COUNTIF($B$2:B939,'Resultados dashboard'!$B939))</f>
        <v>Max</v>
      </c>
      <c r="D939" s="54">
        <v>5</v>
      </c>
      <c r="E939" s="54">
        <v>1</v>
      </c>
      <c r="F939" s="53"/>
      <c r="G939" s="54">
        <v>1</v>
      </c>
      <c r="H939" s="38">
        <f t="shared" si="7"/>
        <v>8</v>
      </c>
      <c r="I939" s="38">
        <f t="shared" si="8"/>
        <v>2</v>
      </c>
      <c r="J939" s="55"/>
    </row>
    <row r="940" spans="1:10" ht="12.75" customHeight="1" x14ac:dyDescent="0.2">
      <c r="A940" s="50">
        <f t="array" ref="A940">+INDEX(Partidas!$A:$J,MATCH('Resultados dashboard'!$B940,Partidas!$C:$C,0),2)</f>
        <v>45669</v>
      </c>
      <c r="B940" s="56">
        <f>+IF(COUNTIF($B$2:B939,B939)=VLOOKUP(B939,Partidas!$C:$J,8,0),B939+1,B939)</f>
        <v>210</v>
      </c>
      <c r="C940" s="41" t="str">
        <f t="array" ref="C940">+INDEX(Partidas!$A:$J,MATCH('Resultados dashboard'!$B940,Partidas!$C:$C,0),3+COUNTIF($B$2:B940,'Resultados dashboard'!$B940))</f>
        <v>Gaspa</v>
      </c>
      <c r="D940" s="54">
        <v>5</v>
      </c>
      <c r="E940" s="54">
        <v>1</v>
      </c>
      <c r="F940" s="53"/>
      <c r="G940" s="53"/>
      <c r="H940" s="38">
        <f t="shared" si="7"/>
        <v>6</v>
      </c>
      <c r="I940" s="38">
        <f t="shared" si="8"/>
        <v>4</v>
      </c>
      <c r="J940" s="55"/>
    </row>
    <row r="941" spans="1:10" ht="12.75" customHeight="1" x14ac:dyDescent="0.2">
      <c r="A941" s="50">
        <f t="array" ref="A941">+INDEX(Partidas!$A:$J,MATCH('Resultados dashboard'!$B941,Partidas!$C:$C,0),2)</f>
        <v>45674</v>
      </c>
      <c r="B941" s="56">
        <f>+IF(COUNTIF($B$2:B940,B940)=VLOOKUP(B940,Partidas!$C:$J,8,0),B940+1,B940)</f>
        <v>211</v>
      </c>
      <c r="C941" s="41" t="str">
        <f t="array" ref="C941">+INDEX(Partidas!$A:$J,MATCH('Resultados dashboard'!$B941,Partidas!$C:$C,0),3+COUNTIF($B$2:B941,'Resultados dashboard'!$B941))</f>
        <v>Gallo</v>
      </c>
      <c r="D941" s="54">
        <v>6</v>
      </c>
      <c r="E941" s="53"/>
      <c r="F941" s="54">
        <v>1</v>
      </c>
      <c r="G941" s="53"/>
      <c r="H941" s="38">
        <f t="shared" si="7"/>
        <v>8</v>
      </c>
      <c r="I941" s="38">
        <f t="shared" si="8"/>
        <v>2</v>
      </c>
      <c r="J941" s="55"/>
    </row>
    <row r="942" spans="1:10" ht="12.75" customHeight="1" x14ac:dyDescent="0.2">
      <c r="A942" s="50">
        <f t="array" ref="A942">+INDEX(Partidas!$A:$J,MATCH('Resultados dashboard'!$B942,Partidas!$C:$C,0),2)</f>
        <v>45674</v>
      </c>
      <c r="B942" s="56">
        <f>+IF(COUNTIF($B$2:B941,B941)=VLOOKUP(B941,Partidas!$C:$J,8,0),B941+1,B941)</f>
        <v>211</v>
      </c>
      <c r="C942" s="41" t="str">
        <f t="array" ref="C942">+INDEX(Partidas!$A:$J,MATCH('Resultados dashboard'!$B942,Partidas!$C:$C,0),3+COUNTIF($B$2:B942,'Resultados dashboard'!$B942))</f>
        <v>Ivo</v>
      </c>
      <c r="D942" s="54">
        <v>5</v>
      </c>
      <c r="E942" s="54">
        <v>1</v>
      </c>
      <c r="F942" s="53"/>
      <c r="G942" s="54">
        <v>1</v>
      </c>
      <c r="H942" s="38">
        <f t="shared" si="7"/>
        <v>8</v>
      </c>
      <c r="I942" s="38">
        <f t="shared" si="8"/>
        <v>2</v>
      </c>
      <c r="J942" s="55"/>
    </row>
    <row r="943" spans="1:10" ht="12.75" customHeight="1" x14ac:dyDescent="0.2">
      <c r="A943" s="50">
        <f t="array" ref="A943">+INDEX(Partidas!$A:$J,MATCH('Resultados dashboard'!$B943,Partidas!$C:$C,0),2)</f>
        <v>45674</v>
      </c>
      <c r="B943" s="56">
        <f>+IF(COUNTIF($B$2:B942,B942)=VLOOKUP(B942,Partidas!$C:$J,8,0),B942+1,B942)</f>
        <v>211</v>
      </c>
      <c r="C943" s="41" t="str">
        <f t="array" ref="C943">+INDEX(Partidas!$A:$J,MATCH('Resultados dashboard'!$B943,Partidas!$C:$C,0),3+COUNTIF($B$2:B943,'Resultados dashboard'!$B943))</f>
        <v>Gaspa</v>
      </c>
      <c r="D943" s="54">
        <v>5</v>
      </c>
      <c r="E943" s="53"/>
      <c r="F943" s="53"/>
      <c r="G943" s="53"/>
      <c r="H943" s="38">
        <f t="shared" si="7"/>
        <v>5</v>
      </c>
      <c r="I943" s="38">
        <f t="shared" si="8"/>
        <v>4</v>
      </c>
      <c r="J943" s="55"/>
    </row>
    <row r="944" spans="1:10" ht="12.75" customHeight="1" x14ac:dyDescent="0.2">
      <c r="A944" s="50">
        <f t="array" ref="A944">+INDEX(Partidas!$A:$J,MATCH('Resultados dashboard'!$B944,Partidas!$C:$C,0),2)</f>
        <v>45674</v>
      </c>
      <c r="B944" s="56">
        <f>+IF(COUNTIF($B$2:B943,B943)=VLOOKUP(B943,Partidas!$C:$J,8,0),B943+1,B943)</f>
        <v>211</v>
      </c>
      <c r="C944" s="41" t="str">
        <f t="array" ref="C944">+INDEX(Partidas!$A:$J,MATCH('Resultados dashboard'!$B944,Partidas!$C:$C,0),3+COUNTIF($B$2:B944,'Resultados dashboard'!$B944))</f>
        <v>Gasta</v>
      </c>
      <c r="D944" s="54">
        <v>9</v>
      </c>
      <c r="E944" s="54">
        <v>1</v>
      </c>
      <c r="F944" s="53"/>
      <c r="G944" s="53"/>
      <c r="H944" s="38">
        <f t="shared" si="7"/>
        <v>10</v>
      </c>
      <c r="I944" s="38">
        <f t="shared" si="8"/>
        <v>1</v>
      </c>
      <c r="J944" s="55"/>
    </row>
    <row r="945" spans="1:10" ht="12.75" customHeight="1" x14ac:dyDescent="0.2">
      <c r="A945" s="50">
        <f t="array" ref="A945">+INDEX(Partidas!$A:$J,MATCH('Resultados dashboard'!$B945,Partidas!$C:$C,0),2)</f>
        <v>45674</v>
      </c>
      <c r="B945" s="56">
        <f>+IF(COUNTIF($B$2:B944,B944)=VLOOKUP(B944,Partidas!$C:$J,8,0),B944+1,B944)</f>
        <v>212</v>
      </c>
      <c r="C945" s="41" t="str">
        <f t="array" ref="C945">+INDEX(Partidas!$A:$J,MATCH('Resultados dashboard'!$B945,Partidas!$C:$C,0),3+COUNTIF($B$2:B945,'Resultados dashboard'!$B945))</f>
        <v>Gallo</v>
      </c>
      <c r="D945" s="54">
        <v>6</v>
      </c>
      <c r="E945" s="54">
        <v>1</v>
      </c>
      <c r="F945" s="54">
        <v>1</v>
      </c>
      <c r="G945" s="53"/>
      <c r="H945" s="38">
        <f t="shared" si="7"/>
        <v>9</v>
      </c>
      <c r="I945" s="38">
        <f t="shared" si="8"/>
        <v>2</v>
      </c>
      <c r="J945" s="55"/>
    </row>
    <row r="946" spans="1:10" ht="12.75" customHeight="1" x14ac:dyDescent="0.2">
      <c r="A946" s="50">
        <f t="array" ref="A946">+INDEX(Partidas!$A:$J,MATCH('Resultados dashboard'!$B946,Partidas!$C:$C,0),2)</f>
        <v>45674</v>
      </c>
      <c r="B946" s="56">
        <f>+IF(COUNTIF($B$2:B945,B945)=VLOOKUP(B945,Partidas!$C:$J,8,0),B945+1,B945)</f>
        <v>212</v>
      </c>
      <c r="C946" s="41" t="str">
        <f t="array" ref="C946">+INDEX(Partidas!$A:$J,MATCH('Resultados dashboard'!$B946,Partidas!$C:$C,0),3+COUNTIF($B$2:B946,'Resultados dashboard'!$B946))</f>
        <v>Ivo</v>
      </c>
      <c r="D946" s="54">
        <v>8</v>
      </c>
      <c r="E946" s="53"/>
      <c r="F946" s="53"/>
      <c r="G946" s="54">
        <v>1</v>
      </c>
      <c r="H946" s="38">
        <f t="shared" si="7"/>
        <v>10</v>
      </c>
      <c r="I946" s="38">
        <f t="shared" si="8"/>
        <v>1</v>
      </c>
      <c r="J946" s="55"/>
    </row>
    <row r="947" spans="1:10" ht="12.75" customHeight="1" x14ac:dyDescent="0.2">
      <c r="A947" s="50">
        <f t="array" ref="A947">+INDEX(Partidas!$A:$J,MATCH('Resultados dashboard'!$B947,Partidas!$C:$C,0),2)</f>
        <v>45674</v>
      </c>
      <c r="B947" s="56">
        <f>+IF(COUNTIF($B$2:B946,B946)=VLOOKUP(B946,Partidas!$C:$J,8,0),B946+1,B946)</f>
        <v>212</v>
      </c>
      <c r="C947" s="41" t="str">
        <f t="array" ref="C947">+INDEX(Partidas!$A:$J,MATCH('Resultados dashboard'!$B947,Partidas!$C:$C,0),3+COUNTIF($B$2:B947,'Resultados dashboard'!$B947))</f>
        <v>Gaspa</v>
      </c>
      <c r="D947" s="54">
        <v>8</v>
      </c>
      <c r="E947" s="53"/>
      <c r="F947" s="53"/>
      <c r="G947" s="53"/>
      <c r="H947" s="38">
        <f t="shared" si="7"/>
        <v>8</v>
      </c>
      <c r="I947" s="38">
        <f t="shared" si="8"/>
        <v>4</v>
      </c>
      <c r="J947" s="55"/>
    </row>
    <row r="948" spans="1:10" ht="12.75" customHeight="1" x14ac:dyDescent="0.2">
      <c r="A948" s="50">
        <f t="array" ref="A948">+INDEX(Partidas!$A:$J,MATCH('Resultados dashboard'!$B948,Partidas!$C:$C,0),2)</f>
        <v>45674</v>
      </c>
      <c r="B948" s="56">
        <f>+IF(COUNTIF($B$2:B947,B947)=VLOOKUP(B947,Partidas!$C:$J,8,0),B947+1,B947)</f>
        <v>212</v>
      </c>
      <c r="C948" s="41" t="str">
        <f t="array" ref="C948">+INDEX(Partidas!$A:$J,MATCH('Resultados dashboard'!$B948,Partidas!$C:$C,0),3+COUNTIF($B$2:B948,'Resultados dashboard'!$B948))</f>
        <v>Gasta</v>
      </c>
      <c r="D948" s="54">
        <v>6</v>
      </c>
      <c r="E948" s="54">
        <v>3</v>
      </c>
      <c r="F948" s="53"/>
      <c r="G948" s="53"/>
      <c r="H948" s="38">
        <f t="shared" si="7"/>
        <v>9</v>
      </c>
      <c r="I948" s="38">
        <f t="shared" si="8"/>
        <v>2</v>
      </c>
      <c r="J948" s="55"/>
    </row>
    <row r="949" spans="1:10" ht="12.75" customHeight="1" x14ac:dyDescent="0.2">
      <c r="A949" s="50">
        <f t="array" ref="A949">+INDEX(Partidas!$A:$J,MATCH('Resultados dashboard'!$B949,Partidas!$C:$C,0),2)</f>
        <v>45674</v>
      </c>
      <c r="B949" s="56">
        <f>+IF(COUNTIF($B$2:B948,B948)=VLOOKUP(B948,Partidas!$C:$J,8,0),B948+1,B948)</f>
        <v>213</v>
      </c>
      <c r="C949" s="41" t="str">
        <f t="array" ref="C949">+INDEX(Partidas!$A:$J,MATCH('Resultados dashboard'!$B949,Partidas!$C:$C,0),3+COUNTIF($B$2:B949,'Resultados dashboard'!$B949))</f>
        <v>Gallo</v>
      </c>
      <c r="D949" s="54">
        <v>7</v>
      </c>
      <c r="E949" s="53"/>
      <c r="F949" s="54">
        <v>1</v>
      </c>
      <c r="G949" s="53"/>
      <c r="H949" s="38">
        <f t="shared" si="7"/>
        <v>9</v>
      </c>
      <c r="I949" s="38">
        <f t="shared" si="8"/>
        <v>2</v>
      </c>
      <c r="J949" s="55"/>
    </row>
    <row r="950" spans="1:10" ht="12.75" customHeight="1" x14ac:dyDescent="0.2">
      <c r="A950" s="50">
        <f t="array" ref="A950">+INDEX(Partidas!$A:$J,MATCH('Resultados dashboard'!$B950,Partidas!$C:$C,0),2)</f>
        <v>45674</v>
      </c>
      <c r="B950" s="56">
        <f>+IF(COUNTIF($B$2:B949,B949)=VLOOKUP(B949,Partidas!$C:$J,8,0),B949+1,B949)</f>
        <v>213</v>
      </c>
      <c r="C950" s="41" t="str">
        <f t="array" ref="C950">+INDEX(Partidas!$A:$J,MATCH('Resultados dashboard'!$B950,Partidas!$C:$C,0),3+COUNTIF($B$2:B950,'Resultados dashboard'!$B950))</f>
        <v>Ivo</v>
      </c>
      <c r="D950" s="54">
        <v>5</v>
      </c>
      <c r="E950" s="54">
        <v>1</v>
      </c>
      <c r="F950" s="53"/>
      <c r="G950" s="53"/>
      <c r="H950" s="38">
        <f t="shared" si="7"/>
        <v>6</v>
      </c>
      <c r="I950" s="38">
        <f t="shared" si="8"/>
        <v>4</v>
      </c>
      <c r="J950" s="55"/>
    </row>
    <row r="951" spans="1:10" ht="12.75" customHeight="1" x14ac:dyDescent="0.2">
      <c r="A951" s="50">
        <f t="array" ref="A951">+INDEX(Partidas!$A:$J,MATCH('Resultados dashboard'!$B951,Partidas!$C:$C,0),2)</f>
        <v>45674</v>
      </c>
      <c r="B951" s="56">
        <f>+IF(COUNTIF($B$2:B950,B950)=VLOOKUP(B950,Partidas!$C:$J,8,0),B950+1,B950)</f>
        <v>213</v>
      </c>
      <c r="C951" s="41" t="str">
        <f t="array" ref="C951">+INDEX(Partidas!$A:$J,MATCH('Resultados dashboard'!$B951,Partidas!$C:$C,0),3+COUNTIF($B$2:B951,'Resultados dashboard'!$B951))</f>
        <v>Gaspa</v>
      </c>
      <c r="D951" s="54">
        <v>7</v>
      </c>
      <c r="E951" s="53"/>
      <c r="F951" s="53"/>
      <c r="G951" s="54">
        <v>1</v>
      </c>
      <c r="H951" s="38">
        <f t="shared" si="7"/>
        <v>9</v>
      </c>
      <c r="I951" s="38">
        <f t="shared" si="8"/>
        <v>2</v>
      </c>
      <c r="J951" s="55"/>
    </row>
    <row r="952" spans="1:10" ht="12.75" customHeight="1" x14ac:dyDescent="0.2">
      <c r="A952" s="50">
        <f t="array" ref="A952">+INDEX(Partidas!$A:$J,MATCH('Resultados dashboard'!$B952,Partidas!$C:$C,0),2)</f>
        <v>45674</v>
      </c>
      <c r="B952" s="56">
        <f>+IF(COUNTIF($B$2:B951,B951)=VLOOKUP(B951,Partidas!$C:$J,8,0),B951+1,B951)</f>
        <v>213</v>
      </c>
      <c r="C952" s="41" t="str">
        <f t="array" ref="C952">+INDEX(Partidas!$A:$J,MATCH('Resultados dashboard'!$B952,Partidas!$C:$C,0),3+COUNTIF($B$2:B952,'Resultados dashboard'!$B952))</f>
        <v>Gasta</v>
      </c>
      <c r="D952" s="54">
        <v>9</v>
      </c>
      <c r="E952" s="54">
        <v>1</v>
      </c>
      <c r="F952" s="53"/>
      <c r="G952" s="53"/>
      <c r="H952" s="38">
        <f t="shared" si="7"/>
        <v>10</v>
      </c>
      <c r="I952" s="38">
        <f t="shared" si="8"/>
        <v>1</v>
      </c>
      <c r="J952" s="55"/>
    </row>
    <row r="953" spans="1:10" ht="12.75" customHeight="1" x14ac:dyDescent="0.2">
      <c r="A953" s="50">
        <f t="array" ref="A953">+INDEX(Partidas!$A:$J,MATCH('Resultados dashboard'!$B953,Partidas!$C:$C,0),2)</f>
        <v>45674</v>
      </c>
      <c r="B953" s="56">
        <f>+IF(COUNTIF($B$2:B952,B952)=VLOOKUP(B952,Partidas!$C:$J,8,0),B952+1,B952)</f>
        <v>214</v>
      </c>
      <c r="C953" s="41" t="str">
        <f t="array" ref="C953">+INDEX(Partidas!$A:$J,MATCH('Resultados dashboard'!$B953,Partidas!$C:$C,0),3+COUNTIF($B$2:B953,'Resultados dashboard'!$B953))</f>
        <v>Gallo</v>
      </c>
      <c r="D953" s="54">
        <v>4</v>
      </c>
      <c r="E953" s="54">
        <v>2</v>
      </c>
      <c r="F953" s="53"/>
      <c r="G953" s="53"/>
      <c r="H953" s="38">
        <f t="shared" si="7"/>
        <v>6</v>
      </c>
      <c r="I953" s="38">
        <f t="shared" si="8"/>
        <v>4</v>
      </c>
      <c r="J953" s="55"/>
    </row>
    <row r="954" spans="1:10" ht="12.75" customHeight="1" x14ac:dyDescent="0.2">
      <c r="A954" s="50">
        <f t="array" ref="A954">+INDEX(Partidas!$A:$J,MATCH('Resultados dashboard'!$B954,Partidas!$C:$C,0),2)</f>
        <v>45674</v>
      </c>
      <c r="B954" s="56">
        <f>+IF(COUNTIF($B$2:B953,B953)=VLOOKUP(B953,Partidas!$C:$J,8,0),B953+1,B953)</f>
        <v>214</v>
      </c>
      <c r="C954" s="41" t="str">
        <f t="array" ref="C954">+INDEX(Partidas!$A:$J,MATCH('Resultados dashboard'!$B954,Partidas!$C:$C,0),3+COUNTIF($B$2:B954,'Resultados dashboard'!$B954))</f>
        <v>Ivo</v>
      </c>
      <c r="D954" s="54">
        <v>7</v>
      </c>
      <c r="E954" s="54">
        <v>1</v>
      </c>
      <c r="F954" s="54">
        <v>1</v>
      </c>
      <c r="G954" s="53"/>
      <c r="H954" s="38">
        <f t="shared" si="7"/>
        <v>10</v>
      </c>
      <c r="I954" s="38">
        <f t="shared" si="8"/>
        <v>1</v>
      </c>
      <c r="J954" s="55"/>
    </row>
    <row r="955" spans="1:10" ht="12.75" customHeight="1" x14ac:dyDescent="0.2">
      <c r="A955" s="50">
        <f t="array" ref="A955">+INDEX(Partidas!$A:$J,MATCH('Resultados dashboard'!$B955,Partidas!$C:$C,0),2)</f>
        <v>45674</v>
      </c>
      <c r="B955" s="56">
        <f>+IF(COUNTIF($B$2:B954,B954)=VLOOKUP(B954,Partidas!$C:$J,8,0),B954+1,B954)</f>
        <v>214</v>
      </c>
      <c r="C955" s="41" t="str">
        <f t="array" ref="C955">+INDEX(Partidas!$A:$J,MATCH('Resultados dashboard'!$B955,Partidas!$C:$C,0),3+COUNTIF($B$2:B955,'Resultados dashboard'!$B955))</f>
        <v>Gaspa</v>
      </c>
      <c r="D955" s="54">
        <v>6</v>
      </c>
      <c r="E955" s="54">
        <v>1</v>
      </c>
      <c r="F955" s="53"/>
      <c r="G955" s="53"/>
      <c r="H955" s="38">
        <f t="shared" si="7"/>
        <v>7</v>
      </c>
      <c r="I955" s="38">
        <f t="shared" si="8"/>
        <v>2</v>
      </c>
      <c r="J955" s="55"/>
    </row>
    <row r="956" spans="1:10" ht="12.75" customHeight="1" x14ac:dyDescent="0.2">
      <c r="A956" s="50">
        <f t="array" ref="A956">+INDEX(Partidas!$A:$J,MATCH('Resultados dashboard'!$B956,Partidas!$C:$C,0),2)</f>
        <v>45674</v>
      </c>
      <c r="B956" s="56">
        <f>+IF(COUNTIF($B$2:B955,B955)=VLOOKUP(B955,Partidas!$C:$J,8,0),B955+1,B955)</f>
        <v>214</v>
      </c>
      <c r="C956" s="41" t="str">
        <f t="array" ref="C956">+INDEX(Partidas!$A:$J,MATCH('Resultados dashboard'!$B956,Partidas!$C:$C,0),3+COUNTIF($B$2:B956,'Resultados dashboard'!$B956))</f>
        <v>Gasta</v>
      </c>
      <c r="D956" s="54">
        <v>5</v>
      </c>
      <c r="E956" s="53"/>
      <c r="F956" s="53"/>
      <c r="G956" s="54">
        <v>1</v>
      </c>
      <c r="H956" s="38">
        <f t="shared" si="7"/>
        <v>7</v>
      </c>
      <c r="I956" s="38">
        <f t="shared" si="8"/>
        <v>2</v>
      </c>
      <c r="J956" s="55"/>
    </row>
    <row r="957" spans="1:10" ht="12.75" customHeight="1" x14ac:dyDescent="0.2">
      <c r="A957" s="50">
        <f t="array" ref="A957">+INDEX(Partidas!$A:$J,MATCH('Resultados dashboard'!$B957,Partidas!$C:$C,0),2)</f>
        <v>45674</v>
      </c>
      <c r="B957" s="56">
        <f>+IF(COUNTIF($B$2:B956,B956)=VLOOKUP(B956,Partidas!$C:$J,8,0),B956+1,B956)</f>
        <v>215</v>
      </c>
      <c r="C957" s="41" t="str">
        <f t="array" ref="C957">+INDEX(Partidas!$A:$J,MATCH('Resultados dashboard'!$B957,Partidas!$C:$C,0),3+COUNTIF($B$2:B957,'Resultados dashboard'!$B957))</f>
        <v>Gallo</v>
      </c>
      <c r="D957" s="54">
        <v>8</v>
      </c>
      <c r="E957" s="53"/>
      <c r="F957" s="53"/>
      <c r="G957" s="53"/>
      <c r="H957" s="38">
        <f t="shared" si="7"/>
        <v>8</v>
      </c>
      <c r="I957" s="38">
        <f t="shared" si="8"/>
        <v>3</v>
      </c>
      <c r="J957" s="55"/>
    </row>
    <row r="958" spans="1:10" ht="12.75" customHeight="1" x14ac:dyDescent="0.2">
      <c r="A958" s="50">
        <f t="array" ref="A958">+INDEX(Partidas!$A:$J,MATCH('Resultados dashboard'!$B958,Partidas!$C:$C,0),2)</f>
        <v>45674</v>
      </c>
      <c r="B958" s="56">
        <f>+IF(COUNTIF($B$2:B957,B957)=VLOOKUP(B957,Partidas!$C:$J,8,0),B957+1,B957)</f>
        <v>215</v>
      </c>
      <c r="C958" s="41" t="str">
        <f t="array" ref="C958">+INDEX(Partidas!$A:$J,MATCH('Resultados dashboard'!$B958,Partidas!$C:$C,0),3+COUNTIF($B$2:B958,'Resultados dashboard'!$B958))</f>
        <v>Ivo</v>
      </c>
      <c r="D958" s="54">
        <v>7</v>
      </c>
      <c r="E958" s="53"/>
      <c r="F958" s="53"/>
      <c r="G958" s="54">
        <v>1</v>
      </c>
      <c r="H958" s="38">
        <f t="shared" si="7"/>
        <v>9</v>
      </c>
      <c r="I958" s="38">
        <f t="shared" si="8"/>
        <v>2</v>
      </c>
      <c r="J958" s="55"/>
    </row>
    <row r="959" spans="1:10" ht="12.75" customHeight="1" x14ac:dyDescent="0.2">
      <c r="A959" s="50">
        <f t="array" ref="A959">+INDEX(Partidas!$A:$J,MATCH('Resultados dashboard'!$B959,Partidas!$C:$C,0),2)</f>
        <v>45674</v>
      </c>
      <c r="B959" s="56">
        <f>+IF(COUNTIF($B$2:B958,B958)=VLOOKUP(B958,Partidas!$C:$J,8,0),B958+1,B958)</f>
        <v>215</v>
      </c>
      <c r="C959" s="41" t="str">
        <f t="array" ref="C959">+INDEX(Partidas!$A:$J,MATCH('Resultados dashboard'!$B959,Partidas!$C:$C,0),3+COUNTIF($B$2:B959,'Resultados dashboard'!$B959))</f>
        <v>Gaspa</v>
      </c>
      <c r="D959" s="54">
        <v>9</v>
      </c>
      <c r="E959" s="54">
        <v>1</v>
      </c>
      <c r="F959" s="53"/>
      <c r="G959" s="53"/>
      <c r="H959" s="38">
        <f t="shared" si="7"/>
        <v>10</v>
      </c>
      <c r="I959" s="38">
        <f t="shared" si="8"/>
        <v>1</v>
      </c>
      <c r="J959" s="55"/>
    </row>
    <row r="960" spans="1:10" ht="12.75" customHeight="1" x14ac:dyDescent="0.2">
      <c r="A960" s="50">
        <f t="array" ref="A960">+INDEX(Partidas!$A:$J,MATCH('Resultados dashboard'!$B960,Partidas!$C:$C,0),2)</f>
        <v>45674</v>
      </c>
      <c r="B960" s="56">
        <f>+IF(COUNTIF($B$2:B959,B959)=VLOOKUP(B959,Partidas!$C:$J,8,0),B959+1,B959)</f>
        <v>215</v>
      </c>
      <c r="C960" s="41" t="str">
        <f t="array" ref="C960">+INDEX(Partidas!$A:$J,MATCH('Resultados dashboard'!$B960,Partidas!$C:$C,0),3+COUNTIF($B$2:B960,'Resultados dashboard'!$B960))</f>
        <v>Gasta</v>
      </c>
      <c r="D960" s="54">
        <v>8</v>
      </c>
      <c r="E960" s="53"/>
      <c r="F960" s="53"/>
      <c r="G960" s="53"/>
      <c r="H960" s="38">
        <f t="shared" si="7"/>
        <v>8</v>
      </c>
      <c r="I960" s="38">
        <f t="shared" si="8"/>
        <v>3</v>
      </c>
      <c r="J960" s="55"/>
    </row>
    <row r="961" spans="1:10" ht="12.75" customHeight="1" x14ac:dyDescent="0.2">
      <c r="A961" s="50">
        <f t="array" ref="A961">+INDEX(Partidas!$A:$J,MATCH('Resultados dashboard'!$B961,Partidas!$C:$C,0),2)</f>
        <v>45674</v>
      </c>
      <c r="B961" s="56">
        <f>+IF(COUNTIF($B$2:B960,B960)=VLOOKUP(B960,Partidas!$C:$J,8,0),B960+1,B960)</f>
        <v>216</v>
      </c>
      <c r="C961" s="41" t="str">
        <f t="array" ref="C961">+INDEX(Partidas!$A:$J,MATCH('Resultados dashboard'!$B961,Partidas!$C:$C,0),3+COUNTIF($B$2:B961,'Resultados dashboard'!$B961))</f>
        <v>Gallo</v>
      </c>
      <c r="D961" s="54">
        <v>4</v>
      </c>
      <c r="E961" s="54">
        <v>1</v>
      </c>
      <c r="F961" s="53"/>
      <c r="G961" s="53"/>
      <c r="H961" s="38">
        <f t="shared" si="7"/>
        <v>5</v>
      </c>
      <c r="I961" s="38">
        <f t="shared" si="8"/>
        <v>4</v>
      </c>
      <c r="J961" s="55"/>
    </row>
    <row r="962" spans="1:10" ht="12.75" customHeight="1" x14ac:dyDescent="0.2">
      <c r="A962" s="50">
        <f t="array" ref="A962">+INDEX(Partidas!$A:$J,MATCH('Resultados dashboard'!$B962,Partidas!$C:$C,0),2)</f>
        <v>45674</v>
      </c>
      <c r="B962" s="56">
        <f>+IF(COUNTIF($B$2:B961,B961)=VLOOKUP(B961,Partidas!$C:$J,8,0),B961+1,B961)</f>
        <v>216</v>
      </c>
      <c r="C962" s="41" t="str">
        <f t="array" ref="C962">+INDEX(Partidas!$A:$J,MATCH('Resultados dashboard'!$B962,Partidas!$C:$C,0),3+COUNTIF($B$2:B962,'Resultados dashboard'!$B962))</f>
        <v>Ivo</v>
      </c>
      <c r="D962" s="54">
        <v>7</v>
      </c>
      <c r="E962" s="54"/>
      <c r="F962" s="54">
        <v>1</v>
      </c>
      <c r="G962" s="54"/>
      <c r="H962" s="38">
        <f t="shared" si="7"/>
        <v>9</v>
      </c>
      <c r="I962" s="38">
        <f t="shared" si="8"/>
        <v>2</v>
      </c>
      <c r="J962" s="55"/>
    </row>
    <row r="963" spans="1:10" ht="12.75" customHeight="1" x14ac:dyDescent="0.2">
      <c r="A963" s="50">
        <f t="array" ref="A963">+INDEX(Partidas!$A:$J,MATCH('Resultados dashboard'!$B963,Partidas!$C:$C,0),2)</f>
        <v>45674</v>
      </c>
      <c r="B963" s="56">
        <f>+IF(COUNTIF($B$2:B962,B962)=VLOOKUP(B962,Partidas!$C:$J,8,0),B962+1,B962)</f>
        <v>216</v>
      </c>
      <c r="C963" s="41" t="str">
        <f t="array" ref="C963">+INDEX(Partidas!$A:$J,MATCH('Resultados dashboard'!$B963,Partidas!$C:$C,0),3+COUNTIF($B$2:B963,'Resultados dashboard'!$B963))</f>
        <v>Gaspa</v>
      </c>
      <c r="D963" s="54">
        <v>6</v>
      </c>
      <c r="E963" s="54">
        <v>2</v>
      </c>
      <c r="F963" s="53"/>
      <c r="G963" s="54">
        <v>1</v>
      </c>
      <c r="H963" s="38">
        <f t="shared" si="7"/>
        <v>10</v>
      </c>
      <c r="I963" s="38">
        <f t="shared" si="8"/>
        <v>1</v>
      </c>
      <c r="J963" s="55"/>
    </row>
    <row r="964" spans="1:10" ht="12.75" customHeight="1" x14ac:dyDescent="0.2">
      <c r="A964" s="50">
        <f t="array" ref="A964">+INDEX(Partidas!$A:$J,MATCH('Resultados dashboard'!$B964,Partidas!$C:$C,0),2)</f>
        <v>45674</v>
      </c>
      <c r="B964" s="56">
        <f>+IF(COUNTIF($B$2:B963,B963)=VLOOKUP(B963,Partidas!$C:$J,8,0),B963+1,B963)</f>
        <v>216</v>
      </c>
      <c r="C964" s="41" t="str">
        <f t="array" ref="C964">+INDEX(Partidas!$A:$J,MATCH('Resultados dashboard'!$B964,Partidas!$C:$C,0),3+COUNTIF($B$2:B964,'Resultados dashboard'!$B964))</f>
        <v>Gasta</v>
      </c>
      <c r="D964" s="54">
        <v>7</v>
      </c>
      <c r="E964" s="53"/>
      <c r="F964" s="53"/>
      <c r="G964" s="53"/>
      <c r="H964" s="38">
        <f t="shared" si="7"/>
        <v>7</v>
      </c>
      <c r="I964" s="38">
        <f t="shared" si="8"/>
        <v>3</v>
      </c>
      <c r="J964" s="55"/>
    </row>
    <row r="965" spans="1:10" ht="12.75" customHeight="1" x14ac:dyDescent="0.2">
      <c r="A965" s="50">
        <f t="array" ref="A965">+INDEX(Partidas!$A:$J,MATCH('Resultados dashboard'!$B965,Partidas!$C:$C,0),2)</f>
        <v>45679</v>
      </c>
      <c r="B965" s="56">
        <f>+IF(COUNTIF($B$2:B964,B964)=VLOOKUP(B964,Partidas!$C:$J,8,0),B964+1,B964)</f>
        <v>217</v>
      </c>
      <c r="C965" s="41" t="str">
        <f t="array" ref="C965">+INDEX(Partidas!$A:$J,MATCH('Resultados dashboard'!$B965,Partidas!$C:$C,0),3+COUNTIF($B$2:B965,'Resultados dashboard'!$B965))</f>
        <v>Gallo</v>
      </c>
      <c r="D965" s="54">
        <v>6</v>
      </c>
      <c r="E965" s="54">
        <v>1</v>
      </c>
      <c r="F965" s="53"/>
      <c r="G965" s="53"/>
      <c r="H965" s="38">
        <f t="shared" si="7"/>
        <v>7</v>
      </c>
      <c r="I965" s="38">
        <f t="shared" si="8"/>
        <v>4</v>
      </c>
      <c r="J965" s="55"/>
    </row>
    <row r="966" spans="1:10" ht="12.75" customHeight="1" x14ac:dyDescent="0.2">
      <c r="A966" s="50">
        <f t="array" ref="A966">+INDEX(Partidas!$A:$J,MATCH('Resultados dashboard'!$B966,Partidas!$C:$C,0),2)</f>
        <v>45679</v>
      </c>
      <c r="B966" s="56">
        <f>+IF(COUNTIF($B$2:B965,B965)=VLOOKUP(B965,Partidas!$C:$J,8,0),B965+1,B965)</f>
        <v>217</v>
      </c>
      <c r="C966" s="41" t="str">
        <f t="array" ref="C966">+INDEX(Partidas!$A:$J,MATCH('Resultados dashboard'!$B966,Partidas!$C:$C,0),3+COUNTIF($B$2:B966,'Resultados dashboard'!$B966))</f>
        <v>Ivo</v>
      </c>
      <c r="D966" s="54">
        <v>6</v>
      </c>
      <c r="E966" s="54">
        <v>1</v>
      </c>
      <c r="F966" s="54">
        <v>1</v>
      </c>
      <c r="G966" s="53"/>
      <c r="H966" s="38">
        <f t="shared" si="7"/>
        <v>9</v>
      </c>
      <c r="I966" s="38">
        <f t="shared" si="8"/>
        <v>2</v>
      </c>
      <c r="J966" s="55"/>
    </row>
    <row r="967" spans="1:10" ht="12.75" customHeight="1" x14ac:dyDescent="0.2">
      <c r="A967" s="50">
        <f t="array" ref="A967">+INDEX(Partidas!$A:$J,MATCH('Resultados dashboard'!$B967,Partidas!$C:$C,0),2)</f>
        <v>45679</v>
      </c>
      <c r="B967" s="56">
        <f>+IF(COUNTIF($B$2:B966,B966)=VLOOKUP(B966,Partidas!$C:$J,8,0),B966+1,B966)</f>
        <v>217</v>
      </c>
      <c r="C967" s="41" t="str">
        <f t="array" ref="C967">+INDEX(Partidas!$A:$J,MATCH('Resultados dashboard'!$B967,Partidas!$C:$C,0),3+COUNTIF($B$2:B967,'Resultados dashboard'!$B967))</f>
        <v>Gaspa</v>
      </c>
      <c r="D967" s="54">
        <v>7</v>
      </c>
      <c r="E967" s="54">
        <v>2</v>
      </c>
      <c r="F967" s="53"/>
      <c r="G967" s="53"/>
      <c r="H967" s="38">
        <f t="shared" si="7"/>
        <v>9</v>
      </c>
      <c r="I967" s="38">
        <f t="shared" si="8"/>
        <v>2</v>
      </c>
      <c r="J967" s="55"/>
    </row>
    <row r="968" spans="1:10" ht="12.75" customHeight="1" x14ac:dyDescent="0.2">
      <c r="A968" s="50">
        <f t="array" ref="A968">+INDEX(Partidas!$A:$J,MATCH('Resultados dashboard'!$B968,Partidas!$C:$C,0),2)</f>
        <v>45679</v>
      </c>
      <c r="B968" s="56">
        <f>+IF(COUNTIF($B$2:B967,B967)=VLOOKUP(B967,Partidas!$C:$J,8,0),B967+1,B967)</f>
        <v>217</v>
      </c>
      <c r="C968" s="41" t="str">
        <f t="array" ref="C968">+INDEX(Partidas!$A:$J,MATCH('Resultados dashboard'!$B968,Partidas!$C:$C,0),3+COUNTIF($B$2:B968,'Resultados dashboard'!$B968))</f>
        <v>Max</v>
      </c>
      <c r="D968" s="54">
        <v>7</v>
      </c>
      <c r="E968" s="54">
        <v>1</v>
      </c>
      <c r="F968" s="53"/>
      <c r="G968" s="54">
        <v>1</v>
      </c>
      <c r="H968" s="38">
        <f t="shared" si="7"/>
        <v>10</v>
      </c>
      <c r="I968" s="38">
        <f t="shared" si="8"/>
        <v>1</v>
      </c>
      <c r="J968" s="55"/>
    </row>
    <row r="969" spans="1:10" ht="12.75" customHeight="1" x14ac:dyDescent="0.2">
      <c r="A969" s="50">
        <f t="array" ref="A969">+INDEX(Partidas!$A:$J,MATCH('Resultados dashboard'!$B969,Partidas!$C:$C,0),2)</f>
        <v>45679</v>
      </c>
      <c r="B969" s="56">
        <f>+IF(COUNTIF($B$2:B968,B968)=VLOOKUP(B968,Partidas!$C:$J,8,0),B968+1,B968)</f>
        <v>218</v>
      </c>
      <c r="C969" s="41" t="str">
        <f t="array" ref="C969">+INDEX(Partidas!$A:$J,MATCH('Resultados dashboard'!$B969,Partidas!$C:$C,0),3+COUNTIF($B$2:B969,'Resultados dashboard'!$B969))</f>
        <v>Gallo</v>
      </c>
      <c r="D969" s="54">
        <v>5</v>
      </c>
      <c r="E969" s="54">
        <v>1</v>
      </c>
      <c r="F969" s="54">
        <v>1</v>
      </c>
      <c r="G969" s="54">
        <v>1</v>
      </c>
      <c r="H969" s="38">
        <f t="shared" si="7"/>
        <v>10</v>
      </c>
      <c r="I969" s="38">
        <f t="shared" si="8"/>
        <v>1</v>
      </c>
      <c r="J969" s="55"/>
    </row>
    <row r="970" spans="1:10" ht="12.75" customHeight="1" x14ac:dyDescent="0.2">
      <c r="A970" s="50">
        <f t="array" ref="A970">+INDEX(Partidas!$A:$J,MATCH('Resultados dashboard'!$B970,Partidas!$C:$C,0),2)</f>
        <v>45679</v>
      </c>
      <c r="B970" s="56">
        <f>+IF(COUNTIF($B$2:B969,B969)=VLOOKUP(B969,Partidas!$C:$J,8,0),B969+1,B969)</f>
        <v>218</v>
      </c>
      <c r="C970" s="41" t="str">
        <f t="array" ref="C970">+INDEX(Partidas!$A:$J,MATCH('Resultados dashboard'!$B970,Partidas!$C:$C,0),3+COUNTIF($B$2:B970,'Resultados dashboard'!$B970))</f>
        <v>Ivo</v>
      </c>
      <c r="D970" s="54">
        <v>4</v>
      </c>
      <c r="E970" s="53"/>
      <c r="F970" s="53"/>
      <c r="G970" s="53"/>
      <c r="H970" s="38">
        <f t="shared" si="7"/>
        <v>4</v>
      </c>
      <c r="I970" s="38">
        <f t="shared" si="8"/>
        <v>3</v>
      </c>
      <c r="J970" s="55"/>
    </row>
    <row r="971" spans="1:10" ht="12.75" customHeight="1" x14ac:dyDescent="0.2">
      <c r="A971" s="50">
        <f t="array" ref="A971">+INDEX(Partidas!$A:$J,MATCH('Resultados dashboard'!$B971,Partidas!$C:$C,0),2)</f>
        <v>45679</v>
      </c>
      <c r="B971" s="56">
        <f>+IF(COUNTIF($B$2:B970,B970)=VLOOKUP(B970,Partidas!$C:$J,8,0),B970+1,B970)</f>
        <v>218</v>
      </c>
      <c r="C971" s="41" t="str">
        <f t="array" ref="C971">+INDEX(Partidas!$A:$J,MATCH('Resultados dashboard'!$B971,Partidas!$C:$C,0),3+COUNTIF($B$2:B971,'Resultados dashboard'!$B971))</f>
        <v>Gaspa</v>
      </c>
      <c r="D971" s="54">
        <v>4</v>
      </c>
      <c r="E971" s="53"/>
      <c r="F971" s="53"/>
      <c r="G971" s="53"/>
      <c r="H971" s="38">
        <f t="shared" si="7"/>
        <v>4</v>
      </c>
      <c r="I971" s="38">
        <f t="shared" si="8"/>
        <v>3</v>
      </c>
      <c r="J971" s="55"/>
    </row>
    <row r="972" spans="1:10" ht="12.75" customHeight="1" x14ac:dyDescent="0.2">
      <c r="A972" s="50">
        <f t="array" ref="A972">+INDEX(Partidas!$A:$J,MATCH('Resultados dashboard'!$B972,Partidas!$C:$C,0),2)</f>
        <v>45679</v>
      </c>
      <c r="B972" s="56">
        <f>+IF(COUNTIF($B$2:B971,B971)=VLOOKUP(B971,Partidas!$C:$J,8,0),B971+1,B971)</f>
        <v>218</v>
      </c>
      <c r="C972" s="41" t="str">
        <f t="array" ref="C972">+INDEX(Partidas!$A:$J,MATCH('Resultados dashboard'!$B972,Partidas!$C:$C,0),3+COUNTIF($B$2:B972,'Resultados dashboard'!$B972))</f>
        <v>Max</v>
      </c>
      <c r="D972" s="54">
        <v>5</v>
      </c>
      <c r="E972" s="54">
        <v>1</v>
      </c>
      <c r="F972" s="53"/>
      <c r="G972" s="53"/>
      <c r="H972" s="38">
        <f t="shared" si="7"/>
        <v>6</v>
      </c>
      <c r="I972" s="38">
        <f t="shared" si="8"/>
        <v>2</v>
      </c>
      <c r="J972" s="55"/>
    </row>
    <row r="973" spans="1:10" ht="12.75" customHeight="1" x14ac:dyDescent="0.2">
      <c r="A973" s="50">
        <f t="array" ref="A973">+INDEX(Partidas!$A:$J,MATCH('Resultados dashboard'!$B973,Partidas!$C:$C,0),2)</f>
        <v>45679</v>
      </c>
      <c r="B973" s="56">
        <f>+IF(COUNTIF($B$2:B972,B972)=VLOOKUP(B972,Partidas!$C:$J,8,0),B972+1,B972)</f>
        <v>219</v>
      </c>
      <c r="C973" s="41" t="str">
        <f t="array" ref="C973">+INDEX(Partidas!$A:$J,MATCH('Resultados dashboard'!$B973,Partidas!$C:$C,0),3+COUNTIF($B$2:B973,'Resultados dashboard'!$B973))</f>
        <v>Gallo</v>
      </c>
      <c r="D973" s="54">
        <v>6</v>
      </c>
      <c r="E973" s="54">
        <v>1</v>
      </c>
      <c r="F973" s="53"/>
      <c r="G973" s="53"/>
      <c r="H973" s="38">
        <f t="shared" si="7"/>
        <v>7</v>
      </c>
      <c r="I973" s="38">
        <f t="shared" si="8"/>
        <v>3</v>
      </c>
      <c r="J973" s="55"/>
    </row>
    <row r="974" spans="1:10" ht="12.75" customHeight="1" x14ac:dyDescent="0.2">
      <c r="A974" s="50">
        <f t="array" ref="A974">+INDEX(Partidas!$A:$J,MATCH('Resultados dashboard'!$B974,Partidas!$C:$C,0),2)</f>
        <v>45679</v>
      </c>
      <c r="B974" s="56">
        <f>+IF(COUNTIF($B$2:B973,B973)=VLOOKUP(B973,Partidas!$C:$J,8,0),B973+1,B973)</f>
        <v>219</v>
      </c>
      <c r="C974" s="41" t="str">
        <f t="array" ref="C974">+INDEX(Partidas!$A:$J,MATCH('Resultados dashboard'!$B974,Partidas!$C:$C,0),3+COUNTIF($B$2:B974,'Resultados dashboard'!$B974))</f>
        <v>Ivo</v>
      </c>
      <c r="D974" s="54">
        <v>7</v>
      </c>
      <c r="E974" s="54">
        <v>2</v>
      </c>
      <c r="F974" s="53"/>
      <c r="G974" s="53"/>
      <c r="H974" s="38">
        <f t="shared" si="7"/>
        <v>9</v>
      </c>
      <c r="I974" s="38">
        <f t="shared" si="8"/>
        <v>2</v>
      </c>
      <c r="J974" s="55"/>
    </row>
    <row r="975" spans="1:10" ht="12.75" customHeight="1" x14ac:dyDescent="0.2">
      <c r="A975" s="50">
        <f t="array" ref="A975">+INDEX(Partidas!$A:$J,MATCH('Resultados dashboard'!$B975,Partidas!$C:$C,0),2)</f>
        <v>45679</v>
      </c>
      <c r="B975" s="56">
        <f>+IF(COUNTIF($B$2:B974,B974)=VLOOKUP(B974,Partidas!$C:$J,8,0),B974+1,B974)</f>
        <v>219</v>
      </c>
      <c r="C975" s="41" t="str">
        <f t="array" ref="C975">+INDEX(Partidas!$A:$J,MATCH('Resultados dashboard'!$B975,Partidas!$C:$C,0),3+COUNTIF($B$2:B975,'Resultados dashboard'!$B975))</f>
        <v>Gaspa</v>
      </c>
      <c r="D975" s="54">
        <v>3</v>
      </c>
      <c r="E975" s="54">
        <v>1</v>
      </c>
      <c r="F975" s="53"/>
      <c r="G975" s="54">
        <v>1</v>
      </c>
      <c r="H975" s="38">
        <f t="shared" si="7"/>
        <v>6</v>
      </c>
      <c r="I975" s="38">
        <f t="shared" si="8"/>
        <v>4</v>
      </c>
      <c r="J975" s="55"/>
    </row>
    <row r="976" spans="1:10" ht="12.75" customHeight="1" x14ac:dyDescent="0.2">
      <c r="A976" s="50">
        <f t="array" ref="A976">+INDEX(Partidas!$A:$J,MATCH('Resultados dashboard'!$B976,Partidas!$C:$C,0),2)</f>
        <v>45679</v>
      </c>
      <c r="B976" s="56">
        <f>+IF(COUNTIF($B$2:B975,B975)=VLOOKUP(B975,Partidas!$C:$J,8,0),B975+1,B975)</f>
        <v>219</v>
      </c>
      <c r="C976" s="41" t="str">
        <f t="array" ref="C976">+INDEX(Partidas!$A:$J,MATCH('Resultados dashboard'!$B976,Partidas!$C:$C,0),3+COUNTIF($B$2:B976,'Resultados dashboard'!$B976))</f>
        <v>Max</v>
      </c>
      <c r="D976" s="54">
        <v>8</v>
      </c>
      <c r="E976" s="53"/>
      <c r="F976" s="54">
        <v>1</v>
      </c>
      <c r="G976" s="53"/>
      <c r="H976" s="38">
        <f t="shared" si="7"/>
        <v>10</v>
      </c>
      <c r="I976" s="38">
        <f t="shared" si="8"/>
        <v>1</v>
      </c>
      <c r="J976" s="55"/>
    </row>
    <row r="977" spans="1:10" ht="12.75" customHeight="1" x14ac:dyDescent="0.2">
      <c r="A977" s="50">
        <f t="array" ref="A977">+INDEX(Partidas!$A:$J,MATCH('Resultados dashboard'!$B977,Partidas!$C:$C,0),2)</f>
        <v>45682</v>
      </c>
      <c r="B977" s="56">
        <f>+IF(COUNTIF($B$2:B976,B976)=VLOOKUP(B976,Partidas!$C:$J,8,0),B976+1,B976)</f>
        <v>220</v>
      </c>
      <c r="C977" s="41" t="str">
        <f t="array" ref="C977">+INDEX(Partidas!$A:$J,MATCH('Resultados dashboard'!$B977,Partidas!$C:$C,0),3+COUNTIF($B$2:B977,'Resultados dashboard'!$B977))</f>
        <v>Gallo</v>
      </c>
      <c r="D977" s="54">
        <v>6</v>
      </c>
      <c r="E977" s="53"/>
      <c r="F977" s="53"/>
      <c r="G977" s="53"/>
      <c r="H977" s="38">
        <f t="shared" si="7"/>
        <v>6</v>
      </c>
      <c r="I977" s="38">
        <f t="shared" si="8"/>
        <v>4</v>
      </c>
      <c r="J977" s="55"/>
    </row>
    <row r="978" spans="1:10" ht="12.75" customHeight="1" x14ac:dyDescent="0.2">
      <c r="A978" s="50">
        <f t="array" ref="A978">+INDEX(Partidas!$A:$J,MATCH('Resultados dashboard'!$B978,Partidas!$C:$C,0),2)</f>
        <v>45682</v>
      </c>
      <c r="B978" s="56">
        <f>+IF(COUNTIF($B$2:B977,B977)=VLOOKUP(B977,Partidas!$C:$J,8,0),B977+1,B977)</f>
        <v>220</v>
      </c>
      <c r="C978" s="41" t="str">
        <f t="array" ref="C978">+INDEX(Partidas!$A:$J,MATCH('Resultados dashboard'!$B978,Partidas!$C:$C,0),3+COUNTIF($B$2:B978,'Resultados dashboard'!$B978))</f>
        <v>Ivo</v>
      </c>
      <c r="D978" s="54">
        <v>8</v>
      </c>
      <c r="E978" s="54">
        <v>1</v>
      </c>
      <c r="F978" s="53"/>
      <c r="G978" s="53"/>
      <c r="H978" s="38">
        <f t="shared" si="7"/>
        <v>9</v>
      </c>
      <c r="I978" s="38">
        <f t="shared" si="8"/>
        <v>2</v>
      </c>
      <c r="J978" s="55"/>
    </row>
    <row r="979" spans="1:10" ht="12.75" customHeight="1" x14ac:dyDescent="0.2">
      <c r="A979" s="50">
        <f t="array" ref="A979">+INDEX(Partidas!$A:$J,MATCH('Resultados dashboard'!$B979,Partidas!$C:$C,0),2)</f>
        <v>45682</v>
      </c>
      <c r="B979" s="56">
        <f>+IF(COUNTIF($B$2:B978,B978)=VLOOKUP(B978,Partidas!$C:$J,8,0),B978+1,B978)</f>
        <v>220</v>
      </c>
      <c r="C979" s="41" t="str">
        <f t="array" ref="C979">+INDEX(Partidas!$A:$J,MATCH('Resultados dashboard'!$B979,Partidas!$C:$C,0),3+COUNTIF($B$2:B979,'Resultados dashboard'!$B979))</f>
        <v>Gaspa</v>
      </c>
      <c r="D979" s="54">
        <v>5</v>
      </c>
      <c r="E979" s="53"/>
      <c r="F979" s="54">
        <v>1</v>
      </c>
      <c r="G979" s="53"/>
      <c r="H979" s="38">
        <f t="shared" si="7"/>
        <v>7</v>
      </c>
      <c r="I979" s="38">
        <f t="shared" si="8"/>
        <v>3</v>
      </c>
      <c r="J979" s="55"/>
    </row>
    <row r="980" spans="1:10" ht="12.75" customHeight="1" x14ac:dyDescent="0.2">
      <c r="A980" s="50">
        <f t="array" ref="A980">+INDEX(Partidas!$A:$J,MATCH('Resultados dashboard'!$B980,Partidas!$C:$C,0),2)</f>
        <v>45682</v>
      </c>
      <c r="B980" s="56">
        <f>+IF(COUNTIF($B$2:B979,B979)=VLOOKUP(B979,Partidas!$C:$J,8,0),B979+1,B979)</f>
        <v>220</v>
      </c>
      <c r="C980" s="41" t="str">
        <f t="array" ref="C980">+INDEX(Partidas!$A:$J,MATCH('Resultados dashboard'!$B980,Partidas!$C:$C,0),3+COUNTIF($B$2:B980,'Resultados dashboard'!$B980))</f>
        <v>Abegol</v>
      </c>
      <c r="D980" s="54">
        <v>5</v>
      </c>
      <c r="E980" s="53"/>
      <c r="F980" s="53"/>
      <c r="G980" s="53"/>
      <c r="H980" s="38">
        <f t="shared" si="7"/>
        <v>5</v>
      </c>
      <c r="I980" s="38">
        <f t="shared" si="8"/>
        <v>5</v>
      </c>
      <c r="J980" s="55"/>
    </row>
    <row r="981" spans="1:10" ht="12.75" customHeight="1" x14ac:dyDescent="0.2">
      <c r="A981" s="50">
        <f t="array" ref="A981">+INDEX(Partidas!$A:$J,MATCH('Resultados dashboard'!$B981,Partidas!$C:$C,0),2)</f>
        <v>45682</v>
      </c>
      <c r="B981" s="56">
        <f>+IF(COUNTIF($B$2:B980,B980)=VLOOKUP(B980,Partidas!$C:$J,8,0),B980+1,B980)</f>
        <v>220</v>
      </c>
      <c r="C981" s="41" t="str">
        <f t="array" ref="C981">+INDEX(Partidas!$A:$J,MATCH('Resultados dashboard'!$B981,Partidas!$C:$C,0),3+COUNTIF($B$2:B981,'Resultados dashboard'!$B981))</f>
        <v>Jota</v>
      </c>
      <c r="D981" s="54">
        <v>3</v>
      </c>
      <c r="E981" s="53"/>
      <c r="F981" s="53"/>
      <c r="G981" s="53"/>
      <c r="H981" s="38">
        <f t="shared" si="7"/>
        <v>3</v>
      </c>
      <c r="I981" s="38">
        <f t="shared" si="8"/>
        <v>6</v>
      </c>
      <c r="J981" s="55"/>
    </row>
    <row r="982" spans="1:10" ht="12.75" customHeight="1" x14ac:dyDescent="0.2">
      <c r="A982" s="50">
        <f t="array" ref="A982">+INDEX(Partidas!$A:$J,MATCH('Resultados dashboard'!$B982,Partidas!$C:$C,0),2)</f>
        <v>45682</v>
      </c>
      <c r="B982" s="56">
        <f>+IF(COUNTIF($B$2:B981,B981)=VLOOKUP(B981,Partidas!$C:$J,8,0),B981+1,B981)</f>
        <v>220</v>
      </c>
      <c r="C982" s="41" t="str">
        <f t="array" ref="C982">+INDEX(Partidas!$A:$J,MATCH('Resultados dashboard'!$B982,Partidas!$C:$C,0),3+COUNTIF($B$2:B982,'Resultados dashboard'!$B982))</f>
        <v>Moch</v>
      </c>
      <c r="D982" s="54">
        <v>8</v>
      </c>
      <c r="E982" s="53"/>
      <c r="F982" s="53"/>
      <c r="G982" s="54">
        <v>1</v>
      </c>
      <c r="H982" s="38">
        <f t="shared" si="7"/>
        <v>10</v>
      </c>
      <c r="I982" s="38">
        <f t="shared" si="8"/>
        <v>1</v>
      </c>
      <c r="J982" s="55"/>
    </row>
    <row r="983" spans="1:10" ht="12.75" customHeight="1" x14ac:dyDescent="0.2">
      <c r="A983" s="50">
        <f t="array" ref="A983">+INDEX(Partidas!$A:$J,MATCH('Resultados dashboard'!$B983,Partidas!$C:$C,0),2)</f>
        <v>45682</v>
      </c>
      <c r="B983" s="56">
        <f>+IF(COUNTIF($B$2:B982,B982)=VLOOKUP(B982,Partidas!$C:$J,8,0),B982+1,B982)</f>
        <v>221</v>
      </c>
      <c r="C983" s="41" t="str">
        <f t="array" ref="C983">+INDEX(Partidas!$A:$J,MATCH('Resultados dashboard'!$B983,Partidas!$C:$C,0),3+COUNTIF($B$2:B983,'Resultados dashboard'!$B983))</f>
        <v>Gallo</v>
      </c>
      <c r="D983" s="54">
        <v>6</v>
      </c>
      <c r="E983" s="53"/>
      <c r="F983" s="53"/>
      <c r="G983" s="53"/>
      <c r="H983" s="38">
        <f t="shared" si="7"/>
        <v>6</v>
      </c>
      <c r="I983" s="38">
        <f t="shared" si="8"/>
        <v>3</v>
      </c>
      <c r="J983" s="55"/>
    </row>
    <row r="984" spans="1:10" ht="12.75" customHeight="1" x14ac:dyDescent="0.2">
      <c r="A984" s="50">
        <f t="array" ref="A984">+INDEX(Partidas!$A:$J,MATCH('Resultados dashboard'!$B984,Partidas!$C:$C,0),2)</f>
        <v>45682</v>
      </c>
      <c r="B984" s="56">
        <f>+IF(COUNTIF($B$2:B983,B983)=VLOOKUP(B983,Partidas!$C:$J,8,0),B983+1,B983)</f>
        <v>221</v>
      </c>
      <c r="C984" s="41" t="str">
        <f t="array" ref="C984">+INDEX(Partidas!$A:$J,MATCH('Resultados dashboard'!$B984,Partidas!$C:$C,0),3+COUNTIF($B$2:B984,'Resultados dashboard'!$B984))</f>
        <v>Ivo</v>
      </c>
      <c r="D984" s="54">
        <v>8</v>
      </c>
      <c r="E984" s="53"/>
      <c r="F984" s="54">
        <v>1</v>
      </c>
      <c r="G984" s="53"/>
      <c r="H984" s="38">
        <f t="shared" si="7"/>
        <v>10</v>
      </c>
      <c r="I984" s="38">
        <f t="shared" si="8"/>
        <v>1</v>
      </c>
      <c r="J984" s="55"/>
    </row>
    <row r="985" spans="1:10" ht="12.75" customHeight="1" x14ac:dyDescent="0.2">
      <c r="A985" s="50">
        <f t="array" ref="A985">+INDEX(Partidas!$A:$J,MATCH('Resultados dashboard'!$B985,Partidas!$C:$C,0),2)</f>
        <v>45682</v>
      </c>
      <c r="B985" s="56">
        <f>+IF(COUNTIF($B$2:B984,B984)=VLOOKUP(B984,Partidas!$C:$J,8,0),B984+1,B984)</f>
        <v>221</v>
      </c>
      <c r="C985" s="41" t="str">
        <f t="array" ref="C985">+INDEX(Partidas!$A:$J,MATCH('Resultados dashboard'!$B985,Partidas!$C:$C,0),3+COUNTIF($B$2:B985,'Resultados dashboard'!$B985))</f>
        <v>Max</v>
      </c>
      <c r="D985" s="54">
        <v>6</v>
      </c>
      <c r="E985" s="53"/>
      <c r="F985" s="53"/>
      <c r="G985" s="53"/>
      <c r="H985" s="38">
        <f t="shared" si="7"/>
        <v>6</v>
      </c>
      <c r="I985" s="38">
        <f t="shared" si="8"/>
        <v>3</v>
      </c>
      <c r="J985" s="55"/>
    </row>
    <row r="986" spans="1:10" ht="12.75" customHeight="1" x14ac:dyDescent="0.2">
      <c r="A986" s="50">
        <f t="array" ref="A986">+INDEX(Partidas!$A:$J,MATCH('Resultados dashboard'!$B986,Partidas!$C:$C,0),2)</f>
        <v>45682</v>
      </c>
      <c r="B986" s="56">
        <f>+IF(COUNTIF($B$2:B985,B985)=VLOOKUP(B985,Partidas!$C:$J,8,0),B985+1,B985)</f>
        <v>221</v>
      </c>
      <c r="C986" s="41" t="str">
        <f t="array" ref="C986">+INDEX(Partidas!$A:$J,MATCH('Resultados dashboard'!$B986,Partidas!$C:$C,0),3+COUNTIF($B$2:B986,'Resultados dashboard'!$B986))</f>
        <v>Jota</v>
      </c>
      <c r="D986" s="54">
        <v>5</v>
      </c>
      <c r="E986" s="54">
        <v>1</v>
      </c>
      <c r="F986" s="53"/>
      <c r="G986" s="54">
        <v>1</v>
      </c>
      <c r="H986" s="38">
        <f t="shared" si="7"/>
        <v>8</v>
      </c>
      <c r="I986" s="38">
        <f t="shared" si="8"/>
        <v>2</v>
      </c>
      <c r="J986" s="55"/>
    </row>
    <row r="987" spans="1:10" ht="12.75" customHeight="1" x14ac:dyDescent="0.2">
      <c r="A987" s="50">
        <f t="array" ref="A987">+INDEX(Partidas!$A:$J,MATCH('Resultados dashboard'!$B987,Partidas!$C:$C,0),2)</f>
        <v>45682</v>
      </c>
      <c r="B987" s="56">
        <f>+IF(COUNTIF($B$2:B986,B986)=VLOOKUP(B986,Partidas!$C:$J,8,0),B986+1,B986)</f>
        <v>222</v>
      </c>
      <c r="C987" s="41" t="str">
        <f t="array" ref="C987">+INDEX(Partidas!$A:$J,MATCH('Resultados dashboard'!$B987,Partidas!$C:$C,0),3+COUNTIF($B$2:B987,'Resultados dashboard'!$B987))</f>
        <v>Gallo</v>
      </c>
      <c r="D987" s="54">
        <v>6</v>
      </c>
      <c r="E987" s="53"/>
      <c r="F987" s="53"/>
      <c r="G987" s="53"/>
      <c r="H987" s="38">
        <f t="shared" si="7"/>
        <v>6</v>
      </c>
      <c r="I987" s="38">
        <f t="shared" si="8"/>
        <v>4</v>
      </c>
      <c r="J987" s="55"/>
    </row>
    <row r="988" spans="1:10" ht="12.75" customHeight="1" x14ac:dyDescent="0.2">
      <c r="A988" s="50">
        <f t="array" ref="A988">+INDEX(Partidas!$A:$J,MATCH('Resultados dashboard'!$B988,Partidas!$C:$C,0),2)</f>
        <v>45682</v>
      </c>
      <c r="B988" s="56">
        <f>+IF(COUNTIF($B$2:B987,B987)=VLOOKUP(B987,Partidas!$C:$J,8,0),B987+1,B987)</f>
        <v>222</v>
      </c>
      <c r="C988" s="41" t="str">
        <f t="array" ref="C988">+INDEX(Partidas!$A:$J,MATCH('Resultados dashboard'!$B988,Partidas!$C:$C,0),3+COUNTIF($B$2:B988,'Resultados dashboard'!$B988))</f>
        <v>Ivo</v>
      </c>
      <c r="D988" s="54">
        <v>6</v>
      </c>
      <c r="E988" s="53"/>
      <c r="F988" s="54">
        <v>1</v>
      </c>
      <c r="G988" s="54">
        <v>1</v>
      </c>
      <c r="H988" s="38">
        <f t="shared" si="7"/>
        <v>10</v>
      </c>
      <c r="I988" s="38">
        <f t="shared" si="8"/>
        <v>1</v>
      </c>
      <c r="J988" s="55"/>
    </row>
    <row r="989" spans="1:10" ht="12.75" customHeight="1" x14ac:dyDescent="0.2">
      <c r="A989" s="50">
        <f t="array" ref="A989">+INDEX(Partidas!$A:$J,MATCH('Resultados dashboard'!$B989,Partidas!$C:$C,0),2)</f>
        <v>45682</v>
      </c>
      <c r="B989" s="56">
        <f>+IF(COUNTIF($B$2:B988,B988)=VLOOKUP(B988,Partidas!$C:$J,8,0),B988+1,B988)</f>
        <v>222</v>
      </c>
      <c r="C989" s="41" t="str">
        <f t="array" ref="C989">+INDEX(Partidas!$A:$J,MATCH('Resultados dashboard'!$B989,Partidas!$C:$C,0),3+COUNTIF($B$2:B989,'Resultados dashboard'!$B989))</f>
        <v>Max</v>
      </c>
      <c r="D989" s="54">
        <v>7</v>
      </c>
      <c r="E989" s="53"/>
      <c r="F989" s="53"/>
      <c r="G989" s="53"/>
      <c r="H989" s="38">
        <f t="shared" si="7"/>
        <v>7</v>
      </c>
      <c r="I989" s="38">
        <f t="shared" si="8"/>
        <v>2</v>
      </c>
      <c r="J989" s="55"/>
    </row>
    <row r="990" spans="1:10" ht="12.75" customHeight="1" x14ac:dyDescent="0.2">
      <c r="A990" s="50">
        <f t="array" ref="A990">+INDEX(Partidas!$A:$J,MATCH('Resultados dashboard'!$B990,Partidas!$C:$C,0),2)</f>
        <v>45682</v>
      </c>
      <c r="B990" s="56">
        <f>+IF(COUNTIF($B$2:B989,B989)=VLOOKUP(B989,Partidas!$C:$J,8,0),B989+1,B989)</f>
        <v>222</v>
      </c>
      <c r="C990" s="41" t="str">
        <f t="array" ref="C990">+INDEX(Partidas!$A:$J,MATCH('Resultados dashboard'!$B990,Partidas!$C:$C,0),3+COUNTIF($B$2:B990,'Resultados dashboard'!$B990))</f>
        <v>Gaspa</v>
      </c>
      <c r="D990" s="54">
        <v>5</v>
      </c>
      <c r="E990" s="54">
        <v>2</v>
      </c>
      <c r="F990" s="53"/>
      <c r="G990" s="53"/>
      <c r="H990" s="38">
        <f t="shared" si="7"/>
        <v>7</v>
      </c>
      <c r="I990" s="38">
        <f t="shared" si="8"/>
        <v>2</v>
      </c>
      <c r="J990" s="55"/>
    </row>
    <row r="991" spans="1:10" ht="12.75" customHeight="1" x14ac:dyDescent="0.2">
      <c r="A991" s="50">
        <f t="array" ref="A991">+INDEX(Partidas!$A:$J,MATCH('Resultados dashboard'!$B991,Partidas!$C:$C,0),2)</f>
        <v>45689</v>
      </c>
      <c r="B991" s="56">
        <f>+IF(COUNTIF($B$2:B990,B990)=VLOOKUP(B990,Partidas!$C:$J,8,0),B990+1,B990)</f>
        <v>223</v>
      </c>
      <c r="C991" s="41" t="str">
        <f t="array" ref="C991">+INDEX(Partidas!$A:$J,MATCH('Resultados dashboard'!$B991,Partidas!$C:$C,0),3+COUNTIF($B$2:B991,'Resultados dashboard'!$B991))</f>
        <v>Gallo</v>
      </c>
      <c r="D991" s="54">
        <v>4</v>
      </c>
      <c r="E991" s="54">
        <v>1</v>
      </c>
      <c r="F991" s="53"/>
      <c r="G991" s="53"/>
      <c r="H991" s="38">
        <f t="shared" si="7"/>
        <v>5</v>
      </c>
      <c r="I991" s="38">
        <f t="shared" si="8"/>
        <v>4</v>
      </c>
      <c r="J991" s="55"/>
    </row>
    <row r="992" spans="1:10" ht="12.75" customHeight="1" x14ac:dyDescent="0.2">
      <c r="A992" s="50">
        <f t="array" ref="A992">+INDEX(Partidas!$A:$J,MATCH('Resultados dashboard'!$B992,Partidas!$C:$C,0),2)</f>
        <v>45689</v>
      </c>
      <c r="B992" s="56">
        <f>+IF(COUNTIF($B$2:B991,B991)=VLOOKUP(B991,Partidas!$C:$J,8,0),B991+1,B991)</f>
        <v>223</v>
      </c>
      <c r="C992" s="41" t="str">
        <f t="array" ref="C992">+INDEX(Partidas!$A:$J,MATCH('Resultados dashboard'!$B992,Partidas!$C:$C,0),3+COUNTIF($B$2:B992,'Resultados dashboard'!$B992))</f>
        <v>Ivo</v>
      </c>
      <c r="D992" s="54">
        <v>5</v>
      </c>
      <c r="E992" s="54">
        <v>2</v>
      </c>
      <c r="F992" s="53"/>
      <c r="G992" s="53"/>
      <c r="H992" s="38">
        <f t="shared" si="7"/>
        <v>7</v>
      </c>
      <c r="I992" s="38">
        <f t="shared" si="8"/>
        <v>2</v>
      </c>
      <c r="J992" s="55"/>
    </row>
    <row r="993" spans="1:10" ht="12.75" customHeight="1" x14ac:dyDescent="0.2">
      <c r="A993" s="50">
        <f t="array" ref="A993">+INDEX(Partidas!$A:$J,MATCH('Resultados dashboard'!$B993,Partidas!$C:$C,0),2)</f>
        <v>45689</v>
      </c>
      <c r="B993" s="56">
        <f>+IF(COUNTIF($B$2:B992,B992)=VLOOKUP(B992,Partidas!$C:$J,8,0),B992+1,B992)</f>
        <v>223</v>
      </c>
      <c r="C993" s="41" t="str">
        <f t="array" ref="C993">+INDEX(Partidas!$A:$J,MATCH('Resultados dashboard'!$B993,Partidas!$C:$C,0),3+COUNTIF($B$2:B993,'Resultados dashboard'!$B993))</f>
        <v>Max</v>
      </c>
      <c r="D993" s="54">
        <v>8</v>
      </c>
      <c r="E993" s="53"/>
      <c r="F993" s="53"/>
      <c r="G993" s="54">
        <v>1</v>
      </c>
      <c r="H993" s="38">
        <f t="shared" si="7"/>
        <v>10</v>
      </c>
      <c r="I993" s="38">
        <f t="shared" si="8"/>
        <v>1</v>
      </c>
      <c r="J993" s="55"/>
    </row>
    <row r="994" spans="1:10" ht="12.75" customHeight="1" x14ac:dyDescent="0.2">
      <c r="A994" s="50">
        <f t="array" ref="A994">+INDEX(Partidas!$A:$J,MATCH('Resultados dashboard'!$B994,Partidas!$C:$C,0),2)</f>
        <v>45689</v>
      </c>
      <c r="B994" s="56">
        <f>+IF(COUNTIF($B$2:B993,B993)=VLOOKUP(B993,Partidas!$C:$J,8,0),B993+1,B993)</f>
        <v>223</v>
      </c>
      <c r="C994" s="41" t="str">
        <f t="array" ref="C994">+INDEX(Partidas!$A:$J,MATCH('Resultados dashboard'!$B994,Partidas!$C:$C,0),3+COUNTIF($B$2:B994,'Resultados dashboard'!$B994))</f>
        <v>Hugo</v>
      </c>
      <c r="D994" s="54">
        <v>5</v>
      </c>
      <c r="E994" s="54">
        <v>1</v>
      </c>
      <c r="F994" s="53"/>
      <c r="G994" s="53"/>
      <c r="H994" s="38">
        <f t="shared" si="7"/>
        <v>6</v>
      </c>
      <c r="I994" s="38">
        <f t="shared" si="8"/>
        <v>3</v>
      </c>
      <c r="J994" s="55"/>
    </row>
    <row r="995" spans="1:10" ht="12.75" customHeight="1" x14ac:dyDescent="0.2">
      <c r="A995" s="50">
        <f t="array" ref="A995">+INDEX(Partidas!$A:$J,MATCH('Resultados dashboard'!$B995,Partidas!$C:$C,0),2)</f>
        <v>45689</v>
      </c>
      <c r="B995" s="56">
        <f>+IF(COUNTIF($B$2:B994,B994)=VLOOKUP(B994,Partidas!$C:$J,8,0),B994+1,B994)</f>
        <v>224</v>
      </c>
      <c r="C995" s="41" t="str">
        <f t="array" ref="C995">+INDEX(Partidas!$A:$J,MATCH('Resultados dashboard'!$B995,Partidas!$C:$C,0),3+COUNTIF($B$2:B995,'Resultados dashboard'!$B995))</f>
        <v>Gallo</v>
      </c>
      <c r="D995" s="54">
        <v>7</v>
      </c>
      <c r="E995" s="53"/>
      <c r="F995" s="53"/>
      <c r="G995" s="53"/>
      <c r="H995" s="38">
        <f t="shared" si="7"/>
        <v>7</v>
      </c>
      <c r="I995" s="38">
        <f t="shared" si="8"/>
        <v>3</v>
      </c>
      <c r="J995" s="55"/>
    </row>
    <row r="996" spans="1:10" ht="12.75" customHeight="1" x14ac:dyDescent="0.2">
      <c r="A996" s="50">
        <f t="array" ref="A996">+INDEX(Partidas!$A:$J,MATCH('Resultados dashboard'!$B996,Partidas!$C:$C,0),2)</f>
        <v>45689</v>
      </c>
      <c r="B996" s="56">
        <f>+IF(COUNTIF($B$2:B995,B995)=VLOOKUP(B995,Partidas!$C:$J,8,0),B995+1,B995)</f>
        <v>224</v>
      </c>
      <c r="C996" s="41" t="str">
        <f t="array" ref="C996">+INDEX(Partidas!$A:$J,MATCH('Resultados dashboard'!$B996,Partidas!$C:$C,0),3+COUNTIF($B$2:B996,'Resultados dashboard'!$B996))</f>
        <v>Ivo</v>
      </c>
      <c r="D996" s="54">
        <v>7</v>
      </c>
      <c r="E996" s="53"/>
      <c r="F996" s="54">
        <v>1</v>
      </c>
      <c r="G996" s="53"/>
      <c r="H996" s="38">
        <f t="shared" si="7"/>
        <v>9</v>
      </c>
      <c r="I996" s="38">
        <f t="shared" si="8"/>
        <v>2</v>
      </c>
      <c r="J996" s="55"/>
    </row>
    <row r="997" spans="1:10" ht="12.75" customHeight="1" x14ac:dyDescent="0.2">
      <c r="A997" s="50">
        <f t="array" ref="A997">+INDEX(Partidas!$A:$J,MATCH('Resultados dashboard'!$B997,Partidas!$C:$C,0),2)</f>
        <v>45689</v>
      </c>
      <c r="B997" s="56">
        <f>+IF(COUNTIF($B$2:B996,B996)=VLOOKUP(B996,Partidas!$C:$J,8,0),B996+1,B996)</f>
        <v>224</v>
      </c>
      <c r="C997" s="41" t="str">
        <f t="array" ref="C997">+INDEX(Partidas!$A:$J,MATCH('Resultados dashboard'!$B997,Partidas!$C:$C,0),3+COUNTIF($B$2:B997,'Resultados dashboard'!$B997))</f>
        <v>Max</v>
      </c>
      <c r="D997" s="54">
        <v>8</v>
      </c>
      <c r="E997" s="54">
        <v>1</v>
      </c>
      <c r="F997" s="53"/>
      <c r="G997" s="54">
        <v>1</v>
      </c>
      <c r="H997" s="38">
        <f t="shared" si="7"/>
        <v>11</v>
      </c>
      <c r="I997" s="38">
        <f t="shared" si="8"/>
        <v>1</v>
      </c>
      <c r="J997" s="55"/>
    </row>
    <row r="998" spans="1:10" ht="12.75" customHeight="1" x14ac:dyDescent="0.2">
      <c r="A998" s="50">
        <f t="array" ref="A998">+INDEX(Partidas!$A:$J,MATCH('Resultados dashboard'!$B998,Partidas!$C:$C,0),2)</f>
        <v>45689</v>
      </c>
      <c r="B998" s="56">
        <f>+IF(COUNTIF($B$2:B997,B997)=VLOOKUP(B997,Partidas!$C:$J,8,0),B997+1,B997)</f>
        <v>224</v>
      </c>
      <c r="C998" s="41" t="str">
        <f t="array" ref="C998">+INDEX(Partidas!$A:$J,MATCH('Resultados dashboard'!$B998,Partidas!$C:$C,0),3+COUNTIF($B$2:B998,'Resultados dashboard'!$B998))</f>
        <v>Hugo</v>
      </c>
      <c r="D998" s="54">
        <v>5</v>
      </c>
      <c r="E998" s="54">
        <v>2</v>
      </c>
      <c r="F998" s="53"/>
      <c r="G998" s="53"/>
      <c r="H998" s="38">
        <f t="shared" si="7"/>
        <v>7</v>
      </c>
      <c r="I998" s="38">
        <f t="shared" si="8"/>
        <v>3</v>
      </c>
      <c r="J998" s="55"/>
    </row>
    <row r="999" spans="1:10" ht="15" customHeight="1" x14ac:dyDescent="0.2">
      <c r="A999" s="50">
        <f t="array" ref="A999">+INDEX(Partidas!$A:$J,MATCH('Resultados dashboard'!$B999,Partidas!$C:$C,0),2)</f>
        <v>45689</v>
      </c>
      <c r="B999" s="56">
        <f>+IF(COUNTIF($B$2:B998,B998)=VLOOKUP(B998,Partidas!$C:$J,8,0),B998+1,B998)</f>
        <v>225</v>
      </c>
      <c r="C999" s="41" t="str">
        <f t="array" ref="C999">+INDEX(Partidas!$A:$J,MATCH('Resultados dashboard'!$B999,Partidas!$C:$C,0),3+COUNTIF($B$2:B999,'Resultados dashboard'!$B999))</f>
        <v>Gallo</v>
      </c>
      <c r="D999" s="54">
        <v>8</v>
      </c>
      <c r="E999" s="53"/>
      <c r="F999" s="53"/>
      <c r="G999" s="54">
        <v>1</v>
      </c>
      <c r="H999" s="38">
        <f t="shared" si="7"/>
        <v>10</v>
      </c>
      <c r="I999" s="38">
        <f t="shared" si="8"/>
        <v>1</v>
      </c>
      <c r="J999" s="55"/>
    </row>
    <row r="1000" spans="1:10" ht="15" customHeight="1" x14ac:dyDescent="0.2">
      <c r="A1000" s="50">
        <f t="array" ref="A1000">+INDEX(Partidas!$A:$J,MATCH('Resultados dashboard'!$B1000,Partidas!$C:$C,0),2)</f>
        <v>45689</v>
      </c>
      <c r="B1000" s="56">
        <f>+IF(COUNTIF($B$2:B999,B999)=VLOOKUP(B999,Partidas!$C:$J,8,0),B999+1,B999)</f>
        <v>225</v>
      </c>
      <c r="C1000" s="41" t="str">
        <f t="array" ref="C1000">+INDEX(Partidas!$A:$J,MATCH('Resultados dashboard'!$B1000,Partidas!$C:$C,0),3+COUNTIF($B$2:B1000,'Resultados dashboard'!$B1000))</f>
        <v>Ivo</v>
      </c>
      <c r="D1000" s="54">
        <v>4</v>
      </c>
      <c r="E1000" s="54">
        <v>2</v>
      </c>
      <c r="F1000" s="53"/>
      <c r="G1000" s="53"/>
      <c r="H1000" s="38">
        <f t="shared" si="7"/>
        <v>6</v>
      </c>
      <c r="I1000" s="38">
        <f t="shared" si="8"/>
        <v>4</v>
      </c>
      <c r="J1000" s="55"/>
    </row>
    <row r="1001" spans="1:10" ht="15" customHeight="1" x14ac:dyDescent="0.2">
      <c r="A1001" s="50">
        <f t="array" ref="A1001">+INDEX(Partidas!$A:$J,MATCH('Resultados dashboard'!$B1001,Partidas!$C:$C,0),2)</f>
        <v>45689</v>
      </c>
      <c r="B1001" s="56">
        <f>+IF(COUNTIF($B$2:B1000,B1000)=VLOOKUP(B1000,Partidas!$C:$J,8,0),B1000+1,B1000)</f>
        <v>225</v>
      </c>
      <c r="C1001" s="41" t="str">
        <f t="array" ref="C1001">+INDEX(Partidas!$A:$J,MATCH('Resultados dashboard'!$B1001,Partidas!$C:$C,0),3+COUNTIF($B$2:B1001,'Resultados dashboard'!$B1001))</f>
        <v>Max</v>
      </c>
      <c r="D1001" s="54">
        <v>5</v>
      </c>
      <c r="E1001" s="53"/>
      <c r="F1001" s="53"/>
      <c r="G1001" s="53"/>
      <c r="H1001" s="38">
        <f t="shared" si="7"/>
        <v>5</v>
      </c>
      <c r="I1001" s="38">
        <f t="shared" si="8"/>
        <v>5</v>
      </c>
      <c r="J1001" s="55"/>
    </row>
    <row r="1002" spans="1:10" ht="15" customHeight="1" x14ac:dyDescent="0.2">
      <c r="A1002" s="50">
        <f t="array" ref="A1002">+INDEX(Partidas!$A:$J,MATCH('Resultados dashboard'!$B1002,Partidas!$C:$C,0),2)</f>
        <v>45689</v>
      </c>
      <c r="B1002" s="56">
        <f>+IF(COUNTIF($B$2:B1001,B1001)=VLOOKUP(B1001,Partidas!$C:$J,8,0),B1001+1,B1001)</f>
        <v>225</v>
      </c>
      <c r="C1002" s="41" t="str">
        <f t="array" ref="C1002">+INDEX(Partidas!$A:$J,MATCH('Resultados dashboard'!$B1002,Partidas!$C:$C,0),3+COUNTIF($B$2:B1002,'Resultados dashboard'!$B1002))</f>
        <v>Hugo</v>
      </c>
      <c r="D1002" s="54">
        <v>8</v>
      </c>
      <c r="E1002" s="53"/>
      <c r="F1002" s="53"/>
      <c r="G1002" s="53"/>
      <c r="H1002" s="38">
        <f t="shared" si="7"/>
        <v>8</v>
      </c>
      <c r="I1002" s="38">
        <f t="shared" si="8"/>
        <v>2</v>
      </c>
      <c r="J1002" s="55"/>
    </row>
    <row r="1003" spans="1:10" ht="15" customHeight="1" x14ac:dyDescent="0.2">
      <c r="A1003" s="50">
        <f t="array" ref="A1003">+INDEX(Partidas!$A:$J,MATCH('Resultados dashboard'!$B1003,Partidas!$C:$C,0),2)</f>
        <v>45689</v>
      </c>
      <c r="B1003" s="56">
        <f>+IF(COUNTIF($B$2:B1002,B1002)=VLOOKUP(B1002,Partidas!$C:$J,8,0),B1002+1,B1002)</f>
        <v>225</v>
      </c>
      <c r="C1003" s="41" t="str">
        <f t="array" ref="C1003">+INDEX(Partidas!$A:$J,MATCH('Resultados dashboard'!$B1003,Partidas!$C:$C,0),3+COUNTIF($B$2:B1003,'Resultados dashboard'!$B1003))</f>
        <v>Gaspa</v>
      </c>
      <c r="D1003" s="54">
        <v>5</v>
      </c>
      <c r="E1003" s="53"/>
      <c r="F1003" s="54">
        <v>1</v>
      </c>
      <c r="G1003" s="53"/>
      <c r="H1003" s="38">
        <f t="shared" si="7"/>
        <v>7</v>
      </c>
      <c r="I1003" s="38">
        <f t="shared" si="8"/>
        <v>3</v>
      </c>
      <c r="J1003" s="55"/>
    </row>
    <row r="1004" spans="1:10" ht="15" customHeight="1" x14ac:dyDescent="0.2">
      <c r="A1004" s="50">
        <f t="array" ref="A1004">+INDEX(Partidas!$A:$J,MATCH('Resultados dashboard'!$B1004,Partidas!$C:$C,0),2)</f>
        <v>45689</v>
      </c>
      <c r="B1004" s="56">
        <f>+IF(COUNTIF($B$2:B1003,B1003)=VLOOKUP(B1003,Partidas!$C:$J,8,0),B1003+1,B1003)</f>
        <v>226</v>
      </c>
      <c r="C1004" s="41" t="str">
        <f t="array" ref="C1004">+INDEX(Partidas!$A:$J,MATCH('Resultados dashboard'!$B1004,Partidas!$C:$C,0),3+COUNTIF($B$2:B1004,'Resultados dashboard'!$B1004))</f>
        <v>Gallo</v>
      </c>
      <c r="D1004" s="54">
        <v>6</v>
      </c>
      <c r="E1004" s="53"/>
      <c r="F1004" s="53"/>
      <c r="G1004" s="53"/>
      <c r="H1004" s="38">
        <f t="shared" si="7"/>
        <v>6</v>
      </c>
      <c r="I1004" s="38">
        <f t="shared" si="8"/>
        <v>4</v>
      </c>
      <c r="J1004" s="55"/>
    </row>
    <row r="1005" spans="1:10" ht="15" customHeight="1" x14ac:dyDescent="0.2">
      <c r="A1005" s="50">
        <f t="array" ref="A1005">+INDEX(Partidas!$A:$J,MATCH('Resultados dashboard'!$B1005,Partidas!$C:$C,0),2)</f>
        <v>45689</v>
      </c>
      <c r="B1005" s="56">
        <f>+IF(COUNTIF($B$2:B1004,B1004)=VLOOKUP(B1004,Partidas!$C:$J,8,0),B1004+1,B1004)</f>
        <v>226</v>
      </c>
      <c r="C1005" s="41" t="str">
        <f t="array" ref="C1005">+INDEX(Partidas!$A:$J,MATCH('Resultados dashboard'!$B1005,Partidas!$C:$C,0),3+COUNTIF($B$2:B1005,'Resultados dashboard'!$B1005))</f>
        <v>Ivo</v>
      </c>
      <c r="D1005" s="54">
        <v>4</v>
      </c>
      <c r="E1005" s="54">
        <v>1</v>
      </c>
      <c r="F1005" s="53"/>
      <c r="G1005" s="53"/>
      <c r="H1005" s="38">
        <f t="shared" si="7"/>
        <v>5</v>
      </c>
      <c r="I1005" s="38">
        <f t="shared" si="8"/>
        <v>5</v>
      </c>
      <c r="J1005" s="55"/>
    </row>
    <row r="1006" spans="1:10" ht="15" customHeight="1" x14ac:dyDescent="0.2">
      <c r="A1006" s="50">
        <f t="array" ref="A1006">+INDEX(Partidas!$A:$J,MATCH('Resultados dashboard'!$B1006,Partidas!$C:$C,0),2)</f>
        <v>45689</v>
      </c>
      <c r="B1006" s="56">
        <f>+IF(COUNTIF($B$2:B1005,B1005)=VLOOKUP(B1005,Partidas!$C:$J,8,0),B1005+1,B1005)</f>
        <v>226</v>
      </c>
      <c r="C1006" s="41" t="str">
        <f t="array" ref="C1006">+INDEX(Partidas!$A:$J,MATCH('Resultados dashboard'!$B1006,Partidas!$C:$C,0),3+COUNTIF($B$2:B1006,'Resultados dashboard'!$B1006))</f>
        <v>Max</v>
      </c>
      <c r="D1006" s="54">
        <v>8</v>
      </c>
      <c r="E1006" s="53"/>
      <c r="F1006" s="53"/>
      <c r="G1006" s="54">
        <v>1</v>
      </c>
      <c r="H1006" s="38">
        <f t="shared" si="7"/>
        <v>10</v>
      </c>
      <c r="I1006" s="38">
        <f t="shared" si="8"/>
        <v>1</v>
      </c>
      <c r="J1006" s="55"/>
    </row>
    <row r="1007" spans="1:10" ht="15" customHeight="1" x14ac:dyDescent="0.2">
      <c r="A1007" s="50">
        <f t="array" ref="A1007">+INDEX(Partidas!$A:$J,MATCH('Resultados dashboard'!$B1007,Partidas!$C:$C,0),2)</f>
        <v>45689</v>
      </c>
      <c r="B1007" s="56">
        <f>+IF(COUNTIF($B$2:B1006,B1006)=VLOOKUP(B1006,Partidas!$C:$J,8,0),B1006+1,B1006)</f>
        <v>226</v>
      </c>
      <c r="C1007" s="41" t="str">
        <f t="array" ref="C1007">+INDEX(Partidas!$A:$J,MATCH('Resultados dashboard'!$B1007,Partidas!$C:$C,0),3+COUNTIF($B$2:B1007,'Resultados dashboard'!$B1007))</f>
        <v>Hugo</v>
      </c>
      <c r="D1007" s="54">
        <v>7</v>
      </c>
      <c r="E1007" s="53"/>
      <c r="F1007" s="53"/>
      <c r="G1007" s="53"/>
      <c r="H1007" s="38">
        <f t="shared" si="7"/>
        <v>7</v>
      </c>
      <c r="I1007" s="38">
        <f t="shared" si="8"/>
        <v>3</v>
      </c>
      <c r="J1007" s="55"/>
    </row>
    <row r="1008" spans="1:10" ht="15" customHeight="1" x14ac:dyDescent="0.2">
      <c r="A1008" s="50">
        <f t="array" ref="A1008">+INDEX(Partidas!$A:$J,MATCH('Resultados dashboard'!$B1008,Partidas!$C:$C,0),2)</f>
        <v>45689</v>
      </c>
      <c r="B1008" s="56">
        <f>+IF(COUNTIF($B$2:B1007,B1007)=VLOOKUP(B1007,Partidas!$C:$J,8,0),B1007+1,B1007)</f>
        <v>226</v>
      </c>
      <c r="C1008" s="41" t="str">
        <f t="array" ref="C1008">+INDEX(Partidas!$A:$J,MATCH('Resultados dashboard'!$B1008,Partidas!$C:$C,0),3+COUNTIF($B$2:B1008,'Resultados dashboard'!$B1008))</f>
        <v>Gaspa</v>
      </c>
      <c r="D1008" s="54">
        <v>8</v>
      </c>
      <c r="E1008" s="53"/>
      <c r="F1008" s="54">
        <v>1</v>
      </c>
      <c r="G1008" s="53"/>
      <c r="H1008" s="38">
        <f t="shared" si="7"/>
        <v>10</v>
      </c>
      <c r="I1008" s="58">
        <v>2</v>
      </c>
      <c r="J1008" s="55"/>
    </row>
    <row r="1009" spans="1:10" ht="15" customHeight="1" x14ac:dyDescent="0.2">
      <c r="A1009" s="50">
        <f t="array" ref="A1009">+INDEX(Partidas!$A:$J,MATCH('Resultados dashboard'!$B1009,Partidas!$C:$C,0),2)</f>
        <v>45689</v>
      </c>
      <c r="B1009" s="56">
        <f>+IF(COUNTIF($B$2:B1008,B1008)=VLOOKUP(B1008,Partidas!$C:$J,8,0),B1008+1,B1008)</f>
        <v>227</v>
      </c>
      <c r="C1009" s="41" t="str">
        <f t="array" ref="C1009">+INDEX(Partidas!$A:$J,MATCH('Resultados dashboard'!$B1009,Partidas!$C:$C,0),3+COUNTIF($B$2:B1009,'Resultados dashboard'!$B1009))</f>
        <v>Gallo</v>
      </c>
      <c r="D1009" s="54">
        <v>5</v>
      </c>
      <c r="E1009" s="53"/>
      <c r="F1009" s="54">
        <v>1</v>
      </c>
      <c r="G1009" s="53"/>
      <c r="H1009" s="38">
        <f t="shared" si="7"/>
        <v>7</v>
      </c>
      <c r="I1009" s="38">
        <f t="shared" ref="I1009:I1057" si="9">COUNTIFS($B$2:$B$1075,B1009,$H$2:$H$1075,"&gt;" &amp; H1009)+1</f>
        <v>3</v>
      </c>
      <c r="J1009" s="55"/>
    </row>
    <row r="1010" spans="1:10" ht="15" customHeight="1" x14ac:dyDescent="0.2">
      <c r="A1010" s="50">
        <f t="array" ref="A1010">+INDEX(Partidas!$A:$J,MATCH('Resultados dashboard'!$B1010,Partidas!$C:$C,0),2)</f>
        <v>45689</v>
      </c>
      <c r="B1010" s="56">
        <f>+IF(COUNTIF($B$2:B1009,B1009)=VLOOKUP(B1009,Partidas!$C:$J,8,0),B1009+1,B1009)</f>
        <v>227</v>
      </c>
      <c r="C1010" s="41" t="str">
        <f t="array" ref="C1010">+INDEX(Partidas!$A:$J,MATCH('Resultados dashboard'!$B1010,Partidas!$C:$C,0),3+COUNTIF($B$2:B1010,'Resultados dashboard'!$B1010))</f>
        <v>Ivo</v>
      </c>
      <c r="D1010" s="54">
        <v>5</v>
      </c>
      <c r="E1010" s="53"/>
      <c r="F1010" s="53"/>
      <c r="G1010" s="53"/>
      <c r="H1010" s="38">
        <f t="shared" si="7"/>
        <v>5</v>
      </c>
      <c r="I1010" s="38">
        <f t="shared" si="9"/>
        <v>4</v>
      </c>
      <c r="J1010" s="55"/>
    </row>
    <row r="1011" spans="1:10" ht="15" customHeight="1" x14ac:dyDescent="0.2">
      <c r="A1011" s="50">
        <f t="array" ref="A1011">+INDEX(Partidas!$A:$J,MATCH('Resultados dashboard'!$B1011,Partidas!$C:$C,0),2)</f>
        <v>45689</v>
      </c>
      <c r="B1011" s="56">
        <f>+IF(COUNTIF($B$2:B1010,B1010)=VLOOKUP(B1010,Partidas!$C:$J,8,0),B1010+1,B1010)</f>
        <v>227</v>
      </c>
      <c r="C1011" s="41" t="str">
        <f t="array" ref="C1011">+INDEX(Partidas!$A:$J,MATCH('Resultados dashboard'!$B1011,Partidas!$C:$C,0),3+COUNTIF($B$2:B1011,'Resultados dashboard'!$B1011))</f>
        <v>Max</v>
      </c>
      <c r="D1011" s="54">
        <v>5</v>
      </c>
      <c r="E1011" s="53"/>
      <c r="F1011" s="53"/>
      <c r="G1011" s="53"/>
      <c r="H1011" s="38">
        <f t="shared" si="7"/>
        <v>5</v>
      </c>
      <c r="I1011" s="38">
        <f t="shared" si="9"/>
        <v>4</v>
      </c>
      <c r="J1011" s="55"/>
    </row>
    <row r="1012" spans="1:10" ht="15" customHeight="1" x14ac:dyDescent="0.2">
      <c r="A1012" s="50">
        <f t="array" ref="A1012">+INDEX(Partidas!$A:$J,MATCH('Resultados dashboard'!$B1012,Partidas!$C:$C,0),2)</f>
        <v>45689</v>
      </c>
      <c r="B1012" s="56">
        <f>+IF(COUNTIF($B$2:B1011,B1011)=VLOOKUP(B1011,Partidas!$C:$J,8,0),B1011+1,B1011)</f>
        <v>227</v>
      </c>
      <c r="C1012" s="41" t="str">
        <f t="array" ref="C1012">+INDEX(Partidas!$A:$J,MATCH('Resultados dashboard'!$B1012,Partidas!$C:$C,0),3+COUNTIF($B$2:B1012,'Resultados dashboard'!$B1012))</f>
        <v>Hugo</v>
      </c>
      <c r="D1012" s="54">
        <v>7</v>
      </c>
      <c r="E1012" s="54">
        <v>2</v>
      </c>
      <c r="F1012" s="53"/>
      <c r="G1012" s="53"/>
      <c r="H1012" s="38">
        <f t="shared" si="7"/>
        <v>9</v>
      </c>
      <c r="I1012" s="38">
        <f t="shared" si="9"/>
        <v>2</v>
      </c>
      <c r="J1012" s="55"/>
    </row>
    <row r="1013" spans="1:10" ht="15" customHeight="1" x14ac:dyDescent="0.2">
      <c r="A1013" s="50">
        <f t="array" ref="A1013">+INDEX(Partidas!$A:$J,MATCH('Resultados dashboard'!$B1013,Partidas!$C:$C,0),2)</f>
        <v>45689</v>
      </c>
      <c r="B1013" s="56">
        <f>+IF(COUNTIF($B$2:B1012,B1012)=VLOOKUP(B1012,Partidas!$C:$J,8,0),B1012+1,B1012)</f>
        <v>227</v>
      </c>
      <c r="C1013" s="41" t="str">
        <f t="array" ref="C1013">+INDEX(Partidas!$A:$J,MATCH('Resultados dashboard'!$B1013,Partidas!$C:$C,0),3+COUNTIF($B$2:B1013,'Resultados dashboard'!$B1013))</f>
        <v>Gaspa</v>
      </c>
      <c r="D1013" s="54">
        <v>7</v>
      </c>
      <c r="E1013" s="54">
        <v>1</v>
      </c>
      <c r="F1013" s="53"/>
      <c r="G1013" s="54">
        <v>1</v>
      </c>
      <c r="H1013" s="38">
        <f t="shared" si="7"/>
        <v>10</v>
      </c>
      <c r="I1013" s="38">
        <f t="shared" si="9"/>
        <v>1</v>
      </c>
      <c r="J1013" s="55"/>
    </row>
    <row r="1014" spans="1:10" ht="15" customHeight="1" x14ac:dyDescent="0.2">
      <c r="A1014" s="50">
        <f t="array" ref="A1014">+INDEX(Partidas!$A:$J,MATCH('Resultados dashboard'!$B1014,Partidas!$C:$C,0),2)</f>
        <v>45689</v>
      </c>
      <c r="B1014" s="56">
        <f>+IF(COUNTIF($B$2:B1013,B1013)=VLOOKUP(B1013,Partidas!$C:$J,8,0),B1013+1,B1013)</f>
        <v>228</v>
      </c>
      <c r="C1014" s="41" t="str">
        <f t="array" ref="C1014">+INDEX(Partidas!$A:$J,MATCH('Resultados dashboard'!$B1014,Partidas!$C:$C,0),3+COUNTIF($B$2:B1014,'Resultados dashboard'!$B1014))</f>
        <v>Gallo</v>
      </c>
      <c r="D1014" s="54">
        <v>3</v>
      </c>
      <c r="E1014" s="54">
        <v>1</v>
      </c>
      <c r="F1014" s="53"/>
      <c r="G1014" s="53"/>
      <c r="H1014" s="38">
        <f t="shared" si="7"/>
        <v>4</v>
      </c>
      <c r="I1014" s="38">
        <f t="shared" si="9"/>
        <v>4</v>
      </c>
      <c r="J1014" s="55"/>
    </row>
    <row r="1015" spans="1:10" ht="15" customHeight="1" x14ac:dyDescent="0.2">
      <c r="A1015" s="50">
        <f t="array" ref="A1015">+INDEX(Partidas!$A:$J,MATCH('Resultados dashboard'!$B1015,Partidas!$C:$C,0),2)</f>
        <v>45689</v>
      </c>
      <c r="B1015" s="56">
        <f>+IF(COUNTIF($B$2:B1014,B1014)=VLOOKUP(B1014,Partidas!$C:$J,8,0),B1014+1,B1014)</f>
        <v>228</v>
      </c>
      <c r="C1015" s="41" t="str">
        <f t="array" ref="C1015">+INDEX(Partidas!$A:$J,MATCH('Resultados dashboard'!$B1015,Partidas!$C:$C,0),3+COUNTIF($B$2:B1015,'Resultados dashboard'!$B1015))</f>
        <v>Ivo</v>
      </c>
      <c r="D1015" s="54">
        <v>6</v>
      </c>
      <c r="E1015" s="53"/>
      <c r="F1015" s="53"/>
      <c r="G1015" s="53"/>
      <c r="H1015" s="38">
        <f t="shared" si="7"/>
        <v>6</v>
      </c>
      <c r="I1015" s="38">
        <f t="shared" si="9"/>
        <v>2</v>
      </c>
      <c r="J1015" s="55"/>
    </row>
    <row r="1016" spans="1:10" ht="15" customHeight="1" x14ac:dyDescent="0.2">
      <c r="A1016" s="50">
        <f t="array" ref="A1016">+INDEX(Partidas!$A:$J,MATCH('Resultados dashboard'!$B1016,Partidas!$C:$C,0),2)</f>
        <v>45689</v>
      </c>
      <c r="B1016" s="56">
        <f>+IF(COUNTIF($B$2:B1015,B1015)=VLOOKUP(B1015,Partidas!$C:$J,8,0),B1015+1,B1015)</f>
        <v>228</v>
      </c>
      <c r="C1016" s="41" t="str">
        <f t="array" ref="C1016">+INDEX(Partidas!$A:$J,MATCH('Resultados dashboard'!$B1016,Partidas!$C:$C,0),3+COUNTIF($B$2:B1016,'Resultados dashboard'!$B1016))</f>
        <v>Max</v>
      </c>
      <c r="D1016" s="54">
        <v>4</v>
      </c>
      <c r="E1016" s="53"/>
      <c r="F1016" s="53"/>
      <c r="G1016" s="53"/>
      <c r="H1016" s="38">
        <f t="shared" si="7"/>
        <v>4</v>
      </c>
      <c r="I1016" s="38">
        <f t="shared" si="9"/>
        <v>4</v>
      </c>
      <c r="J1016" s="55"/>
    </row>
    <row r="1017" spans="1:10" ht="15" customHeight="1" x14ac:dyDescent="0.2">
      <c r="A1017" s="50">
        <f t="array" ref="A1017">+INDEX(Partidas!$A:$J,MATCH('Resultados dashboard'!$B1017,Partidas!$C:$C,0),2)</f>
        <v>45689</v>
      </c>
      <c r="B1017" s="56">
        <f>+IF(COUNTIF($B$2:B1016,B1016)=VLOOKUP(B1016,Partidas!$C:$J,8,0),B1016+1,B1016)</f>
        <v>228</v>
      </c>
      <c r="C1017" s="41" t="str">
        <f t="array" ref="C1017">+INDEX(Partidas!$A:$J,MATCH('Resultados dashboard'!$B1017,Partidas!$C:$C,0),3+COUNTIF($B$2:B1017,'Resultados dashboard'!$B1017))</f>
        <v>Hugo</v>
      </c>
      <c r="D1017" s="54">
        <v>7</v>
      </c>
      <c r="E1017" s="54">
        <v>1</v>
      </c>
      <c r="F1017" s="53"/>
      <c r="G1017" s="54">
        <v>1</v>
      </c>
      <c r="H1017" s="38">
        <f t="shared" si="7"/>
        <v>10</v>
      </c>
      <c r="I1017" s="38">
        <f t="shared" si="9"/>
        <v>1</v>
      </c>
      <c r="J1017" s="55"/>
    </row>
    <row r="1018" spans="1:10" ht="15" customHeight="1" x14ac:dyDescent="0.2">
      <c r="A1018" s="50">
        <f t="array" ref="A1018">+INDEX(Partidas!$A:$J,MATCH('Resultados dashboard'!$B1018,Partidas!$C:$C,0),2)</f>
        <v>45689</v>
      </c>
      <c r="B1018" s="56">
        <f>+IF(COUNTIF($B$2:B1017,B1017)=VLOOKUP(B1017,Partidas!$C:$J,8,0),B1017+1,B1017)</f>
        <v>228</v>
      </c>
      <c r="C1018" s="41" t="str">
        <f t="array" ref="C1018">+INDEX(Partidas!$A:$J,MATCH('Resultados dashboard'!$B1018,Partidas!$C:$C,0),3+COUNTIF($B$2:B1018,'Resultados dashboard'!$B1018))</f>
        <v>Gaspa</v>
      </c>
      <c r="D1018" s="54">
        <v>6</v>
      </c>
      <c r="E1018" s="53"/>
      <c r="F1018" s="53"/>
      <c r="G1018" s="53"/>
      <c r="H1018" s="38">
        <f t="shared" si="7"/>
        <v>6</v>
      </c>
      <c r="I1018" s="38">
        <f t="shared" si="9"/>
        <v>2</v>
      </c>
      <c r="J1018" s="55"/>
    </row>
    <row r="1019" spans="1:10" ht="15" customHeight="1" x14ac:dyDescent="0.2">
      <c r="A1019" s="50">
        <f t="array" ref="A1019">+INDEX(Partidas!$A:$J,MATCH('Resultados dashboard'!$B1019,Partidas!$C:$C,0),2)</f>
        <v>45696</v>
      </c>
      <c r="B1019" s="56">
        <f>+IF(COUNTIF($B$2:B1018,B1018)=VLOOKUP(B1018,Partidas!$C:$J,8,0),B1018+1,B1018)</f>
        <v>229</v>
      </c>
      <c r="C1019" s="41" t="str">
        <f t="array" ref="C1019">+INDEX(Partidas!$A:$J,MATCH('Resultados dashboard'!$B1019,Partidas!$C:$C,0),3+COUNTIF($B$2:B1019,'Resultados dashboard'!$B1019))</f>
        <v>Gallo</v>
      </c>
      <c r="D1019" s="54">
        <v>4</v>
      </c>
      <c r="E1019" s="53"/>
      <c r="F1019" s="53"/>
      <c r="G1019" s="53"/>
      <c r="H1019" s="38">
        <f t="shared" si="7"/>
        <v>4</v>
      </c>
      <c r="I1019" s="38">
        <f t="shared" si="9"/>
        <v>4</v>
      </c>
      <c r="J1019" s="55"/>
    </row>
    <row r="1020" spans="1:10" ht="15" customHeight="1" x14ac:dyDescent="0.2">
      <c r="A1020" s="50">
        <f t="array" ref="A1020">+INDEX(Partidas!$A:$J,MATCH('Resultados dashboard'!$B1020,Partidas!$C:$C,0),2)</f>
        <v>45696</v>
      </c>
      <c r="B1020" s="56">
        <f>+IF(COUNTIF($B$2:B1019,B1019)=VLOOKUP(B1019,Partidas!$C:$J,8,0),B1019+1,B1019)</f>
        <v>229</v>
      </c>
      <c r="C1020" s="41" t="str">
        <f t="array" ref="C1020">+INDEX(Partidas!$A:$J,MATCH('Resultados dashboard'!$B1020,Partidas!$C:$C,0),3+COUNTIF($B$2:B1020,'Resultados dashboard'!$B1020))</f>
        <v>Ivo</v>
      </c>
      <c r="D1020" s="54">
        <v>7</v>
      </c>
      <c r="E1020" s="54">
        <v>1</v>
      </c>
      <c r="F1020" s="54">
        <v>1</v>
      </c>
      <c r="G1020" s="53"/>
      <c r="H1020" s="38">
        <f t="shared" si="7"/>
        <v>10</v>
      </c>
      <c r="I1020" s="38">
        <f t="shared" si="9"/>
        <v>1</v>
      </c>
      <c r="J1020" s="55"/>
    </row>
    <row r="1021" spans="1:10" ht="15" customHeight="1" x14ac:dyDescent="0.2">
      <c r="A1021" s="50">
        <f t="array" ref="A1021">+INDEX(Partidas!$A:$J,MATCH('Resultados dashboard'!$B1021,Partidas!$C:$C,0),2)</f>
        <v>45696</v>
      </c>
      <c r="B1021" s="56">
        <f>+IF(COUNTIF($B$2:B1020,B1020)=VLOOKUP(B1020,Partidas!$C:$J,8,0),B1020+1,B1020)</f>
        <v>229</v>
      </c>
      <c r="C1021" s="41" t="str">
        <f t="array" ref="C1021">+INDEX(Partidas!$A:$J,MATCH('Resultados dashboard'!$B1021,Partidas!$C:$C,0),3+COUNTIF($B$2:B1021,'Resultados dashboard'!$B1021))</f>
        <v>Max</v>
      </c>
      <c r="D1021" s="54">
        <v>4</v>
      </c>
      <c r="E1021" s="53"/>
      <c r="F1021" s="53"/>
      <c r="G1021" s="53"/>
      <c r="H1021" s="38">
        <f t="shared" si="7"/>
        <v>4</v>
      </c>
      <c r="I1021" s="38">
        <f t="shared" si="9"/>
        <v>4</v>
      </c>
      <c r="J1021" s="55"/>
    </row>
    <row r="1022" spans="1:10" ht="15" customHeight="1" x14ac:dyDescent="0.2">
      <c r="A1022" s="50">
        <f t="array" ref="A1022">+INDEX(Partidas!$A:$J,MATCH('Resultados dashboard'!$B1022,Partidas!$C:$C,0),2)</f>
        <v>45696</v>
      </c>
      <c r="B1022" s="56">
        <f>+IF(COUNTIF($B$2:B1021,B1021)=VLOOKUP(B1021,Partidas!$C:$J,8,0),B1021+1,B1021)</f>
        <v>229</v>
      </c>
      <c r="C1022" s="41" t="str">
        <f t="array" ref="C1022">+INDEX(Partidas!$A:$J,MATCH('Resultados dashboard'!$B1022,Partidas!$C:$C,0),3+COUNTIF($B$2:B1022,'Resultados dashboard'!$B1022))</f>
        <v>Gaspa</v>
      </c>
      <c r="D1022" s="54">
        <v>4</v>
      </c>
      <c r="E1022" s="54">
        <v>2</v>
      </c>
      <c r="F1022" s="53"/>
      <c r="G1022" s="53"/>
      <c r="H1022" s="38">
        <f t="shared" ref="H1022:H1276" si="10">+SUM(D1022:E1022)+2*SUM(F1022:G1022)+J1022</f>
        <v>6</v>
      </c>
      <c r="I1022" s="38">
        <f t="shared" si="9"/>
        <v>3</v>
      </c>
      <c r="J1022" s="55"/>
    </row>
    <row r="1023" spans="1:10" ht="15" customHeight="1" x14ac:dyDescent="0.2">
      <c r="A1023" s="50">
        <f t="array" ref="A1023">+INDEX(Partidas!$A:$J,MATCH('Resultados dashboard'!$B1023,Partidas!$C:$C,0),2)</f>
        <v>45696</v>
      </c>
      <c r="B1023" s="56">
        <f>+IF(COUNTIF($B$2:B1022,B1022)=VLOOKUP(B1022,Partidas!$C:$J,8,0),B1022+1,B1022)</f>
        <v>229</v>
      </c>
      <c r="C1023" s="41" t="str">
        <f t="array" ref="C1023">+INDEX(Partidas!$A:$J,MATCH('Resultados dashboard'!$B1023,Partidas!$C:$C,0),3+COUNTIF($B$2:B1023,'Resultados dashboard'!$B1023))</f>
        <v>Moch</v>
      </c>
      <c r="D1023" s="54">
        <v>7</v>
      </c>
      <c r="E1023" s="53"/>
      <c r="F1023" s="53"/>
      <c r="G1023" s="54">
        <v>1</v>
      </c>
      <c r="H1023" s="38">
        <f t="shared" si="10"/>
        <v>9</v>
      </c>
      <c r="I1023" s="38">
        <f t="shared" si="9"/>
        <v>2</v>
      </c>
      <c r="J1023" s="55"/>
    </row>
    <row r="1024" spans="1:10" ht="15" customHeight="1" x14ac:dyDescent="0.2">
      <c r="A1024" s="50">
        <f t="array" ref="A1024">+INDEX(Partidas!$A:$J,MATCH('Resultados dashboard'!$B1024,Partidas!$C:$C,0),2)</f>
        <v>45696</v>
      </c>
      <c r="B1024" s="56">
        <f>+IF(COUNTIF($B$2:B1023,B1023)=VLOOKUP(B1023,Partidas!$C:$J,8,0),B1023+1,B1023)</f>
        <v>230</v>
      </c>
      <c r="C1024" s="41" t="str">
        <f t="array" ref="C1024">+INDEX(Partidas!$A:$J,MATCH('Resultados dashboard'!$B1024,Partidas!$C:$C,0),3+COUNTIF($B$2:B1024,'Resultados dashboard'!$B1024))</f>
        <v>Gallo</v>
      </c>
      <c r="D1024" s="54">
        <v>8</v>
      </c>
      <c r="E1024" s="53"/>
      <c r="F1024" s="53"/>
      <c r="G1024" s="53"/>
      <c r="H1024" s="38">
        <f t="shared" si="10"/>
        <v>8</v>
      </c>
      <c r="I1024" s="38">
        <f t="shared" si="9"/>
        <v>4</v>
      </c>
      <c r="J1024" s="55"/>
    </row>
    <row r="1025" spans="1:10" ht="15" customHeight="1" x14ac:dyDescent="0.2">
      <c r="A1025" s="50">
        <f t="array" ref="A1025">+INDEX(Partidas!$A:$J,MATCH('Resultados dashboard'!$B1025,Partidas!$C:$C,0),2)</f>
        <v>45696</v>
      </c>
      <c r="B1025" s="56">
        <f>+IF(COUNTIF($B$2:B1024,B1024)=VLOOKUP(B1024,Partidas!$C:$J,8,0),B1024+1,B1024)</f>
        <v>230</v>
      </c>
      <c r="C1025" s="41" t="str">
        <f t="array" ref="C1025">+INDEX(Partidas!$A:$J,MATCH('Resultados dashboard'!$B1025,Partidas!$C:$C,0),3+COUNTIF($B$2:B1025,'Resultados dashboard'!$B1025))</f>
        <v>Ivo</v>
      </c>
      <c r="D1025" s="54">
        <v>8</v>
      </c>
      <c r="E1025" s="54">
        <v>2</v>
      </c>
      <c r="F1025" s="53"/>
      <c r="G1025" s="53"/>
      <c r="H1025" s="38">
        <f t="shared" si="10"/>
        <v>10</v>
      </c>
      <c r="I1025" s="38">
        <f t="shared" si="9"/>
        <v>1</v>
      </c>
      <c r="J1025" s="55"/>
    </row>
    <row r="1026" spans="1:10" ht="15" customHeight="1" x14ac:dyDescent="0.2">
      <c r="A1026" s="50">
        <f t="array" ref="A1026">+INDEX(Partidas!$A:$J,MATCH('Resultados dashboard'!$B1026,Partidas!$C:$C,0),2)</f>
        <v>45696</v>
      </c>
      <c r="B1026" s="56">
        <f>+IF(COUNTIF($B$2:B1025,B1025)=VLOOKUP(B1025,Partidas!$C:$J,8,0),B1025+1,B1025)</f>
        <v>230</v>
      </c>
      <c r="C1026" s="41" t="str">
        <f t="array" ref="C1026">+INDEX(Partidas!$A:$J,MATCH('Resultados dashboard'!$B1026,Partidas!$C:$C,0),3+COUNTIF($B$2:B1026,'Resultados dashboard'!$B1026))</f>
        <v>Max</v>
      </c>
      <c r="D1026" s="54">
        <v>7</v>
      </c>
      <c r="E1026" s="53"/>
      <c r="F1026" s="53"/>
      <c r="G1026" s="54">
        <v>1</v>
      </c>
      <c r="H1026" s="38">
        <f t="shared" si="10"/>
        <v>9</v>
      </c>
      <c r="I1026" s="38">
        <f t="shared" si="9"/>
        <v>2</v>
      </c>
      <c r="J1026" s="55"/>
    </row>
    <row r="1027" spans="1:10" ht="15" customHeight="1" x14ac:dyDescent="0.2">
      <c r="A1027" s="50">
        <f t="array" ref="A1027">+INDEX(Partidas!$A:$J,MATCH('Resultados dashboard'!$B1027,Partidas!$C:$C,0),2)</f>
        <v>45696</v>
      </c>
      <c r="B1027" s="56">
        <f>+IF(COUNTIF($B$2:B1026,B1026)=VLOOKUP(B1026,Partidas!$C:$J,8,0),B1026+1,B1026)</f>
        <v>230</v>
      </c>
      <c r="C1027" s="41" t="str">
        <f t="array" ref="C1027">+INDEX(Partidas!$A:$J,MATCH('Resultados dashboard'!$B1027,Partidas!$C:$C,0),3+COUNTIF($B$2:B1027,'Resultados dashboard'!$B1027))</f>
        <v>Gaspa</v>
      </c>
      <c r="D1027" s="54">
        <v>6</v>
      </c>
      <c r="E1027" s="54">
        <v>1</v>
      </c>
      <c r="F1027" s="54">
        <v>1</v>
      </c>
      <c r="G1027" s="53"/>
      <c r="H1027" s="38">
        <f t="shared" si="10"/>
        <v>9</v>
      </c>
      <c r="I1027" s="38">
        <f t="shared" si="9"/>
        <v>2</v>
      </c>
      <c r="J1027" s="55"/>
    </row>
    <row r="1028" spans="1:10" ht="15" customHeight="1" x14ac:dyDescent="0.2">
      <c r="A1028" s="50">
        <f t="array" ref="A1028">+INDEX(Partidas!$A:$J,MATCH('Resultados dashboard'!$B1028,Partidas!$C:$C,0),2)</f>
        <v>45696</v>
      </c>
      <c r="B1028" s="56">
        <f>+IF(COUNTIF($B$2:B1027,B1027)=VLOOKUP(B1027,Partidas!$C:$J,8,0),B1027+1,B1027)</f>
        <v>231</v>
      </c>
      <c r="C1028" s="41" t="str">
        <f t="array" ref="C1028">+INDEX(Partidas!$A:$J,MATCH('Resultados dashboard'!$B1028,Partidas!$C:$C,0),3+COUNTIF($B$2:B1028,'Resultados dashboard'!$B1028))</f>
        <v>Gallo</v>
      </c>
      <c r="D1028" s="54">
        <v>8</v>
      </c>
      <c r="E1028" s="54">
        <v>2</v>
      </c>
      <c r="F1028" s="53"/>
      <c r="G1028" s="53"/>
      <c r="H1028" s="38">
        <f t="shared" si="10"/>
        <v>10</v>
      </c>
      <c r="I1028" s="38">
        <f t="shared" si="9"/>
        <v>1</v>
      </c>
      <c r="J1028" s="55"/>
    </row>
    <row r="1029" spans="1:10" ht="15" customHeight="1" x14ac:dyDescent="0.2">
      <c r="A1029" s="50">
        <f t="array" ref="A1029">+INDEX(Partidas!$A:$J,MATCH('Resultados dashboard'!$B1029,Partidas!$C:$C,0),2)</f>
        <v>45696</v>
      </c>
      <c r="B1029" s="56">
        <f>+IF(COUNTIF($B$2:B1028,B1028)=VLOOKUP(B1028,Partidas!$C:$J,8,0),B1028+1,B1028)</f>
        <v>231</v>
      </c>
      <c r="C1029" s="41" t="str">
        <f t="array" ref="C1029">+INDEX(Partidas!$A:$J,MATCH('Resultados dashboard'!$B1029,Partidas!$C:$C,0),3+COUNTIF($B$2:B1029,'Resultados dashboard'!$B1029))</f>
        <v>Ivo</v>
      </c>
      <c r="D1029" s="54">
        <v>6</v>
      </c>
      <c r="E1029" s="54">
        <v>1</v>
      </c>
      <c r="F1029" s="53"/>
      <c r="G1029" s="54">
        <v>1</v>
      </c>
      <c r="H1029" s="38">
        <f t="shared" si="10"/>
        <v>9</v>
      </c>
      <c r="I1029" s="38">
        <f t="shared" si="9"/>
        <v>2</v>
      </c>
      <c r="J1029" s="55"/>
    </row>
    <row r="1030" spans="1:10" ht="15" customHeight="1" x14ac:dyDescent="0.2">
      <c r="A1030" s="50">
        <f t="array" ref="A1030">+INDEX(Partidas!$A:$J,MATCH('Resultados dashboard'!$B1030,Partidas!$C:$C,0),2)</f>
        <v>45696</v>
      </c>
      <c r="B1030" s="56">
        <f>+IF(COUNTIF($B$2:B1029,B1029)=VLOOKUP(B1029,Partidas!$C:$J,8,0),B1029+1,B1029)</f>
        <v>231</v>
      </c>
      <c r="C1030" s="41" t="str">
        <f t="array" ref="C1030">+INDEX(Partidas!$A:$J,MATCH('Resultados dashboard'!$B1030,Partidas!$C:$C,0),3+COUNTIF($B$2:B1030,'Resultados dashboard'!$B1030))</f>
        <v>Max</v>
      </c>
      <c r="D1030" s="54">
        <v>5</v>
      </c>
      <c r="E1030" s="54">
        <v>1</v>
      </c>
      <c r="F1030" s="54">
        <v>1</v>
      </c>
      <c r="G1030" s="53"/>
      <c r="H1030" s="38">
        <f t="shared" si="10"/>
        <v>8</v>
      </c>
      <c r="I1030" s="38">
        <f t="shared" si="9"/>
        <v>3</v>
      </c>
      <c r="J1030" s="55"/>
    </row>
    <row r="1031" spans="1:10" ht="15" customHeight="1" x14ac:dyDescent="0.2">
      <c r="A1031" s="50">
        <f t="array" ref="A1031">+INDEX(Partidas!$A:$J,MATCH('Resultados dashboard'!$B1031,Partidas!$C:$C,0),2)</f>
        <v>45696</v>
      </c>
      <c r="B1031" s="56">
        <f>+IF(COUNTIF($B$2:B1030,B1030)=VLOOKUP(B1030,Partidas!$C:$J,8,0),B1030+1,B1030)</f>
        <v>231</v>
      </c>
      <c r="C1031" s="41" t="str">
        <f t="array" ref="C1031">+INDEX(Partidas!$A:$J,MATCH('Resultados dashboard'!$B1031,Partidas!$C:$C,0),3+COUNTIF($B$2:B1031,'Resultados dashboard'!$B1031))</f>
        <v>Gaspa</v>
      </c>
      <c r="D1031" s="54">
        <v>6</v>
      </c>
      <c r="E1031" s="54">
        <v>1</v>
      </c>
      <c r="F1031" s="53"/>
      <c r="G1031" s="53"/>
      <c r="H1031" s="38">
        <f t="shared" si="10"/>
        <v>7</v>
      </c>
      <c r="I1031" s="38">
        <f t="shared" si="9"/>
        <v>4</v>
      </c>
      <c r="J1031" s="55"/>
    </row>
    <row r="1032" spans="1:10" ht="15" customHeight="1" x14ac:dyDescent="0.2">
      <c r="A1032" s="50">
        <f t="array" ref="A1032">+INDEX(Partidas!$A:$J,MATCH('Resultados dashboard'!$B1032,Partidas!$C:$C,0),2)</f>
        <v>45696</v>
      </c>
      <c r="B1032" s="56">
        <f>+IF(COUNTIF($B$2:B1031,B1031)=VLOOKUP(B1031,Partidas!$C:$J,8,0),B1031+1,B1031)</f>
        <v>231</v>
      </c>
      <c r="C1032" s="41" t="str">
        <f t="array" ref="C1032">+INDEX(Partidas!$A:$J,MATCH('Resultados dashboard'!$B1032,Partidas!$C:$C,0),3+COUNTIF($B$2:B1032,'Resultados dashboard'!$B1032))</f>
        <v>Beto</v>
      </c>
      <c r="D1032" s="54">
        <v>5</v>
      </c>
      <c r="E1032" s="53"/>
      <c r="F1032" s="53"/>
      <c r="G1032" s="53"/>
      <c r="H1032" s="38">
        <f t="shared" si="10"/>
        <v>5</v>
      </c>
      <c r="I1032" s="38">
        <f t="shared" si="9"/>
        <v>5</v>
      </c>
      <c r="J1032" s="55"/>
    </row>
    <row r="1033" spans="1:10" ht="15" customHeight="1" x14ac:dyDescent="0.2">
      <c r="A1033" s="50">
        <f t="array" ref="A1033">+INDEX(Partidas!$A:$J,MATCH('Resultados dashboard'!$B1033,Partidas!$C:$C,0),2)</f>
        <v>45696</v>
      </c>
      <c r="B1033" s="56">
        <f>+IF(COUNTIF($B$2:B1032,B1032)=VLOOKUP(B1032,Partidas!$C:$J,8,0),B1032+1,B1032)</f>
        <v>232</v>
      </c>
      <c r="C1033" s="41" t="str">
        <f t="array" ref="C1033">+INDEX(Partidas!$A:$J,MATCH('Resultados dashboard'!$B1033,Partidas!$C:$C,0),3+COUNTIF($B$2:B1033,'Resultados dashboard'!$B1033))</f>
        <v>Gallo</v>
      </c>
      <c r="D1033" s="54">
        <v>7</v>
      </c>
      <c r="E1033" s="54">
        <v>1</v>
      </c>
      <c r="F1033" s="53"/>
      <c r="G1033" s="53"/>
      <c r="H1033" s="38">
        <f t="shared" si="10"/>
        <v>8</v>
      </c>
      <c r="I1033" s="38">
        <f t="shared" si="9"/>
        <v>2</v>
      </c>
      <c r="J1033" s="55"/>
    </row>
    <row r="1034" spans="1:10" ht="15" customHeight="1" x14ac:dyDescent="0.2">
      <c r="A1034" s="50">
        <f t="array" ref="A1034">+INDEX(Partidas!$A:$J,MATCH('Resultados dashboard'!$B1034,Partidas!$C:$C,0),2)</f>
        <v>45696</v>
      </c>
      <c r="B1034" s="56">
        <f>+IF(COUNTIF($B$2:B1033,B1033)=VLOOKUP(B1033,Partidas!$C:$J,8,0),B1033+1,B1033)</f>
        <v>232</v>
      </c>
      <c r="C1034" s="41" t="str">
        <f t="array" ref="C1034">+INDEX(Partidas!$A:$J,MATCH('Resultados dashboard'!$B1034,Partidas!$C:$C,0),3+COUNTIF($B$2:B1034,'Resultados dashboard'!$B1034))</f>
        <v>Ivo</v>
      </c>
      <c r="D1034" s="54">
        <v>6</v>
      </c>
      <c r="E1034" s="53"/>
      <c r="F1034" s="53"/>
      <c r="G1034" s="54">
        <v>1</v>
      </c>
      <c r="H1034" s="38">
        <f t="shared" si="10"/>
        <v>8</v>
      </c>
      <c r="I1034" s="38">
        <f t="shared" si="9"/>
        <v>2</v>
      </c>
      <c r="J1034" s="55"/>
    </row>
    <row r="1035" spans="1:10" ht="15" customHeight="1" x14ac:dyDescent="0.2">
      <c r="A1035" s="50">
        <f t="array" ref="A1035">+INDEX(Partidas!$A:$J,MATCH('Resultados dashboard'!$B1035,Partidas!$C:$C,0),2)</f>
        <v>45696</v>
      </c>
      <c r="B1035" s="56">
        <f>+IF(COUNTIF($B$2:B1034,B1034)=VLOOKUP(B1034,Partidas!$C:$J,8,0),B1034+1,B1034)</f>
        <v>232</v>
      </c>
      <c r="C1035" s="41" t="str">
        <f t="array" ref="C1035">+INDEX(Partidas!$A:$J,MATCH('Resultados dashboard'!$B1035,Partidas!$C:$C,0),3+COUNTIF($B$2:B1035,'Resultados dashboard'!$B1035))</f>
        <v>Max</v>
      </c>
      <c r="D1035" s="54">
        <v>7</v>
      </c>
      <c r="E1035" s="53"/>
      <c r="F1035" s="53"/>
      <c r="G1035" s="53"/>
      <c r="H1035" s="38">
        <f t="shared" si="10"/>
        <v>7</v>
      </c>
      <c r="I1035" s="38">
        <f t="shared" si="9"/>
        <v>4</v>
      </c>
      <c r="J1035" s="55"/>
    </row>
    <row r="1036" spans="1:10" ht="15" customHeight="1" x14ac:dyDescent="0.2">
      <c r="A1036" s="50">
        <f t="array" ref="A1036">+INDEX(Partidas!$A:$J,MATCH('Resultados dashboard'!$B1036,Partidas!$C:$C,0),2)</f>
        <v>45696</v>
      </c>
      <c r="B1036" s="56">
        <f>+IF(COUNTIF($B$2:B1035,B1035)=VLOOKUP(B1035,Partidas!$C:$J,8,0),B1035+1,B1035)</f>
        <v>232</v>
      </c>
      <c r="C1036" s="41" t="str">
        <f t="array" ref="C1036">+INDEX(Partidas!$A:$J,MATCH('Resultados dashboard'!$B1036,Partidas!$C:$C,0),3+COUNTIF($B$2:B1036,'Resultados dashboard'!$B1036))</f>
        <v>Gaspa</v>
      </c>
      <c r="D1036" s="54">
        <v>6</v>
      </c>
      <c r="E1036" s="54">
        <v>2</v>
      </c>
      <c r="F1036" s="54">
        <v>1</v>
      </c>
      <c r="G1036" s="53"/>
      <c r="H1036" s="38">
        <f t="shared" si="10"/>
        <v>10</v>
      </c>
      <c r="I1036" s="38">
        <f t="shared" si="9"/>
        <v>1</v>
      </c>
      <c r="J1036" s="55"/>
    </row>
    <row r="1037" spans="1:10" ht="15" customHeight="1" x14ac:dyDescent="0.2">
      <c r="A1037" s="50">
        <f t="array" ref="A1037">+INDEX(Partidas!$A:$J,MATCH('Resultados dashboard'!$B1037,Partidas!$C:$C,0),2)</f>
        <v>45696</v>
      </c>
      <c r="B1037" s="56">
        <f>+IF(COUNTIF($B$2:B1036,B1036)=VLOOKUP(B1036,Partidas!$C:$J,8,0),B1036+1,B1036)</f>
        <v>232</v>
      </c>
      <c r="C1037" s="41" t="str">
        <f t="array" ref="C1037">+INDEX(Partidas!$A:$J,MATCH('Resultados dashboard'!$B1037,Partidas!$C:$C,0),3+COUNTIF($B$2:B1037,'Resultados dashboard'!$B1037))</f>
        <v>Beto</v>
      </c>
      <c r="D1037" s="54">
        <v>5</v>
      </c>
      <c r="E1037" s="53"/>
      <c r="F1037" s="53"/>
      <c r="G1037" s="53"/>
      <c r="H1037" s="38">
        <f t="shared" si="10"/>
        <v>5</v>
      </c>
      <c r="I1037" s="38">
        <f t="shared" si="9"/>
        <v>5</v>
      </c>
      <c r="J1037" s="55"/>
    </row>
    <row r="1038" spans="1:10" ht="15" customHeight="1" x14ac:dyDescent="0.2">
      <c r="A1038" s="50">
        <f t="array" ref="A1038">+INDEX(Partidas!$A:$J,MATCH('Resultados dashboard'!$B1038,Partidas!$C:$C,0),2)</f>
        <v>45696</v>
      </c>
      <c r="B1038" s="56">
        <f>+IF(COUNTIF($B$2:B1037,B1037)=VLOOKUP(B1037,Partidas!$C:$J,8,0),B1037+1,B1037)</f>
        <v>232</v>
      </c>
      <c r="C1038" s="41" t="str">
        <f t="array" ref="C1038">+INDEX(Partidas!$A:$J,MATCH('Resultados dashboard'!$B1038,Partidas!$C:$C,0),3+COUNTIF($B$2:B1038,'Resultados dashboard'!$B1038))</f>
        <v>Jota</v>
      </c>
      <c r="D1038" s="54">
        <v>4</v>
      </c>
      <c r="E1038" s="53"/>
      <c r="F1038" s="53"/>
      <c r="G1038" s="53"/>
      <c r="H1038" s="38">
        <f t="shared" si="10"/>
        <v>4</v>
      </c>
      <c r="I1038" s="38">
        <f t="shared" si="9"/>
        <v>6</v>
      </c>
      <c r="J1038" s="55"/>
    </row>
    <row r="1039" spans="1:10" ht="15" customHeight="1" x14ac:dyDescent="0.2">
      <c r="A1039" s="50">
        <f t="array" ref="A1039">+INDEX(Partidas!$A:$J,MATCH('Resultados dashboard'!$B1039,Partidas!$C:$C,0),2)</f>
        <v>45704</v>
      </c>
      <c r="B1039" s="56">
        <f>+IF(COUNTIF($B$2:B1038,B1038)=VLOOKUP(B1038,Partidas!$C:$J,8,0),B1038+1,B1038)</f>
        <v>233</v>
      </c>
      <c r="C1039" s="41" t="str">
        <f t="array" ref="C1039">+INDEX(Partidas!$A:$J,MATCH('Resultados dashboard'!$B1039,Partidas!$C:$C,0),3+COUNTIF($B$2:B1039,'Resultados dashboard'!$B1039))</f>
        <v>Gallo</v>
      </c>
      <c r="D1039" s="54">
        <v>8</v>
      </c>
      <c r="E1039" s="53"/>
      <c r="F1039" s="54">
        <v>1</v>
      </c>
      <c r="G1039" s="53"/>
      <c r="H1039" s="38">
        <f t="shared" si="10"/>
        <v>10</v>
      </c>
      <c r="I1039" s="38">
        <f t="shared" si="9"/>
        <v>1</v>
      </c>
      <c r="J1039" s="55"/>
    </row>
    <row r="1040" spans="1:10" ht="15" customHeight="1" x14ac:dyDescent="0.2">
      <c r="A1040" s="50">
        <f t="array" ref="A1040">+INDEX(Partidas!$A:$J,MATCH('Resultados dashboard'!$B1040,Partidas!$C:$C,0),2)</f>
        <v>45704</v>
      </c>
      <c r="B1040" s="56">
        <f>+IF(COUNTIF($B$2:B1039,B1039)=VLOOKUP(B1039,Partidas!$C:$J,8,0),B1039+1,B1039)</f>
        <v>233</v>
      </c>
      <c r="C1040" s="41" t="str">
        <f t="array" ref="C1040">+INDEX(Partidas!$A:$J,MATCH('Resultados dashboard'!$B1040,Partidas!$C:$C,0),3+COUNTIF($B$2:B1040,'Resultados dashboard'!$B1040))</f>
        <v>Ivo</v>
      </c>
      <c r="D1040" s="54">
        <v>4</v>
      </c>
      <c r="E1040" s="53"/>
      <c r="F1040" s="53"/>
      <c r="G1040" s="53"/>
      <c r="H1040" s="38">
        <f t="shared" si="10"/>
        <v>4</v>
      </c>
      <c r="I1040" s="38">
        <f t="shared" si="9"/>
        <v>5</v>
      </c>
      <c r="J1040" s="55"/>
    </row>
    <row r="1041" spans="1:10" ht="15" customHeight="1" x14ac:dyDescent="0.2">
      <c r="A1041" s="50">
        <f t="array" ref="A1041">+INDEX(Partidas!$A:$J,MATCH('Resultados dashboard'!$B1041,Partidas!$C:$C,0),2)</f>
        <v>45704</v>
      </c>
      <c r="B1041" s="56">
        <f>+IF(COUNTIF($B$2:B1040,B1040)=VLOOKUP(B1040,Partidas!$C:$J,8,0),B1040+1,B1040)</f>
        <v>233</v>
      </c>
      <c r="C1041" s="41" t="str">
        <f t="array" ref="C1041">+INDEX(Partidas!$A:$J,MATCH('Resultados dashboard'!$B1041,Partidas!$C:$C,0),3+COUNTIF($B$2:B1041,'Resultados dashboard'!$B1041))</f>
        <v>Max</v>
      </c>
      <c r="D1041" s="54">
        <v>7</v>
      </c>
      <c r="E1041" s="53"/>
      <c r="F1041" s="53"/>
      <c r="G1041" s="54">
        <v>1</v>
      </c>
      <c r="H1041" s="38">
        <f t="shared" si="10"/>
        <v>9</v>
      </c>
      <c r="I1041" s="38">
        <f t="shared" si="9"/>
        <v>2</v>
      </c>
      <c r="J1041" s="55"/>
    </row>
    <row r="1042" spans="1:10" ht="15" customHeight="1" x14ac:dyDescent="0.2">
      <c r="A1042" s="50">
        <f t="array" ref="A1042">+INDEX(Partidas!$A:$J,MATCH('Resultados dashboard'!$B1042,Partidas!$C:$C,0),2)</f>
        <v>45704</v>
      </c>
      <c r="B1042" s="56">
        <f>+IF(COUNTIF($B$2:B1041,B1041)=VLOOKUP(B1041,Partidas!$C:$J,8,0),B1041+1,B1041)</f>
        <v>233</v>
      </c>
      <c r="C1042" s="41" t="str">
        <f t="array" ref="C1042">+INDEX(Partidas!$A:$J,MATCH('Resultados dashboard'!$B1042,Partidas!$C:$C,0),3+COUNTIF($B$2:B1042,'Resultados dashboard'!$B1042))</f>
        <v>Hugo</v>
      </c>
      <c r="D1042" s="54">
        <v>7</v>
      </c>
      <c r="E1042" s="53"/>
      <c r="F1042" s="53"/>
      <c r="G1042" s="53"/>
      <c r="H1042" s="38">
        <f t="shared" si="10"/>
        <v>7</v>
      </c>
      <c r="I1042" s="38">
        <f t="shared" si="9"/>
        <v>3</v>
      </c>
      <c r="J1042" s="55"/>
    </row>
    <row r="1043" spans="1:10" ht="15" customHeight="1" x14ac:dyDescent="0.2">
      <c r="A1043" s="50">
        <f t="array" ref="A1043">+INDEX(Partidas!$A:$J,MATCH('Resultados dashboard'!$B1043,Partidas!$C:$C,0),2)</f>
        <v>45704</v>
      </c>
      <c r="B1043" s="56">
        <f>+IF(COUNTIF($B$2:B1042,B1042)=VLOOKUP(B1042,Partidas!$C:$J,8,0),B1042+1,B1042)</f>
        <v>233</v>
      </c>
      <c r="C1043" s="41" t="str">
        <f t="array" ref="C1043">+INDEX(Partidas!$A:$J,MATCH('Resultados dashboard'!$B1043,Partidas!$C:$C,0),3+COUNTIF($B$2:B1043,'Resultados dashboard'!$B1043))</f>
        <v>Moch</v>
      </c>
      <c r="D1043" s="54">
        <v>5</v>
      </c>
      <c r="E1043" s="53"/>
      <c r="F1043" s="53"/>
      <c r="G1043" s="53"/>
      <c r="H1043" s="38">
        <f t="shared" si="10"/>
        <v>5</v>
      </c>
      <c r="I1043" s="38">
        <f t="shared" si="9"/>
        <v>4</v>
      </c>
      <c r="J1043" s="55"/>
    </row>
    <row r="1044" spans="1:10" ht="15" customHeight="1" x14ac:dyDescent="0.2">
      <c r="A1044" s="50">
        <f t="array" ref="A1044">+INDEX(Partidas!$A:$J,MATCH('Resultados dashboard'!$B1044,Partidas!$C:$C,0),2)</f>
        <v>45704</v>
      </c>
      <c r="B1044" s="56">
        <f>+IF(COUNTIF($B$2:B1043,B1043)=VLOOKUP(B1043,Partidas!$C:$J,8,0),B1043+1,B1043)</f>
        <v>234</v>
      </c>
      <c r="C1044" s="41" t="str">
        <f t="array" ref="C1044">+INDEX(Partidas!$A:$J,MATCH('Resultados dashboard'!$B1044,Partidas!$C:$C,0),3+COUNTIF($B$2:B1044,'Resultados dashboard'!$B1044))</f>
        <v>Gallo</v>
      </c>
      <c r="D1044" s="54">
        <v>6</v>
      </c>
      <c r="E1044" s="53"/>
      <c r="F1044" s="53"/>
      <c r="G1044" s="53"/>
      <c r="H1044" s="38">
        <f t="shared" si="10"/>
        <v>6</v>
      </c>
      <c r="I1044" s="38">
        <f t="shared" si="9"/>
        <v>4</v>
      </c>
      <c r="J1044" s="55"/>
    </row>
    <row r="1045" spans="1:10" ht="15" customHeight="1" x14ac:dyDescent="0.2">
      <c r="A1045" s="50">
        <f t="array" ref="A1045">+INDEX(Partidas!$A:$J,MATCH('Resultados dashboard'!$B1045,Partidas!$C:$C,0),2)</f>
        <v>45704</v>
      </c>
      <c r="B1045" s="56">
        <f>+IF(COUNTIF($B$2:B1044,B1044)=VLOOKUP(B1044,Partidas!$C:$J,8,0),B1044+1,B1044)</f>
        <v>234</v>
      </c>
      <c r="C1045" s="41" t="str">
        <f t="array" ref="C1045">+INDEX(Partidas!$A:$J,MATCH('Resultados dashboard'!$B1045,Partidas!$C:$C,0),3+COUNTIF($B$2:B1045,'Resultados dashboard'!$B1045))</f>
        <v>Ivo</v>
      </c>
      <c r="D1045" s="54">
        <v>3</v>
      </c>
      <c r="E1045" s="53"/>
      <c r="F1045" s="53"/>
      <c r="G1045" s="54">
        <v>1</v>
      </c>
      <c r="H1045" s="38">
        <f t="shared" si="10"/>
        <v>5</v>
      </c>
      <c r="I1045" s="38">
        <f t="shared" si="9"/>
        <v>5</v>
      </c>
      <c r="J1045" s="55"/>
    </row>
    <row r="1046" spans="1:10" ht="15" customHeight="1" x14ac:dyDescent="0.2">
      <c r="A1046" s="50">
        <f t="array" ref="A1046">+INDEX(Partidas!$A:$J,MATCH('Resultados dashboard'!$B1046,Partidas!$C:$C,0),2)</f>
        <v>45704</v>
      </c>
      <c r="B1046" s="56">
        <f>+IF(COUNTIF($B$2:B1045,B1045)=VLOOKUP(B1045,Partidas!$C:$J,8,0),B1045+1,B1045)</f>
        <v>234</v>
      </c>
      <c r="C1046" s="41" t="str">
        <f t="array" ref="C1046">+INDEX(Partidas!$A:$J,MATCH('Resultados dashboard'!$B1046,Partidas!$C:$C,0),3+COUNTIF($B$2:B1046,'Resultados dashboard'!$B1046))</f>
        <v>Max</v>
      </c>
      <c r="D1046" s="54">
        <v>8</v>
      </c>
      <c r="E1046" s="53"/>
      <c r="F1046" s="53"/>
      <c r="G1046" s="53"/>
      <c r="H1046" s="38">
        <f t="shared" si="10"/>
        <v>8</v>
      </c>
      <c r="I1046" s="38">
        <f t="shared" si="9"/>
        <v>2</v>
      </c>
      <c r="J1046" s="55"/>
    </row>
    <row r="1047" spans="1:10" ht="15" customHeight="1" x14ac:dyDescent="0.2">
      <c r="A1047" s="50">
        <f t="array" ref="A1047">+INDEX(Partidas!$A:$J,MATCH('Resultados dashboard'!$B1047,Partidas!$C:$C,0),2)</f>
        <v>45704</v>
      </c>
      <c r="B1047" s="56">
        <f>+IF(COUNTIF($B$2:B1046,B1046)=VLOOKUP(B1046,Partidas!$C:$J,8,0),B1046+1,B1046)</f>
        <v>234</v>
      </c>
      <c r="C1047" s="41" t="str">
        <f t="array" ref="C1047">+INDEX(Partidas!$A:$J,MATCH('Resultados dashboard'!$B1047,Partidas!$C:$C,0),3+COUNTIF($B$2:B1047,'Resultados dashboard'!$B1047))</f>
        <v>Hugo</v>
      </c>
      <c r="D1047" s="54">
        <v>5</v>
      </c>
      <c r="E1047" s="54">
        <v>1</v>
      </c>
      <c r="F1047" s="54">
        <v>1</v>
      </c>
      <c r="G1047" s="53"/>
      <c r="H1047" s="38">
        <f t="shared" si="10"/>
        <v>8</v>
      </c>
      <c r="I1047" s="38">
        <f t="shared" si="9"/>
        <v>2</v>
      </c>
      <c r="J1047" s="55"/>
    </row>
    <row r="1048" spans="1:10" ht="15" customHeight="1" x14ac:dyDescent="0.2">
      <c r="A1048" s="50">
        <f t="array" ref="A1048">+INDEX(Partidas!$A:$J,MATCH('Resultados dashboard'!$B1048,Partidas!$C:$C,0),2)</f>
        <v>45704</v>
      </c>
      <c r="B1048" s="56">
        <f>+IF(COUNTIF($B$2:B1047,B1047)=VLOOKUP(B1047,Partidas!$C:$J,8,0),B1047+1,B1047)</f>
        <v>234</v>
      </c>
      <c r="C1048" s="41" t="str">
        <f t="array" ref="C1048">+INDEX(Partidas!$A:$J,MATCH('Resultados dashboard'!$B1048,Partidas!$C:$C,0),3+COUNTIF($B$2:B1048,'Resultados dashboard'!$B1048))</f>
        <v>Moch</v>
      </c>
      <c r="D1048" s="54">
        <v>9</v>
      </c>
      <c r="E1048" s="54">
        <v>1</v>
      </c>
      <c r="F1048" s="53"/>
      <c r="G1048" s="53"/>
      <c r="H1048" s="38">
        <f t="shared" si="10"/>
        <v>10</v>
      </c>
      <c r="I1048" s="38">
        <f t="shared" si="9"/>
        <v>1</v>
      </c>
      <c r="J1048" s="55"/>
    </row>
    <row r="1049" spans="1:10" ht="15" customHeight="1" x14ac:dyDescent="0.2">
      <c r="A1049" s="50">
        <f t="array" ref="A1049">+INDEX(Partidas!$A:$J,MATCH('Resultados dashboard'!$B1049,Partidas!$C:$C,0),2)</f>
        <v>45704</v>
      </c>
      <c r="B1049" s="56">
        <f>+IF(COUNTIF($B$2:B1048,B1048)=VLOOKUP(B1048,Partidas!$C:$J,8,0),B1048+1,B1048)</f>
        <v>235</v>
      </c>
      <c r="C1049" s="41" t="str">
        <f t="array" ref="C1049">+INDEX(Partidas!$A:$J,MATCH('Resultados dashboard'!$B1049,Partidas!$C:$C,0),3+COUNTIF($B$2:B1049,'Resultados dashboard'!$B1049))</f>
        <v>Gallo</v>
      </c>
      <c r="D1049" s="54">
        <v>7</v>
      </c>
      <c r="E1049" s="53"/>
      <c r="F1049" s="53"/>
      <c r="G1049" s="53"/>
      <c r="H1049" s="38">
        <f t="shared" si="10"/>
        <v>7</v>
      </c>
      <c r="I1049" s="38">
        <f t="shared" si="9"/>
        <v>2</v>
      </c>
      <c r="J1049" s="55"/>
    </row>
    <row r="1050" spans="1:10" ht="15" customHeight="1" x14ac:dyDescent="0.2">
      <c r="A1050" s="50">
        <f t="array" ref="A1050">+INDEX(Partidas!$A:$J,MATCH('Resultados dashboard'!$B1050,Partidas!$C:$C,0),2)</f>
        <v>45704</v>
      </c>
      <c r="B1050" s="56">
        <f>+IF(COUNTIF($B$2:B1049,B1049)=VLOOKUP(B1049,Partidas!$C:$J,8,0),B1049+1,B1049)</f>
        <v>235</v>
      </c>
      <c r="C1050" s="41" t="str">
        <f t="array" ref="C1050">+INDEX(Partidas!$A:$J,MATCH('Resultados dashboard'!$B1050,Partidas!$C:$C,0),3+COUNTIF($B$2:B1050,'Resultados dashboard'!$B1050))</f>
        <v>Ivo</v>
      </c>
      <c r="D1050" s="54">
        <v>6</v>
      </c>
      <c r="E1050" s="53"/>
      <c r="F1050" s="53"/>
      <c r="G1050" s="53"/>
      <c r="H1050" s="38">
        <f t="shared" si="10"/>
        <v>6</v>
      </c>
      <c r="I1050" s="38">
        <f t="shared" si="9"/>
        <v>3</v>
      </c>
      <c r="J1050" s="55"/>
    </row>
    <row r="1051" spans="1:10" ht="15" customHeight="1" x14ac:dyDescent="0.2">
      <c r="A1051" s="50">
        <f t="array" ref="A1051">+INDEX(Partidas!$A:$J,MATCH('Resultados dashboard'!$B1051,Partidas!$C:$C,0),2)</f>
        <v>45704</v>
      </c>
      <c r="B1051" s="56">
        <f>+IF(COUNTIF($B$2:B1050,B1050)=VLOOKUP(B1050,Partidas!$C:$J,8,0),B1050+1,B1050)</f>
        <v>235</v>
      </c>
      <c r="C1051" s="41" t="str">
        <f t="array" ref="C1051">+INDEX(Partidas!$A:$J,MATCH('Resultados dashboard'!$B1051,Partidas!$C:$C,0),3+COUNTIF($B$2:B1051,'Resultados dashboard'!$B1051))</f>
        <v>Max</v>
      </c>
      <c r="D1051" s="54">
        <v>6</v>
      </c>
      <c r="E1051" s="53"/>
      <c r="F1051" s="53"/>
      <c r="G1051" s="53"/>
      <c r="H1051" s="38">
        <f t="shared" si="10"/>
        <v>6</v>
      </c>
      <c r="I1051" s="38">
        <f t="shared" si="9"/>
        <v>3</v>
      </c>
      <c r="J1051" s="55"/>
    </row>
    <row r="1052" spans="1:10" ht="15" customHeight="1" x14ac:dyDescent="0.2">
      <c r="A1052" s="50">
        <f t="array" ref="A1052">+INDEX(Partidas!$A:$J,MATCH('Resultados dashboard'!$B1052,Partidas!$C:$C,0),2)</f>
        <v>45704</v>
      </c>
      <c r="B1052" s="56">
        <f>+IF(COUNTIF($B$2:B1051,B1051)=VLOOKUP(B1051,Partidas!$C:$J,8,0),B1051+1,B1051)</f>
        <v>235</v>
      </c>
      <c r="C1052" s="41" t="str">
        <f t="array" ref="C1052">+INDEX(Partidas!$A:$J,MATCH('Resultados dashboard'!$B1052,Partidas!$C:$C,0),3+COUNTIF($B$2:B1052,'Resultados dashboard'!$B1052))</f>
        <v>Hugo</v>
      </c>
      <c r="D1052" s="54">
        <v>7</v>
      </c>
      <c r="E1052" s="54">
        <v>1</v>
      </c>
      <c r="F1052" s="54"/>
      <c r="G1052" s="54">
        <v>1</v>
      </c>
      <c r="H1052" s="38">
        <f t="shared" si="10"/>
        <v>10</v>
      </c>
      <c r="I1052" s="38">
        <f t="shared" si="9"/>
        <v>1</v>
      </c>
      <c r="J1052" s="55"/>
    </row>
    <row r="1053" spans="1:10" ht="15" customHeight="1" x14ac:dyDescent="0.2">
      <c r="A1053" s="50">
        <f t="array" ref="A1053">+INDEX(Partidas!$A:$J,MATCH('Resultados dashboard'!$B1053,Partidas!$C:$C,0),2)</f>
        <v>45704</v>
      </c>
      <c r="B1053" s="56">
        <f>+IF(COUNTIF($B$2:B1052,B1052)=VLOOKUP(B1052,Partidas!$C:$J,8,0),B1052+1,B1052)</f>
        <v>235</v>
      </c>
      <c r="C1053" s="41" t="str">
        <f t="array" ref="C1053">+INDEX(Partidas!$A:$J,MATCH('Resultados dashboard'!$B1053,Partidas!$C:$C,0),3+COUNTIF($B$2:B1053,'Resultados dashboard'!$B1053))</f>
        <v>Moch</v>
      </c>
      <c r="D1053" s="54">
        <v>3</v>
      </c>
      <c r="E1053" s="54">
        <v>1</v>
      </c>
      <c r="F1053" s="54">
        <v>1</v>
      </c>
      <c r="G1053" s="53"/>
      <c r="H1053" s="38">
        <f t="shared" si="10"/>
        <v>6</v>
      </c>
      <c r="I1053" s="38">
        <f t="shared" si="9"/>
        <v>3</v>
      </c>
      <c r="J1053" s="55"/>
    </row>
    <row r="1054" spans="1:10" ht="15" customHeight="1" x14ac:dyDescent="0.2">
      <c r="A1054" s="50">
        <f t="array" ref="A1054">+INDEX(Partidas!$A:$J,MATCH('Resultados dashboard'!$B1054,Partidas!$C:$C,0),2)</f>
        <v>45704</v>
      </c>
      <c r="B1054" s="56">
        <f>+IF(COUNTIF($B$2:B1053,B1053)=VLOOKUP(B1053,Partidas!$C:$J,8,0),B1053+1,B1053)</f>
        <v>236</v>
      </c>
      <c r="C1054" s="41" t="str">
        <f t="array" ref="C1054">+INDEX(Partidas!$A:$J,MATCH('Resultados dashboard'!$B1054,Partidas!$C:$C,0),3+COUNTIF($B$2:B1054,'Resultados dashboard'!$B1054))</f>
        <v>Gallo</v>
      </c>
      <c r="D1054" s="54">
        <v>6</v>
      </c>
      <c r="E1054" s="53"/>
      <c r="F1054" s="54">
        <v>1</v>
      </c>
      <c r="G1054" s="53"/>
      <c r="H1054" s="38">
        <f t="shared" si="10"/>
        <v>8</v>
      </c>
      <c r="I1054" s="38">
        <f t="shared" si="9"/>
        <v>2</v>
      </c>
      <c r="J1054" s="55"/>
    </row>
    <row r="1055" spans="1:10" ht="15" customHeight="1" x14ac:dyDescent="0.2">
      <c r="A1055" s="50">
        <f t="array" ref="A1055">+INDEX(Partidas!$A:$J,MATCH('Resultados dashboard'!$B1055,Partidas!$C:$C,0),2)</f>
        <v>45704</v>
      </c>
      <c r="B1055" s="56">
        <f>+IF(COUNTIF($B$2:B1054,B1054)=VLOOKUP(B1054,Partidas!$C:$J,8,0),B1054+1,B1054)</f>
        <v>236</v>
      </c>
      <c r="C1055" s="41" t="str">
        <f t="array" ref="C1055">+INDEX(Partidas!$A:$J,MATCH('Resultados dashboard'!$B1055,Partidas!$C:$C,0),3+COUNTIF($B$2:B1055,'Resultados dashboard'!$B1055))</f>
        <v>Ivo</v>
      </c>
      <c r="D1055" s="54">
        <v>4</v>
      </c>
      <c r="E1055" s="54">
        <v>1</v>
      </c>
      <c r="F1055" s="53"/>
      <c r="G1055" s="54">
        <v>1</v>
      </c>
      <c r="H1055" s="38">
        <f t="shared" si="10"/>
        <v>7</v>
      </c>
      <c r="I1055" s="38">
        <f t="shared" si="9"/>
        <v>3</v>
      </c>
      <c r="J1055" s="55"/>
    </row>
    <row r="1056" spans="1:10" ht="15" customHeight="1" x14ac:dyDescent="0.2">
      <c r="A1056" s="50">
        <f t="array" ref="A1056">+INDEX(Partidas!$A:$J,MATCH('Resultados dashboard'!$B1056,Partidas!$C:$C,0),2)</f>
        <v>45704</v>
      </c>
      <c r="B1056" s="56">
        <f>+IF(COUNTIF($B$2:B1055,B1055)=VLOOKUP(B1055,Partidas!$C:$J,8,0),B1055+1,B1055)</f>
        <v>236</v>
      </c>
      <c r="C1056" s="41" t="str">
        <f t="array" ref="C1056">+INDEX(Partidas!$A:$J,MATCH('Resultados dashboard'!$B1056,Partidas!$C:$C,0),3+COUNTIF($B$2:B1056,'Resultados dashboard'!$B1056))</f>
        <v>Max</v>
      </c>
      <c r="D1056" s="54">
        <v>7</v>
      </c>
      <c r="E1056" s="53"/>
      <c r="F1056" s="53"/>
      <c r="G1056" s="53"/>
      <c r="H1056" s="38">
        <f t="shared" si="10"/>
        <v>7</v>
      </c>
      <c r="I1056" s="38">
        <f t="shared" si="9"/>
        <v>3</v>
      </c>
      <c r="J1056" s="55"/>
    </row>
    <row r="1057" spans="1:10" ht="15" customHeight="1" x14ac:dyDescent="0.2">
      <c r="A1057" s="50">
        <f t="array" ref="A1057">+INDEX(Partidas!$A:$J,MATCH('Resultados dashboard'!$B1057,Partidas!$C:$C,0),2)</f>
        <v>45704</v>
      </c>
      <c r="B1057" s="56">
        <f>+IF(COUNTIF($B$2:B1056,B1056)=VLOOKUP(B1056,Partidas!$C:$J,8,0),B1056+1,B1056)</f>
        <v>236</v>
      </c>
      <c r="C1057" s="41" t="str">
        <f t="array" ref="C1057">+INDEX(Partidas!$A:$J,MATCH('Resultados dashboard'!$B1057,Partidas!$C:$C,0),3+COUNTIF($B$2:B1057,'Resultados dashboard'!$B1057))</f>
        <v>Hugo</v>
      </c>
      <c r="D1057" s="54">
        <v>6</v>
      </c>
      <c r="E1057" s="54">
        <v>1</v>
      </c>
      <c r="F1057" s="53"/>
      <c r="G1057" s="53"/>
      <c r="H1057" s="38">
        <f t="shared" si="10"/>
        <v>7</v>
      </c>
      <c r="I1057" s="38">
        <f t="shared" si="9"/>
        <v>3</v>
      </c>
      <c r="J1057" s="55"/>
    </row>
    <row r="1058" spans="1:10" ht="15" customHeight="1" x14ac:dyDescent="0.2">
      <c r="A1058" s="50">
        <f t="array" ref="A1058">+INDEX(Partidas!$A:$J,MATCH('Resultados dashboard'!$B1058,Partidas!$C:$C,0),2)</f>
        <v>45704</v>
      </c>
      <c r="B1058" s="56">
        <f>+IF(COUNTIF($B$2:B1057,B1057)=VLOOKUP(B1057,Partidas!$C:$J,8,0),B1057+1,B1057)</f>
        <v>236</v>
      </c>
      <c r="C1058" s="41" t="str">
        <f t="array" ref="C1058">+INDEX(Partidas!$A:$J,MATCH('Resultados dashboard'!$B1058,Partidas!$C:$C,0),3+COUNTIF($B$2:B1058,'Resultados dashboard'!$B1058))</f>
        <v>Moch</v>
      </c>
      <c r="D1058" s="54">
        <v>9</v>
      </c>
      <c r="E1058" s="54">
        <v>1</v>
      </c>
      <c r="F1058" s="53"/>
      <c r="G1058" s="53"/>
      <c r="H1058" s="38">
        <f t="shared" si="10"/>
        <v>10</v>
      </c>
      <c r="I1058" s="38">
        <f t="shared" ref="I1058:I1289" si="11">COUNTIFS($B$2:$B$10000,B1058,$H$2:$H$10000,"&gt;" &amp; H1058)+1</f>
        <v>1</v>
      </c>
      <c r="J1058" s="55"/>
    </row>
    <row r="1059" spans="1:10" ht="15" customHeight="1" x14ac:dyDescent="0.2">
      <c r="A1059" s="50">
        <f t="array" ref="A1059">+INDEX(Partidas!$A:$J,MATCH('Resultados dashboard'!$B1059,Partidas!$C:$C,0),2)</f>
        <v>45723</v>
      </c>
      <c r="B1059" s="56">
        <f>+IF(COUNTIF($B$2:B1058,B1058)=VLOOKUP(B1058,Partidas!$C:$J,8,0),B1058+1,B1058)</f>
        <v>237</v>
      </c>
      <c r="C1059" s="41" t="str">
        <f t="array" ref="C1059">+INDEX(Partidas!$A:$J,MATCH('Resultados dashboard'!$B1059,Partidas!$C:$C,0),3+COUNTIF($B$2:B1059,'Resultados dashboard'!$B1059))</f>
        <v>Gallo</v>
      </c>
      <c r="D1059" s="54">
        <v>5</v>
      </c>
      <c r="E1059" s="54">
        <v>3</v>
      </c>
      <c r="F1059" s="53"/>
      <c r="G1059" s="54">
        <v>1</v>
      </c>
      <c r="H1059" s="38">
        <f t="shared" si="10"/>
        <v>10</v>
      </c>
      <c r="I1059" s="38">
        <f t="shared" si="11"/>
        <v>1</v>
      </c>
      <c r="J1059" s="55"/>
    </row>
    <row r="1060" spans="1:10" ht="15" customHeight="1" x14ac:dyDescent="0.2">
      <c r="A1060" s="50">
        <f t="array" ref="A1060">+INDEX(Partidas!$A:$J,MATCH('Resultados dashboard'!$B1060,Partidas!$C:$C,0),2)</f>
        <v>45723</v>
      </c>
      <c r="B1060" s="56">
        <f>+IF(COUNTIF($B$2:B1059,B1059)=VLOOKUP(B1059,Partidas!$C:$J,8,0),B1059+1,B1059)</f>
        <v>237</v>
      </c>
      <c r="C1060" s="41" t="str">
        <f t="array" ref="C1060">+INDEX(Partidas!$A:$J,MATCH('Resultados dashboard'!$B1060,Partidas!$C:$C,0),3+COUNTIF($B$2:B1060,'Resultados dashboard'!$B1060))</f>
        <v>Ivo</v>
      </c>
      <c r="D1060" s="54">
        <v>5</v>
      </c>
      <c r="E1060" s="53"/>
      <c r="F1060" s="54">
        <v>1</v>
      </c>
      <c r="G1060" s="53"/>
      <c r="H1060" s="38">
        <f t="shared" si="10"/>
        <v>7</v>
      </c>
      <c r="I1060" s="38">
        <f t="shared" si="11"/>
        <v>2</v>
      </c>
      <c r="J1060" s="55"/>
    </row>
    <row r="1061" spans="1:10" ht="15" customHeight="1" x14ac:dyDescent="0.2">
      <c r="A1061" s="50">
        <f t="array" ref="A1061">+INDEX(Partidas!$A:$J,MATCH('Resultados dashboard'!$B1061,Partidas!$C:$C,0),2)</f>
        <v>45723</v>
      </c>
      <c r="B1061" s="56">
        <f>+IF(COUNTIF($B$2:B1060,B1060)=VLOOKUP(B1060,Partidas!$C:$J,8,0),B1060+1,B1060)</f>
        <v>237</v>
      </c>
      <c r="C1061" s="41" t="str">
        <f t="array" ref="C1061">+INDEX(Partidas!$A:$J,MATCH('Resultados dashboard'!$B1061,Partidas!$C:$C,0),3+COUNTIF($B$2:B1061,'Resultados dashboard'!$B1061))</f>
        <v>Max</v>
      </c>
      <c r="D1061" s="54">
        <v>7</v>
      </c>
      <c r="E1061" s="53"/>
      <c r="F1061" s="53"/>
      <c r="G1061" s="53"/>
      <c r="H1061" s="38">
        <f t="shared" si="10"/>
        <v>7</v>
      </c>
      <c r="I1061" s="38">
        <f t="shared" si="11"/>
        <v>2</v>
      </c>
      <c r="J1061" s="55"/>
    </row>
    <row r="1062" spans="1:10" ht="15" customHeight="1" x14ac:dyDescent="0.2">
      <c r="A1062" s="50">
        <f t="array" ref="A1062">+INDEX(Partidas!$A:$J,MATCH('Resultados dashboard'!$B1062,Partidas!$C:$C,0),2)</f>
        <v>45723</v>
      </c>
      <c r="B1062" s="56">
        <f>+IF(COUNTIF($B$2:B1061,B1061)=VLOOKUP(B1061,Partidas!$C:$J,8,0),B1061+1,B1061)</f>
        <v>237</v>
      </c>
      <c r="C1062" s="41" t="str">
        <f t="array" ref="C1062">+INDEX(Partidas!$A:$J,MATCH('Resultados dashboard'!$B1062,Partidas!$C:$C,0),3+COUNTIF($B$2:B1062,'Resultados dashboard'!$B1062))</f>
        <v>Gaspa</v>
      </c>
      <c r="D1062" s="54">
        <v>4</v>
      </c>
      <c r="E1062" s="53"/>
      <c r="F1062" s="53"/>
      <c r="G1062" s="53"/>
      <c r="H1062" s="38">
        <f t="shared" si="10"/>
        <v>4</v>
      </c>
      <c r="I1062" s="38">
        <f t="shared" si="11"/>
        <v>4</v>
      </c>
      <c r="J1062" s="55"/>
    </row>
    <row r="1063" spans="1:10" ht="15" customHeight="1" x14ac:dyDescent="0.2">
      <c r="A1063" s="50">
        <f t="array" ref="A1063">+INDEX(Partidas!$A:$J,MATCH('Resultados dashboard'!$B1063,Partidas!$C:$C,0),2)</f>
        <v>45723</v>
      </c>
      <c r="B1063" s="56">
        <f>+IF(COUNTIF($B$2:B1062,B1062)=VLOOKUP(B1062,Partidas!$C:$J,8,0),B1062+1,B1062)</f>
        <v>238</v>
      </c>
      <c r="C1063" s="41" t="str">
        <f t="array" ref="C1063">+INDEX(Partidas!$A:$J,MATCH('Resultados dashboard'!$B1063,Partidas!$C:$C,0),3+COUNTIF($B$2:B1063,'Resultados dashboard'!$B1063))</f>
        <v>Gallo</v>
      </c>
      <c r="D1063" s="54">
        <v>8</v>
      </c>
      <c r="E1063" s="53"/>
      <c r="F1063" s="53"/>
      <c r="G1063" s="53"/>
      <c r="H1063" s="38">
        <f t="shared" si="10"/>
        <v>8</v>
      </c>
      <c r="I1063" s="38">
        <f t="shared" si="11"/>
        <v>2</v>
      </c>
      <c r="J1063" s="55"/>
    </row>
    <row r="1064" spans="1:10" ht="15" customHeight="1" x14ac:dyDescent="0.2">
      <c r="A1064" s="50">
        <f t="array" ref="A1064">+INDEX(Partidas!$A:$J,MATCH('Resultados dashboard'!$B1064,Partidas!$C:$C,0),2)</f>
        <v>45723</v>
      </c>
      <c r="B1064" s="56">
        <f>+IF(COUNTIF($B$2:B1063,B1063)=VLOOKUP(B1063,Partidas!$C:$J,8,0),B1063+1,B1063)</f>
        <v>238</v>
      </c>
      <c r="C1064" s="41" t="str">
        <f t="array" ref="C1064">+INDEX(Partidas!$A:$J,MATCH('Resultados dashboard'!$B1064,Partidas!$C:$C,0),3+COUNTIF($B$2:B1064,'Resultados dashboard'!$B1064))</f>
        <v>Ivo</v>
      </c>
      <c r="D1064" s="54">
        <v>5</v>
      </c>
      <c r="E1064" s="54">
        <v>1</v>
      </c>
      <c r="F1064" s="54">
        <v>1</v>
      </c>
      <c r="G1064" s="54">
        <v>1</v>
      </c>
      <c r="H1064" s="38">
        <f t="shared" si="10"/>
        <v>10</v>
      </c>
      <c r="I1064" s="38">
        <f t="shared" si="11"/>
        <v>1</v>
      </c>
      <c r="J1064" s="55"/>
    </row>
    <row r="1065" spans="1:10" ht="15" customHeight="1" x14ac:dyDescent="0.2">
      <c r="A1065" s="50">
        <f t="array" ref="A1065">+INDEX(Partidas!$A:$J,MATCH('Resultados dashboard'!$B1065,Partidas!$C:$C,0),2)</f>
        <v>45723</v>
      </c>
      <c r="B1065" s="56">
        <f>+IF(COUNTIF($B$2:B1064,B1064)=VLOOKUP(B1064,Partidas!$C:$J,8,0),B1064+1,B1064)</f>
        <v>238</v>
      </c>
      <c r="C1065" s="41" t="str">
        <f t="array" ref="C1065">+INDEX(Partidas!$A:$J,MATCH('Resultados dashboard'!$B1065,Partidas!$C:$C,0),3+COUNTIF($B$2:B1065,'Resultados dashboard'!$B1065))</f>
        <v>Max</v>
      </c>
      <c r="D1065" s="54">
        <v>6</v>
      </c>
      <c r="E1065" s="54">
        <v>1</v>
      </c>
      <c r="F1065" s="53"/>
      <c r="G1065" s="53"/>
      <c r="H1065" s="38">
        <f t="shared" si="10"/>
        <v>7</v>
      </c>
      <c r="I1065" s="38">
        <f t="shared" si="11"/>
        <v>3</v>
      </c>
      <c r="J1065" s="55"/>
    </row>
    <row r="1066" spans="1:10" ht="15" customHeight="1" x14ac:dyDescent="0.2">
      <c r="A1066" s="50">
        <f t="array" ref="A1066">+INDEX(Partidas!$A:$J,MATCH('Resultados dashboard'!$B1066,Partidas!$C:$C,0),2)</f>
        <v>45723</v>
      </c>
      <c r="B1066" s="56">
        <f>+IF(COUNTIF($B$2:B1065,B1065)=VLOOKUP(B1065,Partidas!$C:$J,8,0),B1065+1,B1065)</f>
        <v>238</v>
      </c>
      <c r="C1066" s="41" t="str">
        <f t="array" ref="C1066">+INDEX(Partidas!$A:$J,MATCH('Resultados dashboard'!$B1066,Partidas!$C:$C,0),3+COUNTIF($B$2:B1066,'Resultados dashboard'!$B1066))</f>
        <v>Gaspa</v>
      </c>
      <c r="D1066" s="54">
        <v>6</v>
      </c>
      <c r="E1066" s="53"/>
      <c r="F1066" s="53"/>
      <c r="G1066" s="53"/>
      <c r="H1066" s="38">
        <f t="shared" si="10"/>
        <v>6</v>
      </c>
      <c r="I1066" s="38">
        <f t="shared" si="11"/>
        <v>4</v>
      </c>
      <c r="J1066" s="55"/>
    </row>
    <row r="1067" spans="1:10" ht="15" customHeight="1" x14ac:dyDescent="0.2">
      <c r="A1067" s="50">
        <f t="array" ref="A1067">+INDEX(Partidas!$A:$J,MATCH('Resultados dashboard'!$B1067,Partidas!$C:$C,0),2)</f>
        <v>45723</v>
      </c>
      <c r="B1067" s="56">
        <f>+IF(COUNTIF($B$2:B1066,B1066)=VLOOKUP(B1066,Partidas!$C:$J,8,0),B1066+1,B1066)</f>
        <v>239</v>
      </c>
      <c r="C1067" s="41" t="str">
        <f t="array" ref="C1067">+INDEX(Partidas!$A:$J,MATCH('Resultados dashboard'!$B1067,Partidas!$C:$C,0),3+COUNTIF($B$2:B1067,'Resultados dashboard'!$B1067))</f>
        <v>Gallo</v>
      </c>
      <c r="D1067" s="54">
        <v>4</v>
      </c>
      <c r="E1067" s="54">
        <v>3</v>
      </c>
      <c r="F1067" s="53"/>
      <c r="G1067" s="53"/>
      <c r="H1067" s="38">
        <f t="shared" si="10"/>
        <v>7</v>
      </c>
      <c r="I1067" s="38">
        <f t="shared" si="11"/>
        <v>2</v>
      </c>
      <c r="J1067" s="55"/>
    </row>
    <row r="1068" spans="1:10" ht="15" customHeight="1" x14ac:dyDescent="0.2">
      <c r="A1068" s="50">
        <f t="array" ref="A1068">+INDEX(Partidas!$A:$J,MATCH('Resultados dashboard'!$B1068,Partidas!$C:$C,0),2)</f>
        <v>45723</v>
      </c>
      <c r="B1068" s="56">
        <f>+IF(COUNTIF($B$2:B1067,B1067)=VLOOKUP(B1067,Partidas!$C:$J,8,0),B1067+1,B1067)</f>
        <v>239</v>
      </c>
      <c r="C1068" s="41" t="str">
        <f t="array" ref="C1068">+INDEX(Partidas!$A:$J,MATCH('Resultados dashboard'!$B1068,Partidas!$C:$C,0),3+COUNTIF($B$2:B1068,'Resultados dashboard'!$B1068))</f>
        <v>Ivo</v>
      </c>
      <c r="D1068" s="54">
        <v>5</v>
      </c>
      <c r="E1068" s="54">
        <v>1</v>
      </c>
      <c r="F1068" s="53"/>
      <c r="G1068" s="53"/>
      <c r="H1068" s="38">
        <f t="shared" si="10"/>
        <v>6</v>
      </c>
      <c r="I1068" s="38">
        <f t="shared" si="11"/>
        <v>3</v>
      </c>
      <c r="J1068" s="55"/>
    </row>
    <row r="1069" spans="1:10" ht="15" customHeight="1" x14ac:dyDescent="0.2">
      <c r="A1069" s="50">
        <f t="array" ref="A1069">+INDEX(Partidas!$A:$J,MATCH('Resultados dashboard'!$B1069,Partidas!$C:$C,0),2)</f>
        <v>45723</v>
      </c>
      <c r="B1069" s="56">
        <f>+IF(COUNTIF($B$2:B1068,B1068)=VLOOKUP(B1068,Partidas!$C:$J,8,0),B1068+1,B1068)</f>
        <v>239</v>
      </c>
      <c r="C1069" s="41" t="str">
        <f t="array" ref="C1069">+INDEX(Partidas!$A:$J,MATCH('Resultados dashboard'!$B1069,Partidas!$C:$C,0),3+COUNTIF($B$2:B1069,'Resultados dashboard'!$B1069))</f>
        <v>Max</v>
      </c>
      <c r="D1069" s="54">
        <v>6</v>
      </c>
      <c r="E1069" s="53"/>
      <c r="F1069" s="54">
        <v>1</v>
      </c>
      <c r="G1069" s="54">
        <v>1</v>
      </c>
      <c r="H1069" s="38">
        <f t="shared" si="10"/>
        <v>10</v>
      </c>
      <c r="I1069" s="38">
        <f t="shared" si="11"/>
        <v>1</v>
      </c>
      <c r="J1069" s="55"/>
    </row>
    <row r="1070" spans="1:10" ht="15" customHeight="1" x14ac:dyDescent="0.2">
      <c r="A1070" s="50">
        <f t="array" ref="A1070">+INDEX(Partidas!$A:$J,MATCH('Resultados dashboard'!$B1070,Partidas!$C:$C,0),2)</f>
        <v>45723</v>
      </c>
      <c r="B1070" s="56">
        <f>+IF(COUNTIF($B$2:B1069,B1069)=VLOOKUP(B1069,Partidas!$C:$J,8,0),B1069+1,B1069)</f>
        <v>239</v>
      </c>
      <c r="C1070" s="41" t="str">
        <f t="array" ref="C1070">+INDEX(Partidas!$A:$J,MATCH('Resultados dashboard'!$B1070,Partidas!$C:$C,0),3+COUNTIF($B$2:B1070,'Resultados dashboard'!$B1070))</f>
        <v>Gaspa</v>
      </c>
      <c r="D1070" s="54">
        <v>5</v>
      </c>
      <c r="E1070" s="53"/>
      <c r="F1070" s="53"/>
      <c r="G1070" s="53"/>
      <c r="H1070" s="38">
        <f t="shared" si="10"/>
        <v>5</v>
      </c>
      <c r="I1070" s="38">
        <f t="shared" si="11"/>
        <v>4</v>
      </c>
      <c r="J1070" s="55"/>
    </row>
    <row r="1071" spans="1:10" ht="15" customHeight="1" x14ac:dyDescent="0.2">
      <c r="A1071" s="50">
        <f t="array" ref="A1071">+INDEX(Partidas!$A:$J,MATCH('Resultados dashboard'!$B1071,Partidas!$C:$C,0),2)</f>
        <v>45732</v>
      </c>
      <c r="B1071" s="56">
        <f>+IF(COUNTIF($B$2:B1070,B1070)=VLOOKUP(B1070,Partidas!$C:$J,8,0),B1070+1,B1070)</f>
        <v>240</v>
      </c>
      <c r="C1071" s="41" t="str">
        <f t="array" ref="C1071">+INDEX(Partidas!$A:$J,MATCH('Resultados dashboard'!$B1071,Partidas!$C:$C,0),3+COUNTIF($B$2:B1071,'Resultados dashboard'!$B1071))</f>
        <v>Gallo</v>
      </c>
      <c r="D1071" s="54">
        <v>7</v>
      </c>
      <c r="E1071" s="53"/>
      <c r="F1071" s="54">
        <v>1</v>
      </c>
      <c r="G1071" s="53"/>
      <c r="H1071" s="38">
        <f t="shared" si="10"/>
        <v>9</v>
      </c>
      <c r="I1071" s="38">
        <f t="shared" si="11"/>
        <v>2</v>
      </c>
      <c r="J1071" s="55"/>
    </row>
    <row r="1072" spans="1:10" ht="15" customHeight="1" x14ac:dyDescent="0.2">
      <c r="A1072" s="50">
        <f t="array" ref="A1072">+INDEX(Partidas!$A:$J,MATCH('Resultados dashboard'!$B1072,Partidas!$C:$C,0),2)</f>
        <v>45732</v>
      </c>
      <c r="B1072" s="56">
        <f>+IF(COUNTIF($B$2:B1071,B1071)=VLOOKUP(B1071,Partidas!$C:$J,8,0),B1071+1,B1071)</f>
        <v>240</v>
      </c>
      <c r="C1072" s="41" t="str">
        <f t="array" ref="C1072">+INDEX(Partidas!$A:$J,MATCH('Resultados dashboard'!$B1072,Partidas!$C:$C,0),3+COUNTIF($B$2:B1072,'Resultados dashboard'!$B1072))</f>
        <v>Ivo</v>
      </c>
      <c r="D1072" s="54">
        <v>5</v>
      </c>
      <c r="E1072" s="53"/>
      <c r="F1072" s="53"/>
      <c r="G1072" s="53"/>
      <c r="H1072" s="38">
        <f t="shared" si="10"/>
        <v>5</v>
      </c>
      <c r="I1072" s="38">
        <f t="shared" si="11"/>
        <v>4</v>
      </c>
      <c r="J1072" s="55"/>
    </row>
    <row r="1073" spans="1:10" ht="15" customHeight="1" x14ac:dyDescent="0.2">
      <c r="A1073" s="50">
        <f t="array" ref="A1073">+INDEX(Partidas!$A:$J,MATCH('Resultados dashboard'!$B1073,Partidas!$C:$C,0),2)</f>
        <v>45732</v>
      </c>
      <c r="B1073" s="56">
        <f>+IF(COUNTIF($B$2:B1072,B1072)=VLOOKUP(B1072,Partidas!$C:$J,8,0),B1072+1,B1072)</f>
        <v>240</v>
      </c>
      <c r="C1073" s="41" t="str">
        <f t="array" ref="C1073">+INDEX(Partidas!$A:$J,MATCH('Resultados dashboard'!$B1073,Partidas!$C:$C,0),3+COUNTIF($B$2:B1073,'Resultados dashboard'!$B1073))</f>
        <v>Gaspa</v>
      </c>
      <c r="D1073" s="54">
        <v>5</v>
      </c>
      <c r="E1073" s="54">
        <v>1</v>
      </c>
      <c r="F1073" s="53"/>
      <c r="G1073" s="54">
        <v>1</v>
      </c>
      <c r="H1073" s="38">
        <f t="shared" si="10"/>
        <v>8</v>
      </c>
      <c r="I1073" s="38">
        <f t="shared" si="11"/>
        <v>3</v>
      </c>
      <c r="J1073" s="55"/>
    </row>
    <row r="1074" spans="1:10" ht="15" customHeight="1" x14ac:dyDescent="0.2">
      <c r="A1074" s="50">
        <f t="array" ref="A1074">+INDEX(Partidas!$A:$J,MATCH('Resultados dashboard'!$B1074,Partidas!$C:$C,0),2)</f>
        <v>45732</v>
      </c>
      <c r="B1074" s="56">
        <f>+IF(COUNTIF($B$2:B1073,B1073)=VLOOKUP(B1073,Partidas!$C:$J,8,0),B1073+1,B1073)</f>
        <v>240</v>
      </c>
      <c r="C1074" s="41" t="str">
        <f t="array" ref="C1074">+INDEX(Partidas!$A:$J,MATCH('Resultados dashboard'!$B1074,Partidas!$C:$C,0),3+COUNTIF($B$2:B1074,'Resultados dashboard'!$B1074))</f>
        <v>Gasta</v>
      </c>
      <c r="D1074" s="54">
        <v>10</v>
      </c>
      <c r="E1074" s="53"/>
      <c r="F1074" s="53"/>
      <c r="G1074" s="53"/>
      <c r="H1074" s="38">
        <f t="shared" si="10"/>
        <v>10</v>
      </c>
      <c r="I1074" s="38">
        <f t="shared" si="11"/>
        <v>1</v>
      </c>
      <c r="J1074" s="55"/>
    </row>
    <row r="1075" spans="1:10" ht="15" customHeight="1" x14ac:dyDescent="0.2">
      <c r="A1075" s="50">
        <f t="array" ref="A1075">+INDEX(Partidas!$A:$J,MATCH('Resultados dashboard'!$B1075,Partidas!$C:$C,0),2)</f>
        <v>45734</v>
      </c>
      <c r="B1075" s="56">
        <f>+IF(COUNTIF($B$2:B1074,B1074)=VLOOKUP(B1074,Partidas!$C:$J,8,0),B1074+1,B1074)</f>
        <v>241</v>
      </c>
      <c r="C1075" s="41" t="str">
        <f t="array" ref="C1075">+INDEX(Partidas!$A:$J,MATCH('Resultados dashboard'!$B1075,Partidas!$C:$C,0),3+COUNTIF($B$2:B1075,'Resultados dashboard'!$B1075))</f>
        <v>Ivo</v>
      </c>
      <c r="D1075" s="54">
        <v>6</v>
      </c>
      <c r="E1075" s="53"/>
      <c r="F1075" s="54">
        <v>1</v>
      </c>
      <c r="G1075" s="54">
        <v>1</v>
      </c>
      <c r="H1075" s="38">
        <f t="shared" si="10"/>
        <v>10</v>
      </c>
      <c r="I1075" s="38">
        <f t="shared" si="11"/>
        <v>1</v>
      </c>
      <c r="J1075" s="55"/>
    </row>
    <row r="1076" spans="1:10" ht="15" customHeight="1" x14ac:dyDescent="0.2">
      <c r="A1076" s="50">
        <f t="array" ref="A1076">+INDEX(Partidas!$A:$J,MATCH('Resultados dashboard'!$B1076,Partidas!$C:$C,0),2)</f>
        <v>45734</v>
      </c>
      <c r="B1076" s="56">
        <f>+IF(COUNTIF($B$2:B1075,B1075)=VLOOKUP(B1075,Partidas!$C:$J,8,0),B1075+1,B1075)</f>
        <v>241</v>
      </c>
      <c r="C1076" s="41" t="str">
        <f t="array" ref="C1076">+INDEX(Partidas!$A:$J,MATCH('Resultados dashboard'!$B1076,Partidas!$C:$C,0),3+COUNTIF($B$2:B1076,'Resultados dashboard'!$B1076))</f>
        <v>Max</v>
      </c>
      <c r="D1076" s="54">
        <v>6</v>
      </c>
      <c r="E1076" s="53"/>
      <c r="F1076" s="53"/>
      <c r="G1076" s="53"/>
      <c r="H1076" s="38">
        <f t="shared" si="10"/>
        <v>6</v>
      </c>
      <c r="I1076" s="38">
        <f t="shared" si="11"/>
        <v>3</v>
      </c>
      <c r="J1076" s="55"/>
    </row>
    <row r="1077" spans="1:10" ht="15" customHeight="1" x14ac:dyDescent="0.2">
      <c r="A1077" s="50">
        <f t="array" ref="A1077">+INDEX(Partidas!$A:$J,MATCH('Resultados dashboard'!$B1077,Partidas!$C:$C,0),2)</f>
        <v>45734</v>
      </c>
      <c r="B1077" s="56">
        <f>+IF(COUNTIF($B$2:B1076,B1076)=VLOOKUP(B1076,Partidas!$C:$J,8,0),B1076+1,B1076)</f>
        <v>241</v>
      </c>
      <c r="C1077" s="41" t="str">
        <f t="array" ref="C1077">+INDEX(Partidas!$A:$J,MATCH('Resultados dashboard'!$B1077,Partidas!$C:$C,0),3+COUNTIF($B$2:B1077,'Resultados dashboard'!$B1077))</f>
        <v>Hugo</v>
      </c>
      <c r="D1077" s="54">
        <v>7</v>
      </c>
      <c r="E1077" s="54">
        <v>2</v>
      </c>
      <c r="F1077" s="53"/>
      <c r="G1077" s="53"/>
      <c r="H1077" s="38">
        <f t="shared" si="10"/>
        <v>9</v>
      </c>
      <c r="I1077" s="38">
        <f t="shared" si="11"/>
        <v>2</v>
      </c>
      <c r="J1077" s="55"/>
    </row>
    <row r="1078" spans="1:10" ht="15" customHeight="1" x14ac:dyDescent="0.2">
      <c r="A1078" s="50">
        <f t="array" ref="A1078">+INDEX(Partidas!$A:$J,MATCH('Resultados dashboard'!$B1078,Partidas!$C:$C,0),2)</f>
        <v>45734</v>
      </c>
      <c r="B1078" s="56">
        <f>+IF(COUNTIF($B$2:B1077,B1077)=VLOOKUP(B1077,Partidas!$C:$J,8,0),B1077+1,B1077)</f>
        <v>241</v>
      </c>
      <c r="C1078" s="41" t="str">
        <f t="array" ref="C1078">+INDEX(Partidas!$A:$J,MATCH('Resultados dashboard'!$B1078,Partidas!$C:$C,0),3+COUNTIF($B$2:B1078,'Resultados dashboard'!$B1078))</f>
        <v>Moch</v>
      </c>
      <c r="D1078" s="54">
        <v>5</v>
      </c>
      <c r="E1078" s="54">
        <v>1</v>
      </c>
      <c r="F1078" s="53"/>
      <c r="G1078" s="53"/>
      <c r="H1078" s="38">
        <f t="shared" si="10"/>
        <v>6</v>
      </c>
      <c r="I1078" s="38">
        <f t="shared" si="11"/>
        <v>3</v>
      </c>
      <c r="J1078" s="55"/>
    </row>
    <row r="1079" spans="1:10" ht="15" customHeight="1" x14ac:dyDescent="0.2">
      <c r="A1079" s="50">
        <f t="array" ref="A1079">+INDEX(Partidas!$A:$J,MATCH('Resultados dashboard'!$B1079,Partidas!$C:$C,0),2)</f>
        <v>45734</v>
      </c>
      <c r="B1079" s="56">
        <f>+IF(COUNTIF($B$2:B1078,B1078)=VLOOKUP(B1078,Partidas!$C:$J,8,0),B1078+1,B1078)</f>
        <v>242</v>
      </c>
      <c r="C1079" s="41" t="str">
        <f t="array" ref="C1079">+INDEX(Partidas!$A:$J,MATCH('Resultados dashboard'!$B1079,Partidas!$C:$C,0),3+COUNTIF($B$2:B1079,'Resultados dashboard'!$B1079))</f>
        <v>Ivo</v>
      </c>
      <c r="D1079" s="54">
        <v>4</v>
      </c>
      <c r="E1079" s="53"/>
      <c r="F1079" s="53"/>
      <c r="G1079" s="53"/>
      <c r="H1079" s="38">
        <f t="shared" si="10"/>
        <v>4</v>
      </c>
      <c r="I1079" s="38">
        <f t="shared" si="11"/>
        <v>4</v>
      </c>
      <c r="J1079" s="55"/>
    </row>
    <row r="1080" spans="1:10" ht="15" customHeight="1" x14ac:dyDescent="0.2">
      <c r="A1080" s="50">
        <f t="array" ref="A1080">+INDEX(Partidas!$A:$J,MATCH('Resultados dashboard'!$B1080,Partidas!$C:$C,0),2)</f>
        <v>45734</v>
      </c>
      <c r="B1080" s="56">
        <f>+IF(COUNTIF($B$2:B1079,B1079)=VLOOKUP(B1079,Partidas!$C:$J,8,0),B1079+1,B1079)</f>
        <v>242</v>
      </c>
      <c r="C1080" s="41" t="str">
        <f t="array" ref="C1080">+INDEX(Partidas!$A:$J,MATCH('Resultados dashboard'!$B1080,Partidas!$C:$C,0),3+COUNTIF($B$2:B1080,'Resultados dashboard'!$B1080))</f>
        <v>Max</v>
      </c>
      <c r="D1080" s="54">
        <v>6</v>
      </c>
      <c r="E1080" s="53"/>
      <c r="F1080" s="54">
        <v>1</v>
      </c>
      <c r="G1080" s="54">
        <v>1</v>
      </c>
      <c r="H1080" s="38">
        <f t="shared" si="10"/>
        <v>10</v>
      </c>
      <c r="I1080" s="38">
        <f t="shared" si="11"/>
        <v>1</v>
      </c>
      <c r="J1080" s="55"/>
    </row>
    <row r="1081" spans="1:10" ht="15" customHeight="1" x14ac:dyDescent="0.2">
      <c r="A1081" s="50">
        <f t="array" ref="A1081">+INDEX(Partidas!$A:$J,MATCH('Resultados dashboard'!$B1081,Partidas!$C:$C,0),2)</f>
        <v>45734</v>
      </c>
      <c r="B1081" s="56">
        <f>+IF(COUNTIF($B$2:B1080,B1080)=VLOOKUP(B1080,Partidas!$C:$J,8,0),B1080+1,B1080)</f>
        <v>242</v>
      </c>
      <c r="C1081" s="41" t="str">
        <f t="array" ref="C1081">+INDEX(Partidas!$A:$J,MATCH('Resultados dashboard'!$B1081,Partidas!$C:$C,0),3+COUNTIF($B$2:B1081,'Resultados dashboard'!$B1081))</f>
        <v>Hugo</v>
      </c>
      <c r="D1081" s="54">
        <v>6</v>
      </c>
      <c r="E1081" s="53"/>
      <c r="F1081" s="53"/>
      <c r="G1081" s="53"/>
      <c r="H1081" s="38">
        <f t="shared" si="10"/>
        <v>6</v>
      </c>
      <c r="I1081" s="38">
        <f t="shared" si="11"/>
        <v>3</v>
      </c>
      <c r="J1081" s="55"/>
    </row>
    <row r="1082" spans="1:10" ht="15" customHeight="1" x14ac:dyDescent="0.2">
      <c r="A1082" s="50">
        <f t="array" ref="A1082">+INDEX(Partidas!$A:$J,MATCH('Resultados dashboard'!$B1082,Partidas!$C:$C,0),2)</f>
        <v>45734</v>
      </c>
      <c r="B1082" s="56">
        <f>+IF(COUNTIF($B$2:B1081,B1081)=VLOOKUP(B1081,Partidas!$C:$J,8,0),B1081+1,B1081)</f>
        <v>242</v>
      </c>
      <c r="C1082" s="41" t="str">
        <f t="array" ref="C1082">+INDEX(Partidas!$A:$J,MATCH('Resultados dashboard'!$B1082,Partidas!$C:$C,0),3+COUNTIF($B$2:B1082,'Resultados dashboard'!$B1082))</f>
        <v>Moch</v>
      </c>
      <c r="D1082" s="54">
        <v>5</v>
      </c>
      <c r="E1082" s="54">
        <v>3</v>
      </c>
      <c r="F1082" s="53"/>
      <c r="G1082" s="53"/>
      <c r="H1082" s="38">
        <f t="shared" si="10"/>
        <v>8</v>
      </c>
      <c r="I1082" s="38">
        <f t="shared" si="11"/>
        <v>2</v>
      </c>
      <c r="J1082" s="55"/>
    </row>
    <row r="1083" spans="1:10" ht="15" customHeight="1" x14ac:dyDescent="0.2">
      <c r="A1083" s="50">
        <f t="array" ref="A1083">+INDEX(Partidas!$A:$J,MATCH('Resultados dashboard'!$B1083,Partidas!$C:$C,0),2)</f>
        <v>45734</v>
      </c>
      <c r="B1083" s="56">
        <f>+IF(COUNTIF($B$2:B1082,B1082)=VLOOKUP(B1082,Partidas!$C:$J,8,0),B1082+1,B1082)</f>
        <v>243</v>
      </c>
      <c r="C1083" s="41" t="str">
        <f t="array" ref="C1083">+INDEX(Partidas!$A:$J,MATCH('Resultados dashboard'!$B1083,Partidas!$C:$C,0),3+COUNTIF($B$2:B1083,'Resultados dashboard'!$B1083))</f>
        <v>Ivo</v>
      </c>
      <c r="D1083" s="54">
        <v>5</v>
      </c>
      <c r="E1083" s="54">
        <v>2</v>
      </c>
      <c r="F1083" s="53"/>
      <c r="G1083" s="53"/>
      <c r="H1083" s="38">
        <f t="shared" si="10"/>
        <v>7</v>
      </c>
      <c r="I1083" s="38">
        <f t="shared" si="11"/>
        <v>4</v>
      </c>
      <c r="J1083" s="55"/>
    </row>
    <row r="1084" spans="1:10" ht="15" customHeight="1" x14ac:dyDescent="0.2">
      <c r="A1084" s="50">
        <f t="array" ref="A1084">+INDEX(Partidas!$A:$J,MATCH('Resultados dashboard'!$B1084,Partidas!$C:$C,0),2)</f>
        <v>45734</v>
      </c>
      <c r="B1084" s="56">
        <f>+IF(COUNTIF($B$2:B1083,B1083)=VLOOKUP(B1083,Partidas!$C:$J,8,0),B1083+1,B1083)</f>
        <v>243</v>
      </c>
      <c r="C1084" s="41" t="str">
        <f t="array" ref="C1084">+INDEX(Partidas!$A:$J,MATCH('Resultados dashboard'!$B1084,Partidas!$C:$C,0),3+COUNTIF($B$2:B1084,'Resultados dashboard'!$B1084))</f>
        <v>Max</v>
      </c>
      <c r="D1084" s="54">
        <v>9</v>
      </c>
      <c r="E1084" s="53"/>
      <c r="F1084" s="53"/>
      <c r="G1084" s="53"/>
      <c r="H1084" s="38">
        <f t="shared" si="10"/>
        <v>9</v>
      </c>
      <c r="I1084" s="38">
        <f t="shared" si="11"/>
        <v>2</v>
      </c>
      <c r="J1084" s="55"/>
    </row>
    <row r="1085" spans="1:10" ht="15" customHeight="1" x14ac:dyDescent="0.2">
      <c r="A1085" s="50">
        <f t="array" ref="A1085">+INDEX(Partidas!$A:$J,MATCH('Resultados dashboard'!$B1085,Partidas!$C:$C,0),2)</f>
        <v>45734</v>
      </c>
      <c r="B1085" s="56">
        <f>+IF(COUNTIF($B$2:B1084,B1084)=VLOOKUP(B1084,Partidas!$C:$J,8,0),B1084+1,B1084)</f>
        <v>243</v>
      </c>
      <c r="C1085" s="41" t="str">
        <f t="array" ref="C1085">+INDEX(Partidas!$A:$J,MATCH('Resultados dashboard'!$B1085,Partidas!$C:$C,0),3+COUNTIF($B$2:B1085,'Resultados dashboard'!$B1085))</f>
        <v>Hugo</v>
      </c>
      <c r="D1085" s="54">
        <v>10</v>
      </c>
      <c r="E1085" s="53"/>
      <c r="F1085" s="53"/>
      <c r="G1085" s="53"/>
      <c r="H1085" s="38">
        <f t="shared" si="10"/>
        <v>10</v>
      </c>
      <c r="I1085" s="38">
        <f t="shared" si="11"/>
        <v>1</v>
      </c>
      <c r="J1085" s="55"/>
    </row>
    <row r="1086" spans="1:10" ht="15" customHeight="1" x14ac:dyDescent="0.2">
      <c r="A1086" s="50">
        <f t="array" ref="A1086">+INDEX(Partidas!$A:$J,MATCH('Resultados dashboard'!$B1086,Partidas!$C:$C,0),2)</f>
        <v>45734</v>
      </c>
      <c r="B1086" s="56">
        <f>+IF(COUNTIF($B$2:B1085,B1085)=VLOOKUP(B1085,Partidas!$C:$J,8,0),B1085+1,B1085)</f>
        <v>243</v>
      </c>
      <c r="C1086" s="41" t="str">
        <f t="array" ref="C1086">+INDEX(Partidas!$A:$J,MATCH('Resultados dashboard'!$B1086,Partidas!$C:$C,0),3+COUNTIF($B$2:B1086,'Resultados dashboard'!$B1086))</f>
        <v>Moch</v>
      </c>
      <c r="D1086" s="54">
        <v>4</v>
      </c>
      <c r="E1086" s="54">
        <v>2</v>
      </c>
      <c r="F1086" s="53"/>
      <c r="G1086" s="54">
        <v>1</v>
      </c>
      <c r="H1086" s="38">
        <f t="shared" si="10"/>
        <v>8</v>
      </c>
      <c r="I1086" s="38">
        <f t="shared" si="11"/>
        <v>3</v>
      </c>
      <c r="J1086" s="55"/>
    </row>
    <row r="1087" spans="1:10" ht="15" customHeight="1" x14ac:dyDescent="0.2">
      <c r="A1087" s="50">
        <f t="array" ref="A1087">+INDEX(Partidas!$A:$J,MATCH('Resultados dashboard'!$B1087,Partidas!$C:$C,0),2)</f>
        <v>45746</v>
      </c>
      <c r="B1087" s="56">
        <f>+IF(COUNTIF($B$2:B1086,B1086)=VLOOKUP(B1086,Partidas!$C:$J,8,0),B1086+1,B1086)</f>
        <v>244</v>
      </c>
      <c r="C1087" s="41" t="str">
        <f t="array" ref="C1087">+INDEX(Partidas!$A:$J,MATCH('Resultados dashboard'!$B1087,Partidas!$C:$C,0),3+COUNTIF($B$2:B1087,'Resultados dashboard'!$B1087))</f>
        <v>Gallo</v>
      </c>
      <c r="D1087" s="54">
        <v>8</v>
      </c>
      <c r="E1087" s="54">
        <v>1</v>
      </c>
      <c r="F1087" s="53"/>
      <c r="G1087" s="53"/>
      <c r="H1087" s="38">
        <f t="shared" si="10"/>
        <v>9</v>
      </c>
      <c r="I1087" s="38">
        <f t="shared" si="11"/>
        <v>2</v>
      </c>
      <c r="J1087" s="55"/>
    </row>
    <row r="1088" spans="1:10" ht="15" customHeight="1" x14ac:dyDescent="0.2">
      <c r="A1088" s="50">
        <f t="array" ref="A1088">+INDEX(Partidas!$A:$J,MATCH('Resultados dashboard'!$B1088,Partidas!$C:$C,0),2)</f>
        <v>45746</v>
      </c>
      <c r="B1088" s="56">
        <f>+IF(COUNTIF($B$2:B1087,B1087)=VLOOKUP(B1087,Partidas!$C:$J,8,0),B1087+1,B1087)</f>
        <v>244</v>
      </c>
      <c r="C1088" s="41" t="str">
        <f t="array" ref="C1088">+INDEX(Partidas!$A:$J,MATCH('Resultados dashboard'!$B1088,Partidas!$C:$C,0),3+COUNTIF($B$2:B1088,'Resultados dashboard'!$B1088))</f>
        <v>Ivo</v>
      </c>
      <c r="D1088" s="54">
        <v>5</v>
      </c>
      <c r="E1088" s="53"/>
      <c r="F1088" s="53"/>
      <c r="G1088" s="54">
        <v>1</v>
      </c>
      <c r="H1088" s="38">
        <f t="shared" si="10"/>
        <v>7</v>
      </c>
      <c r="I1088" s="38">
        <f t="shared" si="11"/>
        <v>4</v>
      </c>
      <c r="J1088" s="55"/>
    </row>
    <row r="1089" spans="1:10" ht="15" customHeight="1" x14ac:dyDescent="0.2">
      <c r="A1089" s="50">
        <f t="array" ref="A1089">+INDEX(Partidas!$A:$J,MATCH('Resultados dashboard'!$B1089,Partidas!$C:$C,0),2)</f>
        <v>45746</v>
      </c>
      <c r="B1089" s="56">
        <f>+IF(COUNTIF($B$2:B1088,B1088)=VLOOKUP(B1088,Partidas!$C:$J,8,0),B1088+1,B1088)</f>
        <v>244</v>
      </c>
      <c r="C1089" s="41" t="str">
        <f t="array" ref="C1089">+INDEX(Partidas!$A:$J,MATCH('Resultados dashboard'!$B1089,Partidas!$C:$C,0),3+COUNTIF($B$2:B1089,'Resultados dashboard'!$B1089))</f>
        <v>Max</v>
      </c>
      <c r="D1089" s="54">
        <v>7</v>
      </c>
      <c r="E1089" s="53"/>
      <c r="F1089" s="53"/>
      <c r="G1089" s="53"/>
      <c r="H1089" s="38">
        <f t="shared" si="10"/>
        <v>7</v>
      </c>
      <c r="I1089" s="38">
        <f t="shared" si="11"/>
        <v>4</v>
      </c>
      <c r="J1089" s="55"/>
    </row>
    <row r="1090" spans="1:10" ht="15" customHeight="1" x14ac:dyDescent="0.2">
      <c r="A1090" s="50">
        <f t="array" ref="A1090">+INDEX(Partidas!$A:$J,MATCH('Resultados dashboard'!$B1090,Partidas!$C:$C,0),2)</f>
        <v>45746</v>
      </c>
      <c r="B1090" s="56">
        <f>+IF(COUNTIF($B$2:B1089,B1089)=VLOOKUP(B1089,Partidas!$C:$J,8,0),B1089+1,B1089)</f>
        <v>244</v>
      </c>
      <c r="C1090" s="41" t="str">
        <f t="array" ref="C1090">+INDEX(Partidas!$A:$J,MATCH('Resultados dashboard'!$B1090,Partidas!$C:$C,0),3+COUNTIF($B$2:B1090,'Resultados dashboard'!$B1090))</f>
        <v>Hugo</v>
      </c>
      <c r="D1090" s="54">
        <v>7</v>
      </c>
      <c r="E1090" s="54">
        <v>1</v>
      </c>
      <c r="F1090" s="54">
        <v>1</v>
      </c>
      <c r="G1090" s="53"/>
      <c r="H1090" s="38">
        <f t="shared" si="10"/>
        <v>10</v>
      </c>
      <c r="I1090" s="38">
        <f t="shared" si="11"/>
        <v>1</v>
      </c>
      <c r="J1090" s="55"/>
    </row>
    <row r="1091" spans="1:10" ht="15" customHeight="1" x14ac:dyDescent="0.2">
      <c r="A1091" s="50">
        <f t="array" ref="A1091">+INDEX(Partidas!$A:$J,MATCH('Resultados dashboard'!$B1091,Partidas!$C:$C,0),2)</f>
        <v>45746</v>
      </c>
      <c r="B1091" s="56">
        <f>+IF(COUNTIF($B$2:B1090,B1090)=VLOOKUP(B1090,Partidas!$C:$J,8,0),B1090+1,B1090)</f>
        <v>244</v>
      </c>
      <c r="C1091" s="41" t="str">
        <f t="array" ref="C1091">+INDEX(Partidas!$A:$J,MATCH('Resultados dashboard'!$B1091,Partidas!$C:$C,0),3+COUNTIF($B$2:B1091,'Resultados dashboard'!$B1091))</f>
        <v>Moch</v>
      </c>
      <c r="D1091" s="54">
        <v>8</v>
      </c>
      <c r="E1091" s="54">
        <v>1</v>
      </c>
      <c r="F1091" s="53"/>
      <c r="G1091" s="53"/>
      <c r="H1091" s="38">
        <f t="shared" si="10"/>
        <v>9</v>
      </c>
      <c r="I1091" s="38">
        <f t="shared" si="11"/>
        <v>2</v>
      </c>
      <c r="J1091" s="55"/>
    </row>
    <row r="1092" spans="1:10" ht="15" customHeight="1" x14ac:dyDescent="0.2">
      <c r="A1092" s="50">
        <f t="array" ref="A1092">+INDEX(Partidas!$A:$J,MATCH('Resultados dashboard'!$B1092,Partidas!$C:$C,0),2)</f>
        <v>45746</v>
      </c>
      <c r="B1092" s="56">
        <f>+IF(COUNTIF($B$2:B1091,B1091)=VLOOKUP(B1091,Partidas!$C:$J,8,0),B1091+1,B1091)</f>
        <v>245</v>
      </c>
      <c r="C1092" s="41" t="str">
        <f t="array" ref="C1092">+INDEX(Partidas!$A:$J,MATCH('Resultados dashboard'!$B1092,Partidas!$C:$C,0),3+COUNTIF($B$2:B1092,'Resultados dashboard'!$B1092))</f>
        <v>Gallo</v>
      </c>
      <c r="D1092" s="54">
        <v>6</v>
      </c>
      <c r="E1092" s="54">
        <v>1</v>
      </c>
      <c r="F1092" s="53"/>
      <c r="G1092" s="54">
        <v>1</v>
      </c>
      <c r="H1092" s="38">
        <f t="shared" si="10"/>
        <v>9</v>
      </c>
      <c r="I1092" s="38">
        <f t="shared" si="11"/>
        <v>2</v>
      </c>
      <c r="J1092" s="55"/>
    </row>
    <row r="1093" spans="1:10" ht="15" customHeight="1" x14ac:dyDescent="0.2">
      <c r="A1093" s="50">
        <f t="array" ref="A1093">+INDEX(Partidas!$A:$J,MATCH('Resultados dashboard'!$B1093,Partidas!$C:$C,0),2)</f>
        <v>45746</v>
      </c>
      <c r="B1093" s="56">
        <f>+IF(COUNTIF($B$2:B1092,B1092)=VLOOKUP(B1092,Partidas!$C:$J,8,0),B1092+1,B1092)</f>
        <v>245</v>
      </c>
      <c r="C1093" s="41" t="str">
        <f t="array" ref="C1093">+INDEX(Partidas!$A:$J,MATCH('Resultados dashboard'!$B1093,Partidas!$C:$C,0),3+COUNTIF($B$2:B1093,'Resultados dashboard'!$B1093))</f>
        <v>Ivo</v>
      </c>
      <c r="D1093" s="54">
        <v>7</v>
      </c>
      <c r="E1093" s="53"/>
      <c r="F1093" s="53"/>
      <c r="G1093" s="53"/>
      <c r="H1093" s="38">
        <f t="shared" si="10"/>
        <v>7</v>
      </c>
      <c r="I1093" s="38">
        <f t="shared" si="11"/>
        <v>3</v>
      </c>
      <c r="J1093" s="55"/>
    </row>
    <row r="1094" spans="1:10" ht="15" customHeight="1" x14ac:dyDescent="0.2">
      <c r="A1094" s="50">
        <f t="array" ref="A1094">+INDEX(Partidas!$A:$J,MATCH('Resultados dashboard'!$B1094,Partidas!$C:$C,0),2)</f>
        <v>45746</v>
      </c>
      <c r="B1094" s="56">
        <f>+IF(COUNTIF($B$2:B1093,B1093)=VLOOKUP(B1093,Partidas!$C:$J,8,0),B1093+1,B1093)</f>
        <v>245</v>
      </c>
      <c r="C1094" s="41" t="str">
        <f t="array" ref="C1094">+INDEX(Partidas!$A:$J,MATCH('Resultados dashboard'!$B1094,Partidas!$C:$C,0),3+COUNTIF($B$2:B1094,'Resultados dashboard'!$B1094))</f>
        <v>Max</v>
      </c>
      <c r="D1094" s="54">
        <v>5</v>
      </c>
      <c r="E1094" s="53"/>
      <c r="F1094" s="53"/>
      <c r="G1094" s="53"/>
      <c r="H1094" s="38">
        <f t="shared" si="10"/>
        <v>5</v>
      </c>
      <c r="I1094" s="38">
        <f t="shared" si="11"/>
        <v>5</v>
      </c>
      <c r="J1094" s="55"/>
    </row>
    <row r="1095" spans="1:10" ht="15" customHeight="1" x14ac:dyDescent="0.2">
      <c r="A1095" s="50">
        <f t="array" ref="A1095">+INDEX(Partidas!$A:$J,MATCH('Resultados dashboard'!$B1095,Partidas!$C:$C,0),2)</f>
        <v>45746</v>
      </c>
      <c r="B1095" s="56">
        <f>+IF(COUNTIF($B$2:B1094,B1094)=VLOOKUP(B1094,Partidas!$C:$J,8,0),B1094+1,B1094)</f>
        <v>245</v>
      </c>
      <c r="C1095" s="41" t="str">
        <f t="array" ref="C1095">+INDEX(Partidas!$A:$J,MATCH('Resultados dashboard'!$B1095,Partidas!$C:$C,0),3+COUNTIF($B$2:B1095,'Resultados dashboard'!$B1095))</f>
        <v>Hugo</v>
      </c>
      <c r="D1095" s="54">
        <v>7</v>
      </c>
      <c r="E1095" s="54">
        <v>1</v>
      </c>
      <c r="F1095" s="54">
        <v>1</v>
      </c>
      <c r="G1095" s="53"/>
      <c r="H1095" s="38">
        <f t="shared" si="10"/>
        <v>10</v>
      </c>
      <c r="I1095" s="38">
        <f t="shared" si="11"/>
        <v>1</v>
      </c>
      <c r="J1095" s="55"/>
    </row>
    <row r="1096" spans="1:10" ht="15" customHeight="1" x14ac:dyDescent="0.2">
      <c r="A1096" s="50">
        <f t="array" ref="A1096">+INDEX(Partidas!$A:$J,MATCH('Resultados dashboard'!$B1096,Partidas!$C:$C,0),2)</f>
        <v>45746</v>
      </c>
      <c r="B1096" s="56">
        <f>+IF(COUNTIF($B$2:B1095,B1095)=VLOOKUP(B1095,Partidas!$C:$J,8,0),B1095+1,B1095)</f>
        <v>245</v>
      </c>
      <c r="C1096" s="41" t="str">
        <f t="array" ref="C1096">+INDEX(Partidas!$A:$J,MATCH('Resultados dashboard'!$B1096,Partidas!$C:$C,0),3+COUNTIF($B$2:B1096,'Resultados dashboard'!$B1096))</f>
        <v>Moch</v>
      </c>
      <c r="D1096" s="54">
        <v>6</v>
      </c>
      <c r="E1096" s="53"/>
      <c r="F1096" s="53"/>
      <c r="G1096" s="53"/>
      <c r="H1096" s="38">
        <f t="shared" si="10"/>
        <v>6</v>
      </c>
      <c r="I1096" s="38">
        <f t="shared" si="11"/>
        <v>4</v>
      </c>
      <c r="J1096" s="55"/>
    </row>
    <row r="1097" spans="1:10" ht="15" customHeight="1" x14ac:dyDescent="0.2">
      <c r="A1097" s="50">
        <f t="array" ref="A1097">+INDEX(Partidas!$A:$J,MATCH('Resultados dashboard'!$B1097,Partidas!$C:$C,0),2)</f>
        <v>45746</v>
      </c>
      <c r="B1097" s="56">
        <f>+IF(COUNTIF($B$2:B1096,B1096)=VLOOKUP(B1096,Partidas!$C:$J,8,0),B1096+1,B1096)</f>
        <v>246</v>
      </c>
      <c r="C1097" s="41" t="str">
        <f t="array" ref="C1097">+INDEX(Partidas!$A:$J,MATCH('Resultados dashboard'!$B1097,Partidas!$C:$C,0),3+COUNTIF($B$2:B1097,'Resultados dashboard'!$B1097))</f>
        <v>Ivo</v>
      </c>
      <c r="D1097" s="54">
        <v>5</v>
      </c>
      <c r="E1097" s="54">
        <v>1</v>
      </c>
      <c r="F1097" s="53"/>
      <c r="G1097" s="54">
        <v>1</v>
      </c>
      <c r="H1097" s="38">
        <f t="shared" si="10"/>
        <v>8</v>
      </c>
      <c r="I1097" s="38">
        <f t="shared" si="11"/>
        <v>2</v>
      </c>
      <c r="J1097" s="55"/>
    </row>
    <row r="1098" spans="1:10" ht="15" customHeight="1" x14ac:dyDescent="0.2">
      <c r="A1098" s="50">
        <f t="array" ref="A1098">+INDEX(Partidas!$A:$J,MATCH('Resultados dashboard'!$B1098,Partidas!$C:$C,0),2)</f>
        <v>45746</v>
      </c>
      <c r="B1098" s="56">
        <f>+IF(COUNTIF($B$2:B1097,B1097)=VLOOKUP(B1097,Partidas!$C:$J,8,0),B1097+1,B1097)</f>
        <v>246</v>
      </c>
      <c r="C1098" s="41" t="str">
        <f t="array" ref="C1098">+INDEX(Partidas!$A:$J,MATCH('Resultados dashboard'!$B1098,Partidas!$C:$C,0),3+COUNTIF($B$2:B1098,'Resultados dashboard'!$B1098))</f>
        <v>Max</v>
      </c>
      <c r="D1098" s="54">
        <v>6</v>
      </c>
      <c r="E1098" s="54">
        <v>2</v>
      </c>
      <c r="F1098" s="54">
        <v>1</v>
      </c>
      <c r="G1098" s="53"/>
      <c r="H1098" s="38">
        <f t="shared" si="10"/>
        <v>10</v>
      </c>
      <c r="I1098" s="38">
        <f t="shared" si="11"/>
        <v>1</v>
      </c>
      <c r="J1098" s="55"/>
    </row>
    <row r="1099" spans="1:10" ht="15" customHeight="1" x14ac:dyDescent="0.2">
      <c r="A1099" s="50">
        <f t="array" ref="A1099">+INDEX(Partidas!$A:$J,MATCH('Resultados dashboard'!$B1099,Partidas!$C:$C,0),2)</f>
        <v>45746</v>
      </c>
      <c r="B1099" s="56">
        <f>+IF(COUNTIF($B$2:B1098,B1098)=VLOOKUP(B1098,Partidas!$C:$J,8,0),B1098+1,B1098)</f>
        <v>246</v>
      </c>
      <c r="C1099" s="41" t="str">
        <f t="array" ref="C1099">+INDEX(Partidas!$A:$J,MATCH('Resultados dashboard'!$B1099,Partidas!$C:$C,0),3+COUNTIF($B$2:B1099,'Resultados dashboard'!$B1099))</f>
        <v>Hugo</v>
      </c>
      <c r="D1099" s="54">
        <v>3</v>
      </c>
      <c r="E1099" s="54">
        <v>1</v>
      </c>
      <c r="F1099" s="53"/>
      <c r="G1099" s="53"/>
      <c r="H1099" s="38">
        <f t="shared" si="10"/>
        <v>4</v>
      </c>
      <c r="I1099" s="38">
        <f t="shared" si="11"/>
        <v>4</v>
      </c>
      <c r="J1099" s="55"/>
    </row>
    <row r="1100" spans="1:10" ht="15" customHeight="1" x14ac:dyDescent="0.2">
      <c r="A1100" s="50">
        <f t="array" ref="A1100">+INDEX(Partidas!$A:$J,MATCH('Resultados dashboard'!$B1100,Partidas!$C:$C,0),2)</f>
        <v>45746</v>
      </c>
      <c r="B1100" s="56">
        <f>+IF(COUNTIF($B$2:B1099,B1099)=VLOOKUP(B1099,Partidas!$C:$J,8,0),B1099+1,B1099)</f>
        <v>246</v>
      </c>
      <c r="C1100" s="41" t="str">
        <f t="array" ref="C1100">+INDEX(Partidas!$A:$J,MATCH('Resultados dashboard'!$B1100,Partidas!$C:$C,0),3+COUNTIF($B$2:B1100,'Resultados dashboard'!$B1100))</f>
        <v>Moch</v>
      </c>
      <c r="D1100" s="54">
        <v>5</v>
      </c>
      <c r="E1100" s="53"/>
      <c r="F1100" s="53"/>
      <c r="G1100" s="53"/>
      <c r="H1100" s="38">
        <f t="shared" si="10"/>
        <v>5</v>
      </c>
      <c r="I1100" s="38">
        <f t="shared" si="11"/>
        <v>3</v>
      </c>
      <c r="J1100" s="55"/>
    </row>
    <row r="1101" spans="1:10" ht="15" customHeight="1" x14ac:dyDescent="0.2">
      <c r="A1101" s="50">
        <f t="array" ref="A1101">+INDEX(Partidas!$A:$J,MATCH('Resultados dashboard'!$B1101,Partidas!$C:$C,0),2)</f>
        <v>45753</v>
      </c>
      <c r="B1101" s="56">
        <f>+IF(COUNTIF($B$2:B1100,B1100)=VLOOKUP(B1100,Partidas!$C:$J,8,0),B1100+1,B1100)</f>
        <v>247</v>
      </c>
      <c r="C1101" s="41" t="str">
        <f t="array" ref="C1101">+INDEX(Partidas!$A:$J,MATCH('Resultados dashboard'!$B1101,Partidas!$C:$C,0),3+COUNTIF($B$2:B1101,'Resultados dashboard'!$B1101))</f>
        <v>Gallo</v>
      </c>
      <c r="D1101" s="54">
        <v>8</v>
      </c>
      <c r="E1101" s="54">
        <v>1</v>
      </c>
      <c r="F1101" s="53"/>
      <c r="G1101" s="53"/>
      <c r="H1101" s="38">
        <f t="shared" si="10"/>
        <v>9</v>
      </c>
      <c r="I1101" s="38">
        <f t="shared" si="11"/>
        <v>2</v>
      </c>
      <c r="J1101" s="55"/>
    </row>
    <row r="1102" spans="1:10" ht="15" customHeight="1" x14ac:dyDescent="0.2">
      <c r="A1102" s="50">
        <f t="array" ref="A1102">+INDEX(Partidas!$A:$J,MATCH('Resultados dashboard'!$B1102,Partidas!$C:$C,0),2)</f>
        <v>45753</v>
      </c>
      <c r="B1102" s="56">
        <f>+IF(COUNTIF($B$2:B1101,B1101)=VLOOKUP(B1101,Partidas!$C:$J,8,0),B1101+1,B1101)</f>
        <v>247</v>
      </c>
      <c r="C1102" s="41" t="str">
        <f t="array" ref="C1102">+INDEX(Partidas!$A:$J,MATCH('Resultados dashboard'!$B1102,Partidas!$C:$C,0),3+COUNTIF($B$2:B1102,'Resultados dashboard'!$B1102))</f>
        <v>Ivo</v>
      </c>
      <c r="D1102" s="54">
        <v>7</v>
      </c>
      <c r="E1102" s="53"/>
      <c r="F1102" s="53"/>
      <c r="G1102" s="53"/>
      <c r="H1102" s="38">
        <f t="shared" si="10"/>
        <v>7</v>
      </c>
      <c r="I1102" s="38">
        <f t="shared" si="11"/>
        <v>6</v>
      </c>
      <c r="J1102" s="55"/>
    </row>
    <row r="1103" spans="1:10" ht="15" customHeight="1" x14ac:dyDescent="0.2">
      <c r="A1103" s="50">
        <f t="array" ref="A1103">+INDEX(Partidas!$A:$J,MATCH('Resultados dashboard'!$B1103,Partidas!$C:$C,0),2)</f>
        <v>45753</v>
      </c>
      <c r="B1103" s="56">
        <f>+IF(COUNTIF($B$2:B1102,B1102)=VLOOKUP(B1102,Partidas!$C:$J,8,0),B1102+1,B1102)</f>
        <v>247</v>
      </c>
      <c r="C1103" s="41" t="str">
        <f t="array" ref="C1103">+INDEX(Partidas!$A:$J,MATCH('Resultados dashboard'!$B1103,Partidas!$C:$C,0),3+COUNTIF($B$2:B1103,'Resultados dashboard'!$B1103))</f>
        <v>Max</v>
      </c>
      <c r="D1103" s="54">
        <v>9</v>
      </c>
      <c r="E1103" s="54">
        <v>1</v>
      </c>
      <c r="F1103" s="53"/>
      <c r="G1103" s="53"/>
      <c r="H1103" s="38">
        <f t="shared" si="10"/>
        <v>10</v>
      </c>
      <c r="I1103" s="38">
        <f t="shared" si="11"/>
        <v>1</v>
      </c>
      <c r="J1103" s="55"/>
    </row>
    <row r="1104" spans="1:10" ht="15" customHeight="1" x14ac:dyDescent="0.2">
      <c r="A1104" s="50">
        <f t="array" ref="A1104">+INDEX(Partidas!$A:$J,MATCH('Resultados dashboard'!$B1104,Partidas!$C:$C,0),2)</f>
        <v>45753</v>
      </c>
      <c r="B1104" s="56">
        <f>+IF(COUNTIF($B$2:B1103,B1103)=VLOOKUP(B1103,Partidas!$C:$J,8,0),B1103+1,B1103)</f>
        <v>247</v>
      </c>
      <c r="C1104" s="41" t="str">
        <f t="array" ref="C1104">+INDEX(Partidas!$A:$J,MATCH('Resultados dashboard'!$B1104,Partidas!$C:$C,0),3+COUNTIF($B$2:B1104,'Resultados dashboard'!$B1104))</f>
        <v>Gaspa</v>
      </c>
      <c r="D1104" s="54">
        <v>7</v>
      </c>
      <c r="E1104" s="53"/>
      <c r="F1104" s="53"/>
      <c r="G1104" s="54">
        <v>1</v>
      </c>
      <c r="H1104" s="38">
        <f t="shared" si="10"/>
        <v>9</v>
      </c>
      <c r="I1104" s="38">
        <f t="shared" si="11"/>
        <v>2</v>
      </c>
      <c r="J1104" s="55"/>
    </row>
    <row r="1105" spans="1:10" ht="15" customHeight="1" x14ac:dyDescent="0.2">
      <c r="A1105" s="50">
        <f t="array" ref="A1105">+INDEX(Partidas!$A:$J,MATCH('Resultados dashboard'!$B1105,Partidas!$C:$C,0),2)</f>
        <v>45753</v>
      </c>
      <c r="B1105" s="56">
        <f>+IF(COUNTIF($B$2:B1104,B1104)=VLOOKUP(B1104,Partidas!$C:$J,8,0),B1104+1,B1104)</f>
        <v>247</v>
      </c>
      <c r="C1105" s="41" t="str">
        <f t="array" ref="C1105">+INDEX(Partidas!$A:$J,MATCH('Resultados dashboard'!$B1105,Partidas!$C:$C,0),3+COUNTIF($B$2:B1105,'Resultados dashboard'!$B1105))</f>
        <v>Hugo</v>
      </c>
      <c r="D1105" s="54">
        <v>6</v>
      </c>
      <c r="E1105" s="53"/>
      <c r="F1105" s="54">
        <v>1</v>
      </c>
      <c r="G1105" s="53"/>
      <c r="H1105" s="38">
        <f t="shared" si="10"/>
        <v>8</v>
      </c>
      <c r="I1105" s="38">
        <f t="shared" si="11"/>
        <v>5</v>
      </c>
      <c r="J1105" s="55"/>
    </row>
    <row r="1106" spans="1:10" ht="15" customHeight="1" x14ac:dyDescent="0.2">
      <c r="A1106" s="50">
        <f t="array" ref="A1106">+INDEX(Partidas!$A:$J,MATCH('Resultados dashboard'!$B1106,Partidas!$C:$C,0),2)</f>
        <v>45753</v>
      </c>
      <c r="B1106" s="56">
        <f>+IF(COUNTIF($B$2:B1105,B1105)=VLOOKUP(B1105,Partidas!$C:$J,8,0),B1105+1,B1105)</f>
        <v>247</v>
      </c>
      <c r="C1106" s="41" t="str">
        <f t="array" ref="C1106">+INDEX(Partidas!$A:$J,MATCH('Resultados dashboard'!$B1106,Partidas!$C:$C,0),3+COUNTIF($B$2:B1106,'Resultados dashboard'!$B1106))</f>
        <v>Moch</v>
      </c>
      <c r="D1106" s="54">
        <v>8</v>
      </c>
      <c r="E1106" s="54">
        <v>1</v>
      </c>
      <c r="F1106" s="53"/>
      <c r="G1106" s="53"/>
      <c r="H1106" s="38">
        <f t="shared" si="10"/>
        <v>9</v>
      </c>
      <c r="I1106" s="38">
        <f t="shared" si="11"/>
        <v>2</v>
      </c>
      <c r="J1106" s="55"/>
    </row>
    <row r="1107" spans="1:10" ht="15" customHeight="1" x14ac:dyDescent="0.2">
      <c r="A1107" s="50">
        <f t="array" ref="A1107">+INDEX(Partidas!$A:$J,MATCH('Resultados dashboard'!$B1107,Partidas!$C:$C,0),2)</f>
        <v>45753</v>
      </c>
      <c r="B1107" s="56">
        <f>+IF(COUNTIF($B$2:B1106,B1106)=VLOOKUP(B1106,Partidas!$C:$J,8,0),B1106+1,B1106)</f>
        <v>248</v>
      </c>
      <c r="C1107" s="41" t="str">
        <f t="array" ref="C1107">+INDEX(Partidas!$A:$J,MATCH('Resultados dashboard'!$B1107,Partidas!$C:$C,0),3+COUNTIF($B$2:B1107,'Resultados dashboard'!$B1107))</f>
        <v>Gallo</v>
      </c>
      <c r="D1107" s="54">
        <v>7</v>
      </c>
      <c r="E1107" s="53"/>
      <c r="F1107" s="53"/>
      <c r="G1107" s="53"/>
      <c r="H1107" s="38">
        <f t="shared" si="10"/>
        <v>7</v>
      </c>
      <c r="I1107" s="38">
        <f t="shared" si="11"/>
        <v>4</v>
      </c>
      <c r="J1107" s="55"/>
    </row>
    <row r="1108" spans="1:10" ht="15" customHeight="1" x14ac:dyDescent="0.2">
      <c r="A1108" s="50">
        <f t="array" ref="A1108">+INDEX(Partidas!$A:$J,MATCH('Resultados dashboard'!$B1108,Partidas!$C:$C,0),2)</f>
        <v>45753</v>
      </c>
      <c r="B1108" s="56">
        <f>+IF(COUNTIF($B$2:B1107,B1107)=VLOOKUP(B1107,Partidas!$C:$J,8,0),B1107+1,B1107)</f>
        <v>248</v>
      </c>
      <c r="C1108" s="41" t="str">
        <f t="array" ref="C1108">+INDEX(Partidas!$A:$J,MATCH('Resultados dashboard'!$B1108,Partidas!$C:$C,0),3+COUNTIF($B$2:B1108,'Resultados dashboard'!$B1108))</f>
        <v>Ivo</v>
      </c>
      <c r="D1108" s="54">
        <v>7</v>
      </c>
      <c r="E1108" s="54">
        <v>1</v>
      </c>
      <c r="F1108" s="53"/>
      <c r="G1108" s="53"/>
      <c r="H1108" s="38">
        <f t="shared" si="10"/>
        <v>8</v>
      </c>
      <c r="I1108" s="38">
        <f t="shared" si="11"/>
        <v>3</v>
      </c>
      <c r="J1108" s="55"/>
    </row>
    <row r="1109" spans="1:10" ht="15" customHeight="1" x14ac:dyDescent="0.2">
      <c r="A1109" s="50">
        <f t="array" ref="A1109">+INDEX(Partidas!$A:$J,MATCH('Resultados dashboard'!$B1109,Partidas!$C:$C,0),2)</f>
        <v>45753</v>
      </c>
      <c r="B1109" s="56">
        <f>+IF(COUNTIF($B$2:B1108,B1108)=VLOOKUP(B1108,Partidas!$C:$J,8,0),B1108+1,B1108)</f>
        <v>248</v>
      </c>
      <c r="C1109" s="41" t="str">
        <f t="array" ref="C1109">+INDEX(Partidas!$A:$J,MATCH('Resultados dashboard'!$B1109,Partidas!$C:$C,0),3+COUNTIF($B$2:B1109,'Resultados dashboard'!$B1109))</f>
        <v>Max</v>
      </c>
      <c r="D1109" s="54">
        <v>7</v>
      </c>
      <c r="E1109" s="53"/>
      <c r="F1109" s="53"/>
      <c r="G1109" s="53"/>
      <c r="H1109" s="38">
        <f t="shared" si="10"/>
        <v>7</v>
      </c>
      <c r="I1109" s="38">
        <f t="shared" si="11"/>
        <v>4</v>
      </c>
      <c r="J1109" s="55"/>
    </row>
    <row r="1110" spans="1:10" ht="15" customHeight="1" x14ac:dyDescent="0.2">
      <c r="A1110" s="50">
        <f t="array" ref="A1110">+INDEX(Partidas!$A:$J,MATCH('Resultados dashboard'!$B1110,Partidas!$C:$C,0),2)</f>
        <v>45753</v>
      </c>
      <c r="B1110" s="56">
        <f>+IF(COUNTIF($B$2:B1109,B1109)=VLOOKUP(B1109,Partidas!$C:$J,8,0),B1109+1,B1109)</f>
        <v>248</v>
      </c>
      <c r="C1110" s="41" t="str">
        <f t="array" ref="C1110">+INDEX(Partidas!$A:$J,MATCH('Resultados dashboard'!$B1110,Partidas!$C:$C,0),3+COUNTIF($B$2:B1110,'Resultados dashboard'!$B1110))</f>
        <v>Gaspa</v>
      </c>
      <c r="D1110" s="54">
        <v>7</v>
      </c>
      <c r="E1110" s="54">
        <v>2</v>
      </c>
      <c r="F1110" s="53"/>
      <c r="G1110" s="54">
        <v>1</v>
      </c>
      <c r="H1110" s="38">
        <f t="shared" si="10"/>
        <v>11</v>
      </c>
      <c r="I1110" s="38">
        <f t="shared" si="11"/>
        <v>1</v>
      </c>
      <c r="J1110" s="55"/>
    </row>
    <row r="1111" spans="1:10" ht="15" customHeight="1" x14ac:dyDescent="0.2">
      <c r="A1111" s="50">
        <f t="array" ref="A1111">+INDEX(Partidas!$A:$J,MATCH('Resultados dashboard'!$B1111,Partidas!$C:$C,0),2)</f>
        <v>45753</v>
      </c>
      <c r="B1111" s="56">
        <f>+IF(COUNTIF($B$2:B1110,B1110)=VLOOKUP(B1110,Partidas!$C:$J,8,0),B1110+1,B1110)</f>
        <v>248</v>
      </c>
      <c r="C1111" s="41" t="str">
        <f t="array" ref="C1111">+INDEX(Partidas!$A:$J,MATCH('Resultados dashboard'!$B1111,Partidas!$C:$C,0),3+COUNTIF($B$2:B1111,'Resultados dashboard'!$B1111))</f>
        <v>Hugo</v>
      </c>
      <c r="D1111" s="54">
        <v>7</v>
      </c>
      <c r="E1111" s="53"/>
      <c r="F1111" s="54">
        <v>1</v>
      </c>
      <c r="G1111" s="53"/>
      <c r="H1111" s="38">
        <f t="shared" si="10"/>
        <v>9</v>
      </c>
      <c r="I1111" s="38">
        <f t="shared" si="11"/>
        <v>2</v>
      </c>
      <c r="J1111" s="55"/>
    </row>
    <row r="1112" spans="1:10" ht="15" customHeight="1" x14ac:dyDescent="0.2">
      <c r="A1112" s="50">
        <f t="array" ref="A1112">+INDEX(Partidas!$A:$J,MATCH('Resultados dashboard'!$B1112,Partidas!$C:$C,0),2)</f>
        <v>45753</v>
      </c>
      <c r="B1112" s="56">
        <f>+IF(COUNTIF($B$2:B1111,B1111)=VLOOKUP(B1111,Partidas!$C:$J,8,0),B1111+1,B1111)</f>
        <v>248</v>
      </c>
      <c r="C1112" s="41" t="str">
        <f t="array" ref="C1112">+INDEX(Partidas!$A:$J,MATCH('Resultados dashboard'!$B1112,Partidas!$C:$C,0),3+COUNTIF($B$2:B1112,'Resultados dashboard'!$B1112))</f>
        <v>Moch</v>
      </c>
      <c r="D1112" s="54">
        <v>7</v>
      </c>
      <c r="E1112" s="53"/>
      <c r="F1112" s="53"/>
      <c r="G1112" s="53"/>
      <c r="H1112" s="38">
        <f t="shared" si="10"/>
        <v>7</v>
      </c>
      <c r="I1112" s="38">
        <f t="shared" si="11"/>
        <v>4</v>
      </c>
      <c r="J1112" s="55"/>
    </row>
    <row r="1113" spans="1:10" ht="15" customHeight="1" x14ac:dyDescent="0.2">
      <c r="A1113" s="50">
        <f t="array" ref="A1113">+INDEX(Partidas!$A:$J,MATCH('Resultados dashboard'!$B1113,Partidas!$C:$C,0),2)</f>
        <v>45753</v>
      </c>
      <c r="B1113" s="56">
        <f>+IF(COUNTIF($B$2:B1112,B1112)=VLOOKUP(B1112,Partidas!$C:$J,8,0),B1112+1,B1112)</f>
        <v>249</v>
      </c>
      <c r="C1113" s="41" t="str">
        <f t="array" ref="C1113">+INDEX(Partidas!$A:$J,MATCH('Resultados dashboard'!$B1113,Partidas!$C:$C,0),3+COUNTIF($B$2:B1113,'Resultados dashboard'!$B1113))</f>
        <v>Gallo</v>
      </c>
      <c r="D1113" s="54">
        <v>5</v>
      </c>
      <c r="E1113" s="53"/>
      <c r="F1113" s="54">
        <v>1</v>
      </c>
      <c r="G1113" s="53"/>
      <c r="H1113" s="38">
        <f t="shared" si="10"/>
        <v>7</v>
      </c>
      <c r="I1113" s="38">
        <f t="shared" si="11"/>
        <v>2</v>
      </c>
      <c r="J1113" s="55"/>
    </row>
    <row r="1114" spans="1:10" ht="15" customHeight="1" x14ac:dyDescent="0.2">
      <c r="A1114" s="50">
        <f t="array" ref="A1114">+INDEX(Partidas!$A:$J,MATCH('Resultados dashboard'!$B1114,Partidas!$C:$C,0),2)</f>
        <v>45753</v>
      </c>
      <c r="B1114" s="56">
        <f>+IF(COUNTIF($B$2:B1113,B1113)=VLOOKUP(B1113,Partidas!$C:$J,8,0),B1113+1,B1113)</f>
        <v>249</v>
      </c>
      <c r="C1114" s="41" t="str">
        <f t="array" ref="C1114">+INDEX(Partidas!$A:$J,MATCH('Resultados dashboard'!$B1114,Partidas!$C:$C,0),3+COUNTIF($B$2:B1114,'Resultados dashboard'!$B1114))</f>
        <v>Ivo</v>
      </c>
      <c r="D1114" s="54">
        <v>5</v>
      </c>
      <c r="E1114" s="53"/>
      <c r="F1114" s="53"/>
      <c r="G1114" s="53"/>
      <c r="H1114" s="38">
        <f t="shared" si="10"/>
        <v>5</v>
      </c>
      <c r="I1114" s="38">
        <f t="shared" si="11"/>
        <v>6</v>
      </c>
      <c r="J1114" s="55"/>
    </row>
    <row r="1115" spans="1:10" ht="15" customHeight="1" x14ac:dyDescent="0.2">
      <c r="A1115" s="50">
        <f t="array" ref="A1115">+INDEX(Partidas!$A:$J,MATCH('Resultados dashboard'!$B1115,Partidas!$C:$C,0),2)</f>
        <v>45753</v>
      </c>
      <c r="B1115" s="56">
        <f>+IF(COUNTIF($B$2:B1114,B1114)=VLOOKUP(B1114,Partidas!$C:$J,8,0),B1114+1,B1114)</f>
        <v>249</v>
      </c>
      <c r="C1115" s="41" t="str">
        <f t="array" ref="C1115">+INDEX(Partidas!$A:$J,MATCH('Resultados dashboard'!$B1115,Partidas!$C:$C,0),3+COUNTIF($B$2:B1115,'Resultados dashboard'!$B1115))</f>
        <v>Max</v>
      </c>
      <c r="D1115" s="54">
        <v>7</v>
      </c>
      <c r="E1115" s="53"/>
      <c r="F1115" s="53"/>
      <c r="G1115" s="53"/>
      <c r="H1115" s="38">
        <f t="shared" si="10"/>
        <v>7</v>
      </c>
      <c r="I1115" s="38">
        <f t="shared" si="11"/>
        <v>2</v>
      </c>
      <c r="J1115" s="55"/>
    </row>
    <row r="1116" spans="1:10" ht="15" customHeight="1" x14ac:dyDescent="0.2">
      <c r="A1116" s="50">
        <f t="array" ref="A1116">+INDEX(Partidas!$A:$J,MATCH('Resultados dashboard'!$B1116,Partidas!$C:$C,0),2)</f>
        <v>45753</v>
      </c>
      <c r="B1116" s="56">
        <f>+IF(COUNTIF($B$2:B1115,B1115)=VLOOKUP(B1115,Partidas!$C:$J,8,0),B1115+1,B1115)</f>
        <v>249</v>
      </c>
      <c r="C1116" s="41" t="str">
        <f t="array" ref="C1116">+INDEX(Partidas!$A:$J,MATCH('Resultados dashboard'!$B1116,Partidas!$C:$C,0),3+COUNTIF($B$2:B1116,'Resultados dashboard'!$B1116))</f>
        <v>Gaspa</v>
      </c>
      <c r="D1116" s="54">
        <v>6</v>
      </c>
      <c r="E1116" s="54">
        <v>2</v>
      </c>
      <c r="F1116" s="53"/>
      <c r="G1116" s="54">
        <v>1</v>
      </c>
      <c r="H1116" s="38">
        <f t="shared" si="10"/>
        <v>10</v>
      </c>
      <c r="I1116" s="38">
        <f t="shared" si="11"/>
        <v>1</v>
      </c>
      <c r="J1116" s="55"/>
    </row>
    <row r="1117" spans="1:10" ht="15" customHeight="1" x14ac:dyDescent="0.2">
      <c r="A1117" s="50">
        <f t="array" ref="A1117">+INDEX(Partidas!$A:$J,MATCH('Resultados dashboard'!$B1117,Partidas!$C:$C,0),2)</f>
        <v>45753</v>
      </c>
      <c r="B1117" s="56">
        <f>+IF(COUNTIF($B$2:B1116,B1116)=VLOOKUP(B1116,Partidas!$C:$J,8,0),B1116+1,B1116)</f>
        <v>249</v>
      </c>
      <c r="C1117" s="41" t="str">
        <f t="array" ref="C1117">+INDEX(Partidas!$A:$J,MATCH('Resultados dashboard'!$B1117,Partidas!$C:$C,0),3+COUNTIF($B$2:B1117,'Resultados dashboard'!$B1117))</f>
        <v>Hugo</v>
      </c>
      <c r="D1117" s="54">
        <v>7</v>
      </c>
      <c r="E1117" s="53"/>
      <c r="F1117" s="53"/>
      <c r="G1117" s="53"/>
      <c r="H1117" s="38">
        <f t="shared" si="10"/>
        <v>7</v>
      </c>
      <c r="I1117" s="38">
        <f t="shared" si="11"/>
        <v>2</v>
      </c>
      <c r="J1117" s="55"/>
    </row>
    <row r="1118" spans="1:10" ht="15" customHeight="1" x14ac:dyDescent="0.2">
      <c r="A1118" s="50">
        <f t="array" ref="A1118">+INDEX(Partidas!$A:$J,MATCH('Resultados dashboard'!$B1118,Partidas!$C:$C,0),2)</f>
        <v>45753</v>
      </c>
      <c r="B1118" s="56">
        <f>+IF(COUNTIF($B$2:B1117,B1117)=VLOOKUP(B1117,Partidas!$C:$J,8,0),B1117+1,B1117)</f>
        <v>249</v>
      </c>
      <c r="C1118" s="41" t="str">
        <f t="array" ref="C1118">+INDEX(Partidas!$A:$J,MATCH('Resultados dashboard'!$B1118,Partidas!$C:$C,0),3+COUNTIF($B$2:B1118,'Resultados dashboard'!$B1118))</f>
        <v>Moch</v>
      </c>
      <c r="D1118" s="54">
        <v>4</v>
      </c>
      <c r="E1118" s="54">
        <v>2</v>
      </c>
      <c r="F1118" s="53"/>
      <c r="G1118" s="53"/>
      <c r="H1118" s="38">
        <f t="shared" si="10"/>
        <v>6</v>
      </c>
      <c r="I1118" s="38">
        <f t="shared" si="11"/>
        <v>5</v>
      </c>
      <c r="J1118" s="55"/>
    </row>
    <row r="1119" spans="1:10" ht="15" customHeight="1" x14ac:dyDescent="0.2">
      <c r="A1119" s="50">
        <f t="array" ref="A1119">+INDEX(Partidas!$A:$J,MATCH('Resultados dashboard'!$B1119,Partidas!$C:$C,0),2)</f>
        <v>45753</v>
      </c>
      <c r="B1119" s="56">
        <f>+IF(COUNTIF($B$2:B1118,B1118)=VLOOKUP(B1118,Partidas!$C:$J,8,0),B1118+1,B1118)</f>
        <v>250</v>
      </c>
      <c r="C1119" s="41" t="str">
        <f t="array" ref="C1119">+INDEX(Partidas!$A:$J,MATCH('Resultados dashboard'!$B1119,Partidas!$C:$C,0),3+COUNTIF($B$2:B1119,'Resultados dashboard'!$B1119))</f>
        <v>Gallo</v>
      </c>
      <c r="D1119" s="54">
        <v>9</v>
      </c>
      <c r="E1119" s="54">
        <v>1</v>
      </c>
      <c r="F1119" s="53"/>
      <c r="G1119" s="53"/>
      <c r="H1119" s="38">
        <f t="shared" si="10"/>
        <v>10</v>
      </c>
      <c r="I1119" s="38">
        <f t="shared" si="11"/>
        <v>1</v>
      </c>
      <c r="J1119" s="55"/>
    </row>
    <row r="1120" spans="1:10" ht="15" customHeight="1" x14ac:dyDescent="0.2">
      <c r="A1120" s="50">
        <f t="array" ref="A1120">+INDEX(Partidas!$A:$J,MATCH('Resultados dashboard'!$B1120,Partidas!$C:$C,0),2)</f>
        <v>45753</v>
      </c>
      <c r="B1120" s="56">
        <f>+IF(COUNTIF($B$2:B1119,B1119)=VLOOKUP(B1119,Partidas!$C:$J,8,0),B1119+1,B1119)</f>
        <v>250</v>
      </c>
      <c r="C1120" s="41" t="str">
        <f t="array" ref="C1120">+INDEX(Partidas!$A:$J,MATCH('Resultados dashboard'!$B1120,Partidas!$C:$C,0),3+COUNTIF($B$2:B1120,'Resultados dashboard'!$B1120))</f>
        <v>Ivo</v>
      </c>
      <c r="D1120" s="54">
        <v>5</v>
      </c>
      <c r="E1120" s="53"/>
      <c r="F1120" s="53"/>
      <c r="G1120" s="54">
        <v>1</v>
      </c>
      <c r="H1120" s="38">
        <f t="shared" si="10"/>
        <v>7</v>
      </c>
      <c r="I1120" s="38">
        <f t="shared" si="11"/>
        <v>3</v>
      </c>
      <c r="J1120" s="55"/>
    </row>
    <row r="1121" spans="1:10" ht="15" customHeight="1" x14ac:dyDescent="0.2">
      <c r="A1121" s="50">
        <f t="array" ref="A1121">+INDEX(Partidas!$A:$J,MATCH('Resultados dashboard'!$B1121,Partidas!$C:$C,0),2)</f>
        <v>45753</v>
      </c>
      <c r="B1121" s="56">
        <f>+IF(COUNTIF($B$2:B1120,B1120)=VLOOKUP(B1120,Partidas!$C:$J,8,0),B1120+1,B1120)</f>
        <v>250</v>
      </c>
      <c r="C1121" s="41" t="str">
        <f t="array" ref="C1121">+INDEX(Partidas!$A:$J,MATCH('Resultados dashboard'!$B1121,Partidas!$C:$C,0),3+COUNTIF($B$2:B1121,'Resultados dashboard'!$B1121))</f>
        <v>Max</v>
      </c>
      <c r="D1121" s="54">
        <v>4</v>
      </c>
      <c r="E1121" s="53"/>
      <c r="F1121" s="54">
        <v>1</v>
      </c>
      <c r="G1121" s="53"/>
      <c r="H1121" s="38">
        <f t="shared" si="10"/>
        <v>6</v>
      </c>
      <c r="I1121" s="38">
        <f t="shared" si="11"/>
        <v>5</v>
      </c>
      <c r="J1121" s="55"/>
    </row>
    <row r="1122" spans="1:10" ht="15" customHeight="1" x14ac:dyDescent="0.2">
      <c r="A1122" s="50">
        <f t="array" ref="A1122">+INDEX(Partidas!$A:$J,MATCH('Resultados dashboard'!$B1122,Partidas!$C:$C,0),2)</f>
        <v>45753</v>
      </c>
      <c r="B1122" s="56">
        <f>+IF(COUNTIF($B$2:B1121,B1121)=VLOOKUP(B1121,Partidas!$C:$J,8,0),B1121+1,B1121)</f>
        <v>250</v>
      </c>
      <c r="C1122" s="41" t="str">
        <f t="array" ref="C1122">+INDEX(Partidas!$A:$J,MATCH('Resultados dashboard'!$B1122,Partidas!$C:$C,0),3+COUNTIF($B$2:B1122,'Resultados dashboard'!$B1122))</f>
        <v>Gaspa</v>
      </c>
      <c r="D1122" s="54">
        <v>6</v>
      </c>
      <c r="E1122" s="53"/>
      <c r="F1122" s="53"/>
      <c r="G1122" s="53"/>
      <c r="H1122" s="38">
        <f t="shared" si="10"/>
        <v>6</v>
      </c>
      <c r="I1122" s="38">
        <f t="shared" si="11"/>
        <v>5</v>
      </c>
      <c r="J1122" s="55"/>
    </row>
    <row r="1123" spans="1:10" ht="15" customHeight="1" x14ac:dyDescent="0.2">
      <c r="A1123" s="50">
        <f t="array" ref="A1123">+INDEX(Partidas!$A:$J,MATCH('Resultados dashboard'!$B1123,Partidas!$C:$C,0),2)</f>
        <v>45753</v>
      </c>
      <c r="B1123" s="56">
        <f>+IF(COUNTIF($B$2:B1122,B1122)=VLOOKUP(B1122,Partidas!$C:$J,8,0),B1122+1,B1122)</f>
        <v>250</v>
      </c>
      <c r="C1123" s="41" t="str">
        <f t="array" ref="C1123">+INDEX(Partidas!$A:$J,MATCH('Resultados dashboard'!$B1123,Partidas!$C:$C,0),3+COUNTIF($B$2:B1123,'Resultados dashboard'!$B1123))</f>
        <v>Abegol</v>
      </c>
      <c r="D1123" s="54">
        <v>9</v>
      </c>
      <c r="E1123" s="53"/>
      <c r="F1123" s="53"/>
      <c r="G1123" s="53"/>
      <c r="H1123" s="38">
        <f t="shared" si="10"/>
        <v>9</v>
      </c>
      <c r="I1123" s="38">
        <f t="shared" si="11"/>
        <v>2</v>
      </c>
      <c r="J1123" s="55"/>
    </row>
    <row r="1124" spans="1:10" ht="15" customHeight="1" x14ac:dyDescent="0.2">
      <c r="A1124" s="50">
        <f t="array" ref="A1124">+INDEX(Partidas!$A:$J,MATCH('Resultados dashboard'!$B1124,Partidas!$C:$C,0),2)</f>
        <v>45753</v>
      </c>
      <c r="B1124" s="56">
        <f>+IF(COUNTIF($B$2:B1123,B1123)=VLOOKUP(B1123,Partidas!$C:$J,8,0),B1123+1,B1123)</f>
        <v>250</v>
      </c>
      <c r="C1124" s="41" t="str">
        <f t="array" ref="C1124">+INDEX(Partidas!$A:$J,MATCH('Resultados dashboard'!$B1124,Partidas!$C:$C,0),3+COUNTIF($B$2:B1124,'Resultados dashboard'!$B1124))</f>
        <v>Moch</v>
      </c>
      <c r="D1124" s="54">
        <v>7</v>
      </c>
      <c r="E1124" s="53"/>
      <c r="F1124" s="53"/>
      <c r="G1124" s="53"/>
      <c r="H1124" s="38">
        <f t="shared" si="10"/>
        <v>7</v>
      </c>
      <c r="I1124" s="38">
        <f t="shared" si="11"/>
        <v>3</v>
      </c>
      <c r="J1124" s="55"/>
    </row>
    <row r="1125" spans="1:10" ht="15" customHeight="1" x14ac:dyDescent="0.2">
      <c r="A1125" s="50">
        <f t="array" ref="A1125">+INDEX(Partidas!$A:$J,MATCH('Resultados dashboard'!$B1125,Partidas!$C:$C,0),2)</f>
        <v>45759</v>
      </c>
      <c r="B1125" s="56">
        <f>+IF(COUNTIF($B$2:B1124,B1124)=VLOOKUP(B1124,Partidas!$C:$J,8,0),B1124+1,B1124)</f>
        <v>251</v>
      </c>
      <c r="C1125" s="41" t="str">
        <f t="array" ref="C1125">+INDEX(Partidas!$A:$J,MATCH('Resultados dashboard'!$B1125,Partidas!$C:$C,0),3+COUNTIF($B$2:B1125,'Resultados dashboard'!$B1125))</f>
        <v>Gallo</v>
      </c>
      <c r="D1125" s="54">
        <v>7</v>
      </c>
      <c r="E1125" s="53"/>
      <c r="F1125" s="53"/>
      <c r="G1125" s="53"/>
      <c r="H1125" s="38">
        <f t="shared" si="10"/>
        <v>7</v>
      </c>
      <c r="I1125" s="38">
        <f t="shared" si="11"/>
        <v>4</v>
      </c>
      <c r="J1125" s="55"/>
    </row>
    <row r="1126" spans="1:10" ht="15" customHeight="1" x14ac:dyDescent="0.2">
      <c r="A1126" s="50">
        <f t="array" ref="A1126">+INDEX(Partidas!$A:$J,MATCH('Resultados dashboard'!$B1126,Partidas!$C:$C,0),2)</f>
        <v>45759</v>
      </c>
      <c r="B1126" s="56">
        <f>+IF(COUNTIF($B$2:B1125,B1125)=VLOOKUP(B1125,Partidas!$C:$J,8,0),B1125+1,B1125)</f>
        <v>251</v>
      </c>
      <c r="C1126" s="41" t="str">
        <f t="array" ref="C1126">+INDEX(Partidas!$A:$J,MATCH('Resultados dashboard'!$B1126,Partidas!$C:$C,0),3+COUNTIF($B$2:B1126,'Resultados dashboard'!$B1126))</f>
        <v>Ivo</v>
      </c>
      <c r="D1126" s="54">
        <v>5</v>
      </c>
      <c r="E1126" s="54">
        <v>1</v>
      </c>
      <c r="F1126" s="54">
        <v>1</v>
      </c>
      <c r="G1126" s="54">
        <v>1</v>
      </c>
      <c r="H1126" s="38">
        <f t="shared" si="10"/>
        <v>10</v>
      </c>
      <c r="I1126" s="38">
        <f t="shared" si="11"/>
        <v>1</v>
      </c>
      <c r="J1126" s="55"/>
    </row>
    <row r="1127" spans="1:10" ht="15" customHeight="1" x14ac:dyDescent="0.2">
      <c r="A1127" s="50">
        <f t="array" ref="A1127">+INDEX(Partidas!$A:$J,MATCH('Resultados dashboard'!$B1127,Partidas!$C:$C,0),2)</f>
        <v>45759</v>
      </c>
      <c r="B1127" s="56">
        <f>+IF(COUNTIF($B$2:B1126,B1126)=VLOOKUP(B1126,Partidas!$C:$J,8,0),B1126+1,B1126)</f>
        <v>251</v>
      </c>
      <c r="C1127" s="41" t="str">
        <f t="array" ref="C1127">+INDEX(Partidas!$A:$J,MATCH('Resultados dashboard'!$B1127,Partidas!$C:$C,0),3+COUNTIF($B$2:B1127,'Resultados dashboard'!$B1127))</f>
        <v>Max</v>
      </c>
      <c r="D1127" s="54">
        <v>9</v>
      </c>
      <c r="E1127" s="53"/>
      <c r="F1127" s="53"/>
      <c r="G1127" s="53"/>
      <c r="H1127" s="38">
        <f t="shared" si="10"/>
        <v>9</v>
      </c>
      <c r="I1127" s="38">
        <f t="shared" si="11"/>
        <v>2</v>
      </c>
      <c r="J1127" s="55"/>
    </row>
    <row r="1128" spans="1:10" ht="15" customHeight="1" x14ac:dyDescent="0.2">
      <c r="A1128" s="50">
        <f t="array" ref="A1128">+INDEX(Partidas!$A:$J,MATCH('Resultados dashboard'!$B1128,Partidas!$C:$C,0),2)</f>
        <v>45759</v>
      </c>
      <c r="B1128" s="56">
        <f>+IF(COUNTIF($B$2:B1127,B1127)=VLOOKUP(B1127,Partidas!$C:$J,8,0),B1127+1,B1127)</f>
        <v>251</v>
      </c>
      <c r="C1128" s="41" t="str">
        <f t="array" ref="C1128">+INDEX(Partidas!$A:$J,MATCH('Resultados dashboard'!$B1128,Partidas!$C:$C,0),3+COUNTIF($B$2:B1128,'Resultados dashboard'!$B1128))</f>
        <v>Gaspa</v>
      </c>
      <c r="D1128" s="54">
        <v>6</v>
      </c>
      <c r="E1128" s="54">
        <v>1</v>
      </c>
      <c r="F1128" s="53"/>
      <c r="G1128" s="53"/>
      <c r="H1128" s="38">
        <f t="shared" si="10"/>
        <v>7</v>
      </c>
      <c r="I1128" s="38">
        <f t="shared" si="11"/>
        <v>4</v>
      </c>
      <c r="J1128" s="55"/>
    </row>
    <row r="1129" spans="1:10" ht="15" customHeight="1" x14ac:dyDescent="0.2">
      <c r="A1129" s="50">
        <f t="array" ref="A1129">+INDEX(Partidas!$A:$J,MATCH('Resultados dashboard'!$B1129,Partidas!$C:$C,0),2)</f>
        <v>45759</v>
      </c>
      <c r="B1129" s="56">
        <f>+IF(COUNTIF($B$2:B1128,B1128)=VLOOKUP(B1128,Partidas!$C:$J,8,0),B1128+1,B1128)</f>
        <v>251</v>
      </c>
      <c r="C1129" s="41" t="str">
        <f t="array" ref="C1129">+INDEX(Partidas!$A:$J,MATCH('Resultados dashboard'!$B1129,Partidas!$C:$C,0),3+COUNTIF($B$2:B1129,'Resultados dashboard'!$B1129))</f>
        <v>Abegol</v>
      </c>
      <c r="D1129" s="54">
        <v>8</v>
      </c>
      <c r="E1129" s="53"/>
      <c r="F1129" s="53"/>
      <c r="G1129" s="53"/>
      <c r="H1129" s="38">
        <f t="shared" si="10"/>
        <v>8</v>
      </c>
      <c r="I1129" s="38">
        <f t="shared" si="11"/>
        <v>3</v>
      </c>
      <c r="J1129" s="55"/>
    </row>
    <row r="1130" spans="1:10" ht="15" customHeight="1" x14ac:dyDescent="0.2">
      <c r="A1130" s="50">
        <f t="array" ref="A1130">+INDEX(Partidas!$A:$J,MATCH('Resultados dashboard'!$B1130,Partidas!$C:$C,0),2)</f>
        <v>45759</v>
      </c>
      <c r="B1130" s="56">
        <f>+IF(COUNTIF($B$2:B1129,B1129)=VLOOKUP(B1129,Partidas!$C:$J,8,0),B1129+1,B1129)</f>
        <v>252</v>
      </c>
      <c r="C1130" s="41" t="str">
        <f t="array" ref="C1130">+INDEX(Partidas!$A:$J,MATCH('Resultados dashboard'!$B1130,Partidas!$C:$C,0),3+COUNTIF($B$2:B1130,'Resultados dashboard'!$B1130))</f>
        <v>Gallo</v>
      </c>
      <c r="D1130" s="54">
        <v>8</v>
      </c>
      <c r="E1130" s="53"/>
      <c r="F1130" s="53"/>
      <c r="G1130" s="54">
        <v>1</v>
      </c>
      <c r="H1130" s="38">
        <f t="shared" si="10"/>
        <v>10</v>
      </c>
      <c r="I1130" s="38">
        <f t="shared" si="11"/>
        <v>1</v>
      </c>
      <c r="J1130" s="55"/>
    </row>
    <row r="1131" spans="1:10" ht="15" customHeight="1" x14ac:dyDescent="0.2">
      <c r="A1131" s="50">
        <f t="array" ref="A1131">+INDEX(Partidas!$A:$J,MATCH('Resultados dashboard'!$B1131,Partidas!$C:$C,0),2)</f>
        <v>45759</v>
      </c>
      <c r="B1131" s="56">
        <f>+IF(COUNTIF($B$2:B1130,B1130)=VLOOKUP(B1130,Partidas!$C:$J,8,0),B1130+1,B1130)</f>
        <v>252</v>
      </c>
      <c r="C1131" s="41" t="str">
        <f t="array" ref="C1131">+INDEX(Partidas!$A:$J,MATCH('Resultados dashboard'!$B1131,Partidas!$C:$C,0),3+COUNTIF($B$2:B1131,'Resultados dashboard'!$B1131))</f>
        <v>Ivo</v>
      </c>
      <c r="D1131" s="54">
        <v>5</v>
      </c>
      <c r="E1131" s="53"/>
      <c r="F1131" s="53"/>
      <c r="G1131" s="53"/>
      <c r="H1131" s="38">
        <f t="shared" si="10"/>
        <v>5</v>
      </c>
      <c r="I1131" s="38">
        <f t="shared" si="11"/>
        <v>4</v>
      </c>
      <c r="J1131" s="55"/>
    </row>
    <row r="1132" spans="1:10" ht="15" customHeight="1" x14ac:dyDescent="0.2">
      <c r="A1132" s="50">
        <f t="array" ref="A1132">+INDEX(Partidas!$A:$J,MATCH('Resultados dashboard'!$B1132,Partidas!$C:$C,0),2)</f>
        <v>45759</v>
      </c>
      <c r="B1132" s="56">
        <f>+IF(COUNTIF($B$2:B1131,B1131)=VLOOKUP(B1131,Partidas!$C:$J,8,0),B1131+1,B1131)</f>
        <v>252</v>
      </c>
      <c r="C1132" s="41" t="str">
        <f t="array" ref="C1132">+INDEX(Partidas!$A:$J,MATCH('Resultados dashboard'!$B1132,Partidas!$C:$C,0),3+COUNTIF($B$2:B1132,'Resultados dashboard'!$B1132))</f>
        <v>Max</v>
      </c>
      <c r="D1132" s="54">
        <v>6</v>
      </c>
      <c r="E1132" s="53"/>
      <c r="F1132" s="53"/>
      <c r="G1132" s="53"/>
      <c r="H1132" s="38">
        <f t="shared" si="10"/>
        <v>6</v>
      </c>
      <c r="I1132" s="38">
        <f t="shared" si="11"/>
        <v>2</v>
      </c>
      <c r="J1132" s="55"/>
    </row>
    <row r="1133" spans="1:10" ht="15" customHeight="1" x14ac:dyDescent="0.2">
      <c r="A1133" s="50">
        <f t="array" ref="A1133">+INDEX(Partidas!$A:$J,MATCH('Resultados dashboard'!$B1133,Partidas!$C:$C,0),2)</f>
        <v>45759</v>
      </c>
      <c r="B1133" s="56">
        <f>+IF(COUNTIF($B$2:B1132,B1132)=VLOOKUP(B1132,Partidas!$C:$J,8,0),B1132+1,B1132)</f>
        <v>252</v>
      </c>
      <c r="C1133" s="41" t="str">
        <f t="array" ref="C1133">+INDEX(Partidas!$A:$J,MATCH('Resultados dashboard'!$B1133,Partidas!$C:$C,0),3+COUNTIF($B$2:B1133,'Resultados dashboard'!$B1133))</f>
        <v>Gaspa</v>
      </c>
      <c r="D1133" s="54">
        <v>5</v>
      </c>
      <c r="E1133" s="53"/>
      <c r="F1133" s="53"/>
      <c r="G1133" s="53"/>
      <c r="H1133" s="38">
        <f t="shared" si="10"/>
        <v>5</v>
      </c>
      <c r="I1133" s="38">
        <f t="shared" si="11"/>
        <v>4</v>
      </c>
      <c r="J1133" s="55"/>
    </row>
    <row r="1134" spans="1:10" ht="15" customHeight="1" x14ac:dyDescent="0.2">
      <c r="A1134" s="50">
        <f t="array" ref="A1134">+INDEX(Partidas!$A:$J,MATCH('Resultados dashboard'!$B1134,Partidas!$C:$C,0),2)</f>
        <v>45759</v>
      </c>
      <c r="B1134" s="56">
        <f>+IF(COUNTIF($B$2:B1133,B1133)=VLOOKUP(B1133,Partidas!$C:$J,8,0),B1133+1,B1133)</f>
        <v>252</v>
      </c>
      <c r="C1134" s="41" t="str">
        <f t="array" ref="C1134">+INDEX(Partidas!$A:$J,MATCH('Resultados dashboard'!$B1134,Partidas!$C:$C,0),3+COUNTIF($B$2:B1134,'Resultados dashboard'!$B1134))</f>
        <v>Abegol</v>
      </c>
      <c r="D1134" s="54">
        <v>6</v>
      </c>
      <c r="E1134" s="53"/>
      <c r="F1134" s="53"/>
      <c r="G1134" s="53"/>
      <c r="H1134" s="38">
        <f t="shared" si="10"/>
        <v>6</v>
      </c>
      <c r="I1134" s="38">
        <f t="shared" si="11"/>
        <v>2</v>
      </c>
      <c r="J1134" s="55"/>
    </row>
    <row r="1135" spans="1:10" ht="15" customHeight="1" x14ac:dyDescent="0.2">
      <c r="A1135" s="50">
        <f t="array" ref="A1135">+INDEX(Partidas!$A:$J,MATCH('Resultados dashboard'!$B1135,Partidas!$C:$C,0),2)</f>
        <v>45759</v>
      </c>
      <c r="B1135" s="56">
        <f>+IF(COUNTIF($B$2:B1134,B1134)=VLOOKUP(B1134,Partidas!$C:$J,8,0),B1134+1,B1134)</f>
        <v>253</v>
      </c>
      <c r="C1135" s="41" t="str">
        <f t="array" ref="C1135">+INDEX(Partidas!$A:$J,MATCH('Resultados dashboard'!$B1135,Partidas!$C:$C,0),3+COUNTIF($B$2:B1135,'Resultados dashboard'!$B1135))</f>
        <v>Gallo</v>
      </c>
      <c r="D1135" s="54">
        <v>5</v>
      </c>
      <c r="E1135" s="53"/>
      <c r="F1135" s="53"/>
      <c r="G1135" s="53"/>
      <c r="H1135" s="38">
        <f t="shared" si="10"/>
        <v>5</v>
      </c>
      <c r="I1135" s="38">
        <f t="shared" si="11"/>
        <v>3</v>
      </c>
      <c r="J1135" s="55"/>
    </row>
    <row r="1136" spans="1:10" ht="15" customHeight="1" x14ac:dyDescent="0.2">
      <c r="A1136" s="50">
        <f t="array" ref="A1136">+INDEX(Partidas!$A:$J,MATCH('Resultados dashboard'!$B1136,Partidas!$C:$C,0),2)</f>
        <v>45759</v>
      </c>
      <c r="B1136" s="56">
        <f>+IF(COUNTIF($B$2:B1135,B1135)=VLOOKUP(B1135,Partidas!$C:$J,8,0),B1135+1,B1135)</f>
        <v>253</v>
      </c>
      <c r="C1136" s="41" t="str">
        <f t="array" ref="C1136">+INDEX(Partidas!$A:$J,MATCH('Resultados dashboard'!$B1136,Partidas!$C:$C,0),3+COUNTIF($B$2:B1136,'Resultados dashboard'!$B1136))</f>
        <v>Ivo</v>
      </c>
      <c r="D1136" s="54">
        <v>5</v>
      </c>
      <c r="E1136" s="53"/>
      <c r="F1136" s="53"/>
      <c r="G1136" s="53"/>
      <c r="H1136" s="38">
        <f t="shared" si="10"/>
        <v>5</v>
      </c>
      <c r="I1136" s="38">
        <f t="shared" si="11"/>
        <v>3</v>
      </c>
      <c r="J1136" s="55"/>
    </row>
    <row r="1137" spans="1:10" ht="15" customHeight="1" x14ac:dyDescent="0.2">
      <c r="A1137" s="50">
        <f t="array" ref="A1137">+INDEX(Partidas!$A:$J,MATCH('Resultados dashboard'!$B1137,Partidas!$C:$C,0),2)</f>
        <v>45759</v>
      </c>
      <c r="B1137" s="56">
        <f>+IF(COUNTIF($B$2:B1136,B1136)=VLOOKUP(B1136,Partidas!$C:$J,8,0),B1136+1,B1136)</f>
        <v>253</v>
      </c>
      <c r="C1137" s="41" t="str">
        <f t="array" ref="C1137">+INDEX(Partidas!$A:$J,MATCH('Resultados dashboard'!$B1137,Partidas!$C:$C,0),3+COUNTIF($B$2:B1137,'Resultados dashboard'!$B1137))</f>
        <v>Max</v>
      </c>
      <c r="D1137" s="54">
        <v>5</v>
      </c>
      <c r="E1137" s="54">
        <v>1</v>
      </c>
      <c r="F1137" s="54">
        <v>1</v>
      </c>
      <c r="G1137" s="54">
        <v>1</v>
      </c>
      <c r="H1137" s="38">
        <f t="shared" si="10"/>
        <v>10</v>
      </c>
      <c r="I1137" s="38">
        <f t="shared" si="11"/>
        <v>1</v>
      </c>
      <c r="J1137" s="55"/>
    </row>
    <row r="1138" spans="1:10" ht="15" customHeight="1" x14ac:dyDescent="0.2">
      <c r="A1138" s="50">
        <f t="array" ref="A1138">+INDEX(Partidas!$A:$J,MATCH('Resultados dashboard'!$B1138,Partidas!$C:$C,0),2)</f>
        <v>45759</v>
      </c>
      <c r="B1138" s="56">
        <f>+IF(COUNTIF($B$2:B1137,B1137)=VLOOKUP(B1137,Partidas!$C:$J,8,0),B1137+1,B1137)</f>
        <v>253</v>
      </c>
      <c r="C1138" s="41" t="str">
        <f t="array" ref="C1138">+INDEX(Partidas!$A:$J,MATCH('Resultados dashboard'!$B1138,Partidas!$C:$C,0),3+COUNTIF($B$2:B1138,'Resultados dashboard'!$B1138))</f>
        <v>Abegol</v>
      </c>
      <c r="D1138" s="54">
        <v>7</v>
      </c>
      <c r="E1138" s="53"/>
      <c r="F1138" s="53"/>
      <c r="G1138" s="53"/>
      <c r="H1138" s="38">
        <f t="shared" si="10"/>
        <v>7</v>
      </c>
      <c r="I1138" s="38">
        <f t="shared" si="11"/>
        <v>2</v>
      </c>
      <c r="J1138" s="55"/>
    </row>
    <row r="1139" spans="1:10" ht="15" customHeight="1" x14ac:dyDescent="0.2">
      <c r="A1139" s="50">
        <f t="array" ref="A1139">+INDEX(Partidas!$A:$J,MATCH('Resultados dashboard'!$B1139,Partidas!$C:$C,0),2)</f>
        <v>45759</v>
      </c>
      <c r="B1139" s="56">
        <f>+IF(COUNTIF($B$2:B1138,B1138)=VLOOKUP(B1138,Partidas!$C:$J,8,0),B1138+1,B1138)</f>
        <v>254</v>
      </c>
      <c r="C1139" s="41" t="str">
        <f t="array" ref="C1139">+INDEX(Partidas!$A:$J,MATCH('Resultados dashboard'!$B1139,Partidas!$C:$C,0),3+COUNTIF($B$2:B1139,'Resultados dashboard'!$B1139))</f>
        <v>Gallo</v>
      </c>
      <c r="D1139" s="54">
        <v>6</v>
      </c>
      <c r="E1139" s="54">
        <v>2</v>
      </c>
      <c r="F1139" s="54">
        <v>1</v>
      </c>
      <c r="G1139" s="53"/>
      <c r="H1139" s="38">
        <f t="shared" si="10"/>
        <v>10</v>
      </c>
      <c r="I1139" s="38">
        <f t="shared" si="11"/>
        <v>1</v>
      </c>
      <c r="J1139" s="55"/>
    </row>
    <row r="1140" spans="1:10" ht="15" customHeight="1" x14ac:dyDescent="0.2">
      <c r="A1140" s="50">
        <f t="array" ref="A1140">+INDEX(Partidas!$A:$J,MATCH('Resultados dashboard'!$B1140,Partidas!$C:$C,0),2)</f>
        <v>45759</v>
      </c>
      <c r="B1140" s="56">
        <f>+IF(COUNTIF($B$2:B1139,B1139)=VLOOKUP(B1139,Partidas!$C:$J,8,0),B1139+1,B1139)</f>
        <v>254</v>
      </c>
      <c r="C1140" s="41" t="str">
        <f t="array" ref="C1140">+INDEX(Partidas!$A:$J,MATCH('Resultados dashboard'!$B1140,Partidas!$C:$C,0),3+COUNTIF($B$2:B1140,'Resultados dashboard'!$B1140))</f>
        <v>Ivo</v>
      </c>
      <c r="D1140" s="54">
        <v>4</v>
      </c>
      <c r="E1140" s="53"/>
      <c r="F1140" s="53"/>
      <c r="G1140" s="53"/>
      <c r="H1140" s="38">
        <f t="shared" si="10"/>
        <v>4</v>
      </c>
      <c r="I1140" s="38">
        <f t="shared" si="11"/>
        <v>3</v>
      </c>
      <c r="J1140" s="55"/>
    </row>
    <row r="1141" spans="1:10" ht="15" customHeight="1" x14ac:dyDescent="0.2">
      <c r="A1141" s="50">
        <f t="array" ref="A1141">+INDEX(Partidas!$A:$J,MATCH('Resultados dashboard'!$B1141,Partidas!$C:$C,0),2)</f>
        <v>45759</v>
      </c>
      <c r="B1141" s="56">
        <f>+IF(COUNTIF($B$2:B1140,B1140)=VLOOKUP(B1140,Partidas!$C:$J,8,0),B1140+1,B1140)</f>
        <v>254</v>
      </c>
      <c r="C1141" s="41" t="str">
        <f t="array" ref="C1141">+INDEX(Partidas!$A:$J,MATCH('Resultados dashboard'!$B1141,Partidas!$C:$C,0),3+COUNTIF($B$2:B1141,'Resultados dashboard'!$B1141))</f>
        <v>Max</v>
      </c>
      <c r="D1141" s="54">
        <v>3</v>
      </c>
      <c r="E1141" s="54">
        <v>1</v>
      </c>
      <c r="F1141" s="53"/>
      <c r="G1141" s="53"/>
      <c r="H1141" s="38">
        <f t="shared" si="10"/>
        <v>4</v>
      </c>
      <c r="I1141" s="38">
        <f t="shared" si="11"/>
        <v>3</v>
      </c>
      <c r="J1141" s="55"/>
    </row>
    <row r="1142" spans="1:10" ht="15" customHeight="1" x14ac:dyDescent="0.2">
      <c r="A1142" s="50">
        <f t="array" ref="A1142">+INDEX(Partidas!$A:$J,MATCH('Resultados dashboard'!$B1142,Partidas!$C:$C,0),2)</f>
        <v>45759</v>
      </c>
      <c r="B1142" s="56">
        <f>+IF(COUNTIF($B$2:B1141,B1141)=VLOOKUP(B1141,Partidas!$C:$J,8,0),B1141+1,B1141)</f>
        <v>254</v>
      </c>
      <c r="C1142" s="41" t="str">
        <f t="array" ref="C1142">+INDEX(Partidas!$A:$J,MATCH('Resultados dashboard'!$B1142,Partidas!$C:$C,0),3+COUNTIF($B$2:B1142,'Resultados dashboard'!$B1142))</f>
        <v>Abegol</v>
      </c>
      <c r="D1142" s="54">
        <v>3</v>
      </c>
      <c r="E1142" s="53"/>
      <c r="F1142" s="53"/>
      <c r="G1142" s="53"/>
      <c r="H1142" s="38">
        <f t="shared" si="10"/>
        <v>3</v>
      </c>
      <c r="I1142" s="38">
        <f t="shared" si="11"/>
        <v>5</v>
      </c>
      <c r="J1142" s="55"/>
    </row>
    <row r="1143" spans="1:10" ht="15" customHeight="1" x14ac:dyDescent="0.2">
      <c r="A1143" s="50">
        <f t="array" ref="A1143">+INDEX(Partidas!$A:$J,MATCH('Resultados dashboard'!$B1143,Partidas!$C:$C,0),2)</f>
        <v>45759</v>
      </c>
      <c r="B1143" s="56">
        <f>+IF(COUNTIF($B$2:B1142,B1142)=VLOOKUP(B1142,Partidas!$C:$J,8,0),B1142+1,B1142)</f>
        <v>254</v>
      </c>
      <c r="C1143" s="41" t="str">
        <f t="array" ref="C1143">+INDEX(Partidas!$A:$J,MATCH('Resultados dashboard'!$B1143,Partidas!$C:$C,0),3+COUNTIF($B$2:B1143,'Resultados dashboard'!$B1143))</f>
        <v>Moch</v>
      </c>
      <c r="D1143" s="54">
        <v>7</v>
      </c>
      <c r="E1143" s="53"/>
      <c r="F1143" s="53"/>
      <c r="G1143" s="54">
        <v>1</v>
      </c>
      <c r="H1143" s="38">
        <f t="shared" si="10"/>
        <v>9</v>
      </c>
      <c r="I1143" s="38">
        <f t="shared" si="11"/>
        <v>2</v>
      </c>
      <c r="J1143" s="55"/>
    </row>
    <row r="1144" spans="1:10" ht="15" customHeight="1" x14ac:dyDescent="0.2">
      <c r="A1144" s="50">
        <f t="array" ref="A1144">+INDEX(Partidas!$A:$J,MATCH('Resultados dashboard'!$B1144,Partidas!$C:$C,0),2)</f>
        <v>45766</v>
      </c>
      <c r="B1144" s="56">
        <f>+IF(COUNTIF($B$2:B1143,B1143)=VLOOKUP(B1143,Partidas!$C:$J,8,0),B1143+1,B1143)</f>
        <v>255</v>
      </c>
      <c r="C1144" s="41" t="str">
        <f t="array" ref="C1144">+INDEX(Partidas!$A:$J,MATCH('Resultados dashboard'!$B1144,Partidas!$C:$C,0),3+COUNTIF($B$2:B1144,'Resultados dashboard'!$B1144))</f>
        <v>Gallo</v>
      </c>
      <c r="D1144" s="54">
        <v>9</v>
      </c>
      <c r="E1144" s="54">
        <v>1</v>
      </c>
      <c r="F1144" s="53"/>
      <c r="G1144" s="53"/>
      <c r="H1144" s="38">
        <f t="shared" si="10"/>
        <v>10</v>
      </c>
      <c r="I1144" s="38">
        <f t="shared" si="11"/>
        <v>1</v>
      </c>
      <c r="J1144" s="55"/>
    </row>
    <row r="1145" spans="1:10" ht="15" customHeight="1" x14ac:dyDescent="0.2">
      <c r="A1145" s="50">
        <f t="array" ref="A1145">+INDEX(Partidas!$A:$J,MATCH('Resultados dashboard'!$B1145,Partidas!$C:$C,0),2)</f>
        <v>45766</v>
      </c>
      <c r="B1145" s="56">
        <f>+IF(COUNTIF($B$2:B1144,B1144)=VLOOKUP(B1144,Partidas!$C:$J,8,0),B1144+1,B1144)</f>
        <v>255</v>
      </c>
      <c r="C1145" s="41" t="str">
        <f t="array" ref="C1145">+INDEX(Partidas!$A:$J,MATCH('Resultados dashboard'!$B1145,Partidas!$C:$C,0),3+COUNTIF($B$2:B1145,'Resultados dashboard'!$B1145))</f>
        <v>Ivo</v>
      </c>
      <c r="D1145" s="54">
        <v>4</v>
      </c>
      <c r="E1145" s="54">
        <v>1</v>
      </c>
      <c r="F1145" s="53"/>
      <c r="G1145" s="53"/>
      <c r="H1145" s="38">
        <f t="shared" si="10"/>
        <v>5</v>
      </c>
      <c r="I1145" s="38">
        <f t="shared" si="11"/>
        <v>5</v>
      </c>
      <c r="J1145" s="55"/>
    </row>
    <row r="1146" spans="1:10" ht="15" customHeight="1" x14ac:dyDescent="0.2">
      <c r="A1146" s="50">
        <f t="array" ref="A1146">+INDEX(Partidas!$A:$J,MATCH('Resultados dashboard'!$B1146,Partidas!$C:$C,0),2)</f>
        <v>45766</v>
      </c>
      <c r="B1146" s="56">
        <f>+IF(COUNTIF($B$2:B1145,B1145)=VLOOKUP(B1145,Partidas!$C:$J,8,0),B1145+1,B1145)</f>
        <v>255</v>
      </c>
      <c r="C1146" s="41" t="str">
        <f t="array" ref="C1146">+INDEX(Partidas!$A:$J,MATCH('Resultados dashboard'!$B1146,Partidas!$C:$C,0),3+COUNTIF($B$2:B1146,'Resultados dashboard'!$B1146))</f>
        <v>Gaspa</v>
      </c>
      <c r="D1146" s="54">
        <v>8</v>
      </c>
      <c r="E1146" s="53"/>
      <c r="F1146" s="53"/>
      <c r="G1146" s="53"/>
      <c r="H1146" s="38">
        <f t="shared" si="10"/>
        <v>8</v>
      </c>
      <c r="I1146" s="38">
        <f t="shared" si="11"/>
        <v>2</v>
      </c>
      <c r="J1146" s="55"/>
    </row>
    <row r="1147" spans="1:10" ht="15" customHeight="1" x14ac:dyDescent="0.2">
      <c r="A1147" s="50">
        <f t="array" ref="A1147">+INDEX(Partidas!$A:$J,MATCH('Resultados dashboard'!$B1147,Partidas!$C:$C,0),2)</f>
        <v>45766</v>
      </c>
      <c r="B1147" s="56">
        <f>+IF(COUNTIF($B$2:B1146,B1146)=VLOOKUP(B1146,Partidas!$C:$J,8,0),B1146+1,B1146)</f>
        <v>255</v>
      </c>
      <c r="C1147" s="41" t="str">
        <f t="array" ref="C1147">+INDEX(Partidas!$A:$J,MATCH('Resultados dashboard'!$B1147,Partidas!$C:$C,0),3+COUNTIF($B$2:B1147,'Resultados dashboard'!$B1147))</f>
        <v>Abegol</v>
      </c>
      <c r="D1147" s="54">
        <v>3</v>
      </c>
      <c r="E1147" s="53"/>
      <c r="F1147" s="53"/>
      <c r="G1147" s="53"/>
      <c r="H1147" s="38">
        <f t="shared" si="10"/>
        <v>3</v>
      </c>
      <c r="I1147" s="38">
        <f t="shared" si="11"/>
        <v>6</v>
      </c>
      <c r="J1147" s="55"/>
    </row>
    <row r="1148" spans="1:10" ht="15" customHeight="1" x14ac:dyDescent="0.2">
      <c r="A1148" s="50">
        <f t="array" ref="A1148">+INDEX(Partidas!$A:$J,MATCH('Resultados dashboard'!$B1148,Partidas!$C:$C,0),2)</f>
        <v>45766</v>
      </c>
      <c r="B1148" s="56">
        <f>+IF(COUNTIF($B$2:B1147,B1147)=VLOOKUP(B1147,Partidas!$C:$J,8,0),B1147+1,B1147)</f>
        <v>255</v>
      </c>
      <c r="C1148" s="41" t="str">
        <f t="array" ref="C1148">+INDEX(Partidas!$A:$J,MATCH('Resultados dashboard'!$B1148,Partidas!$C:$C,0),3+COUNTIF($B$2:B1148,'Resultados dashboard'!$B1148))</f>
        <v>Gasta</v>
      </c>
      <c r="D1148" s="54">
        <v>4</v>
      </c>
      <c r="E1148" s="53"/>
      <c r="F1148" s="53"/>
      <c r="G1148" s="54">
        <v>1</v>
      </c>
      <c r="H1148" s="38">
        <f t="shared" si="10"/>
        <v>6</v>
      </c>
      <c r="I1148" s="38">
        <f t="shared" si="11"/>
        <v>4</v>
      </c>
      <c r="J1148" s="55"/>
    </row>
    <row r="1149" spans="1:10" ht="15" customHeight="1" x14ac:dyDescent="0.2">
      <c r="A1149" s="50">
        <f t="array" ref="A1149">+INDEX(Partidas!$A:$J,MATCH('Resultados dashboard'!$B1149,Partidas!$C:$C,0),2)</f>
        <v>45766</v>
      </c>
      <c r="B1149" s="56">
        <f>+IF(COUNTIF($B$2:B1148,B1148)=VLOOKUP(B1148,Partidas!$C:$J,8,0),B1148+1,B1148)</f>
        <v>255</v>
      </c>
      <c r="C1149" s="41" t="str">
        <f t="array" ref="C1149">+INDEX(Partidas!$A:$J,MATCH('Resultados dashboard'!$B1149,Partidas!$C:$C,0),3+COUNTIF($B$2:B1149,'Resultados dashboard'!$B1149))</f>
        <v>Moch</v>
      </c>
      <c r="D1149" s="54">
        <v>7</v>
      </c>
      <c r="E1149" s="53"/>
      <c r="F1149" s="53"/>
      <c r="G1149" s="53"/>
      <c r="H1149" s="38">
        <f t="shared" si="10"/>
        <v>7</v>
      </c>
      <c r="I1149" s="38">
        <f t="shared" si="11"/>
        <v>3</v>
      </c>
      <c r="J1149" s="55"/>
    </row>
    <row r="1150" spans="1:10" ht="15" customHeight="1" x14ac:dyDescent="0.2">
      <c r="A1150" s="50">
        <f t="array" ref="A1150">+INDEX(Partidas!$A:$J,MATCH('Resultados dashboard'!$B1150,Partidas!$C:$C,0),2)</f>
        <v>45766</v>
      </c>
      <c r="B1150" s="56">
        <f>+IF(COUNTIF($B$2:B1149,B1149)=VLOOKUP(B1149,Partidas!$C:$J,8,0),B1149+1,B1149)</f>
        <v>256</v>
      </c>
      <c r="C1150" s="41" t="str">
        <f t="array" ref="C1150">+INDEX(Partidas!$A:$J,MATCH('Resultados dashboard'!$B1150,Partidas!$C:$C,0),3+COUNTIF($B$2:B1150,'Resultados dashboard'!$B1150))</f>
        <v>Gallo</v>
      </c>
      <c r="D1150" s="54">
        <v>8</v>
      </c>
      <c r="E1150" s="53"/>
      <c r="F1150" s="53"/>
      <c r="G1150" s="53"/>
      <c r="H1150" s="38">
        <f t="shared" si="10"/>
        <v>8</v>
      </c>
      <c r="I1150" s="38">
        <f t="shared" si="11"/>
        <v>2</v>
      </c>
      <c r="J1150" s="55"/>
    </row>
    <row r="1151" spans="1:10" ht="15" customHeight="1" x14ac:dyDescent="0.2">
      <c r="A1151" s="50">
        <f t="array" ref="A1151">+INDEX(Partidas!$A:$J,MATCH('Resultados dashboard'!$B1151,Partidas!$C:$C,0),2)</f>
        <v>45766</v>
      </c>
      <c r="B1151" s="56">
        <f>+IF(COUNTIF($B$2:B1150,B1150)=VLOOKUP(B1150,Partidas!$C:$J,8,0),B1150+1,B1150)</f>
        <v>256</v>
      </c>
      <c r="C1151" s="41" t="str">
        <f t="array" ref="C1151">+INDEX(Partidas!$A:$J,MATCH('Resultados dashboard'!$B1151,Partidas!$C:$C,0),3+COUNTIF($B$2:B1151,'Resultados dashboard'!$B1151))</f>
        <v>Ivo</v>
      </c>
      <c r="D1151" s="54">
        <v>8</v>
      </c>
      <c r="E1151" s="53"/>
      <c r="F1151" s="53"/>
      <c r="G1151" s="54">
        <v>1</v>
      </c>
      <c r="H1151" s="38">
        <f t="shared" si="10"/>
        <v>10</v>
      </c>
      <c r="I1151" s="38">
        <f t="shared" si="11"/>
        <v>1</v>
      </c>
      <c r="J1151" s="55"/>
    </row>
    <row r="1152" spans="1:10" ht="15" customHeight="1" x14ac:dyDescent="0.2">
      <c r="A1152" s="50">
        <f t="array" ref="A1152">+INDEX(Partidas!$A:$J,MATCH('Resultados dashboard'!$B1152,Partidas!$C:$C,0),2)</f>
        <v>45766</v>
      </c>
      <c r="B1152" s="56">
        <f>+IF(COUNTIF($B$2:B1151,B1151)=VLOOKUP(B1151,Partidas!$C:$J,8,0),B1151+1,B1151)</f>
        <v>256</v>
      </c>
      <c r="C1152" s="41" t="str">
        <f t="array" ref="C1152">+INDEX(Partidas!$A:$J,MATCH('Resultados dashboard'!$B1152,Partidas!$C:$C,0),3+COUNTIF($B$2:B1152,'Resultados dashboard'!$B1152))</f>
        <v>Gaspa</v>
      </c>
      <c r="D1152" s="54">
        <v>7</v>
      </c>
      <c r="E1152" s="53"/>
      <c r="F1152" s="53"/>
      <c r="G1152" s="53"/>
      <c r="H1152" s="38">
        <f t="shared" si="10"/>
        <v>7</v>
      </c>
      <c r="I1152" s="38">
        <f t="shared" si="11"/>
        <v>4</v>
      </c>
      <c r="J1152" s="55"/>
    </row>
    <row r="1153" spans="1:10" ht="15" customHeight="1" x14ac:dyDescent="0.2">
      <c r="A1153" s="50">
        <f t="array" ref="A1153">+INDEX(Partidas!$A:$J,MATCH('Resultados dashboard'!$B1153,Partidas!$C:$C,0),2)</f>
        <v>45766</v>
      </c>
      <c r="B1153" s="56">
        <f>+IF(COUNTIF($B$2:B1152,B1152)=VLOOKUP(B1152,Partidas!$C:$J,8,0),B1152+1,B1152)</f>
        <v>256</v>
      </c>
      <c r="C1153" s="41" t="str">
        <f t="array" ref="C1153">+INDEX(Partidas!$A:$J,MATCH('Resultados dashboard'!$B1153,Partidas!$C:$C,0),3+COUNTIF($B$2:B1153,'Resultados dashboard'!$B1153))</f>
        <v>Abegol</v>
      </c>
      <c r="D1153" s="54">
        <v>5</v>
      </c>
      <c r="E1153" s="54">
        <v>1</v>
      </c>
      <c r="F1153" s="53"/>
      <c r="G1153" s="53"/>
      <c r="H1153" s="38">
        <f t="shared" si="10"/>
        <v>6</v>
      </c>
      <c r="I1153" s="38">
        <f t="shared" si="11"/>
        <v>5</v>
      </c>
      <c r="J1153" s="55"/>
    </row>
    <row r="1154" spans="1:10" ht="15" customHeight="1" x14ac:dyDescent="0.2">
      <c r="A1154" s="50">
        <f t="array" ref="A1154">+INDEX(Partidas!$A:$J,MATCH('Resultados dashboard'!$B1154,Partidas!$C:$C,0),2)</f>
        <v>45766</v>
      </c>
      <c r="B1154" s="56">
        <f>+IF(COUNTIF($B$2:B1153,B1153)=VLOOKUP(B1153,Partidas!$C:$J,8,0),B1153+1,B1153)</f>
        <v>256</v>
      </c>
      <c r="C1154" s="41" t="str">
        <f t="array" ref="C1154">+INDEX(Partidas!$A:$J,MATCH('Resultados dashboard'!$B1154,Partidas!$C:$C,0),3+COUNTIF($B$2:B1154,'Resultados dashboard'!$B1154))</f>
        <v>Gasta</v>
      </c>
      <c r="D1154" s="54">
        <v>5</v>
      </c>
      <c r="E1154" s="53"/>
      <c r="F1154" s="53"/>
      <c r="G1154" s="53"/>
      <c r="H1154" s="38">
        <f t="shared" si="10"/>
        <v>5</v>
      </c>
      <c r="I1154" s="38">
        <f t="shared" si="11"/>
        <v>6</v>
      </c>
      <c r="J1154" s="55"/>
    </row>
    <row r="1155" spans="1:10" ht="15" customHeight="1" x14ac:dyDescent="0.2">
      <c r="A1155" s="50">
        <f t="array" ref="A1155">+INDEX(Partidas!$A:$J,MATCH('Resultados dashboard'!$B1155,Partidas!$C:$C,0),2)</f>
        <v>45766</v>
      </c>
      <c r="B1155" s="56">
        <f>+IF(COUNTIF($B$2:B1154,B1154)=VLOOKUP(B1154,Partidas!$C:$J,8,0),B1154+1,B1154)</f>
        <v>256</v>
      </c>
      <c r="C1155" s="41" t="str">
        <f t="array" ref="C1155">+INDEX(Partidas!$A:$J,MATCH('Resultados dashboard'!$B1155,Partidas!$C:$C,0),3+COUNTIF($B$2:B1155,'Resultados dashboard'!$B1155))</f>
        <v>Hugo</v>
      </c>
      <c r="D1155" s="54">
        <v>5</v>
      </c>
      <c r="E1155" s="54">
        <v>1</v>
      </c>
      <c r="F1155" s="54">
        <v>1</v>
      </c>
      <c r="G1155" s="53"/>
      <c r="H1155" s="38">
        <f t="shared" si="10"/>
        <v>8</v>
      </c>
      <c r="I1155" s="38">
        <f t="shared" si="11"/>
        <v>2</v>
      </c>
      <c r="J1155" s="55"/>
    </row>
    <row r="1156" spans="1:10" ht="15" customHeight="1" x14ac:dyDescent="0.2">
      <c r="A1156" s="50">
        <f t="array" ref="A1156">+INDEX(Partidas!$A:$J,MATCH('Resultados dashboard'!$B1156,Partidas!$C:$C,0),2)</f>
        <v>45766</v>
      </c>
      <c r="B1156" s="56">
        <f>+IF(COUNTIF($B$2:B1155,B1155)=VLOOKUP(B1155,Partidas!$C:$J,8,0),B1155+1,B1155)</f>
        <v>257</v>
      </c>
      <c r="C1156" s="41" t="str">
        <f t="array" ref="C1156">+INDEX(Partidas!$A:$J,MATCH('Resultados dashboard'!$B1156,Partidas!$C:$C,0),3+COUNTIF($B$2:B1156,'Resultados dashboard'!$B1156))</f>
        <v>Ivo</v>
      </c>
      <c r="D1156" s="54">
        <v>5</v>
      </c>
      <c r="E1156" s="54">
        <v>1</v>
      </c>
      <c r="F1156" s="54">
        <v>1</v>
      </c>
      <c r="G1156" s="54">
        <v>1</v>
      </c>
      <c r="H1156" s="38">
        <f t="shared" si="10"/>
        <v>10</v>
      </c>
      <c r="I1156" s="38">
        <f t="shared" si="11"/>
        <v>1</v>
      </c>
      <c r="J1156" s="55"/>
    </row>
    <row r="1157" spans="1:10" ht="15" customHeight="1" x14ac:dyDescent="0.2">
      <c r="A1157" s="50">
        <f t="array" ref="A1157">+INDEX(Partidas!$A:$J,MATCH('Resultados dashboard'!$B1157,Partidas!$C:$C,0),2)</f>
        <v>45766</v>
      </c>
      <c r="B1157" s="56">
        <f>+IF(COUNTIF($B$2:B1156,B1156)=VLOOKUP(B1156,Partidas!$C:$J,8,0),B1156+1,B1156)</f>
        <v>257</v>
      </c>
      <c r="C1157" s="41" t="str">
        <f t="array" ref="C1157">+INDEX(Partidas!$A:$J,MATCH('Resultados dashboard'!$B1157,Partidas!$C:$C,0),3+COUNTIF($B$2:B1157,'Resultados dashboard'!$B1157))</f>
        <v>Gaspa</v>
      </c>
      <c r="D1157" s="54">
        <v>6</v>
      </c>
      <c r="E1157" s="53"/>
      <c r="F1157" s="53"/>
      <c r="G1157" s="53"/>
      <c r="H1157" s="38">
        <f t="shared" si="10"/>
        <v>6</v>
      </c>
      <c r="I1157" s="38">
        <f t="shared" si="11"/>
        <v>2</v>
      </c>
      <c r="J1157" s="55"/>
    </row>
    <row r="1158" spans="1:10" ht="15" customHeight="1" x14ac:dyDescent="0.2">
      <c r="A1158" s="50">
        <f t="array" ref="A1158">+INDEX(Partidas!$A:$J,MATCH('Resultados dashboard'!$B1158,Partidas!$C:$C,0),2)</f>
        <v>45766</v>
      </c>
      <c r="B1158" s="56">
        <f>+IF(COUNTIF($B$2:B1157,B1157)=VLOOKUP(B1157,Partidas!$C:$J,8,0),B1157+1,B1157)</f>
        <v>257</v>
      </c>
      <c r="C1158" s="41" t="str">
        <f t="array" ref="C1158">+INDEX(Partidas!$A:$J,MATCH('Resultados dashboard'!$B1158,Partidas!$C:$C,0),3+COUNTIF($B$2:B1158,'Resultados dashboard'!$B1158))</f>
        <v>Abegol</v>
      </c>
      <c r="D1158" s="54">
        <v>5</v>
      </c>
      <c r="E1158" s="53"/>
      <c r="F1158" s="53"/>
      <c r="G1158" s="53"/>
      <c r="H1158" s="38">
        <f t="shared" si="10"/>
        <v>5</v>
      </c>
      <c r="I1158" s="38">
        <f t="shared" si="11"/>
        <v>3</v>
      </c>
      <c r="J1158" s="55"/>
    </row>
    <row r="1159" spans="1:10" ht="15" customHeight="1" x14ac:dyDescent="0.2">
      <c r="A1159" s="50">
        <f t="array" ref="A1159">+INDEX(Partidas!$A:$J,MATCH('Resultados dashboard'!$B1159,Partidas!$C:$C,0),2)</f>
        <v>45766</v>
      </c>
      <c r="B1159" s="56">
        <f>+IF(COUNTIF($B$2:B1158,B1158)=VLOOKUP(B1158,Partidas!$C:$J,8,0),B1158+1,B1158)</f>
        <v>257</v>
      </c>
      <c r="C1159" s="41" t="str">
        <f t="array" ref="C1159">+INDEX(Partidas!$A:$J,MATCH('Resultados dashboard'!$B1159,Partidas!$C:$C,0),3+COUNTIF($B$2:B1159,'Resultados dashboard'!$B1159))</f>
        <v>Gasta</v>
      </c>
      <c r="D1159" s="54">
        <v>5</v>
      </c>
      <c r="E1159" s="53"/>
      <c r="F1159" s="53"/>
      <c r="G1159" s="53"/>
      <c r="H1159" s="38">
        <f t="shared" si="10"/>
        <v>5</v>
      </c>
      <c r="I1159" s="38">
        <f t="shared" si="11"/>
        <v>3</v>
      </c>
      <c r="J1159" s="55"/>
    </row>
    <row r="1160" spans="1:10" ht="15" customHeight="1" x14ac:dyDescent="0.2">
      <c r="A1160" s="50">
        <f t="array" ref="A1160">+INDEX(Partidas!$A:$J,MATCH('Resultados dashboard'!$B1160,Partidas!$C:$C,0),2)</f>
        <v>45766</v>
      </c>
      <c r="B1160" s="56">
        <f>+IF(COUNTIF($B$2:B1159,B1159)=VLOOKUP(B1159,Partidas!$C:$J,8,0),B1159+1,B1159)</f>
        <v>257</v>
      </c>
      <c r="C1160" s="41" t="str">
        <f t="array" ref="C1160">+INDEX(Partidas!$A:$J,MATCH('Resultados dashboard'!$B1160,Partidas!$C:$C,0),3+COUNTIF($B$2:B1160,'Resultados dashboard'!$B1160))</f>
        <v>Hugo</v>
      </c>
      <c r="D1160" s="54">
        <v>4</v>
      </c>
      <c r="E1160" s="54">
        <v>1</v>
      </c>
      <c r="F1160" s="53"/>
      <c r="G1160" s="53"/>
      <c r="H1160" s="38">
        <f t="shared" si="10"/>
        <v>5</v>
      </c>
      <c r="I1160" s="38">
        <f t="shared" si="11"/>
        <v>3</v>
      </c>
      <c r="J1160" s="55"/>
    </row>
    <row r="1161" spans="1:10" ht="15" customHeight="1" x14ac:dyDescent="0.2">
      <c r="A1161" s="50">
        <f t="array" ref="A1161">+INDEX(Partidas!$A:$J,MATCH('Resultados dashboard'!$B1161,Partidas!$C:$C,0),2)</f>
        <v>45766</v>
      </c>
      <c r="B1161" s="56">
        <f>+IF(COUNTIF($B$2:B1160,B1160)=VLOOKUP(B1160,Partidas!$C:$J,8,0),B1160+1,B1160)</f>
        <v>257</v>
      </c>
      <c r="C1161" s="41" t="str">
        <f t="array" ref="C1161">+INDEX(Partidas!$A:$J,MATCH('Resultados dashboard'!$B1161,Partidas!$C:$C,0),3+COUNTIF($B$2:B1161,'Resultados dashboard'!$B1161))</f>
        <v>Moch</v>
      </c>
      <c r="D1161" s="54">
        <v>5</v>
      </c>
      <c r="E1161" s="53"/>
      <c r="F1161" s="53"/>
      <c r="G1161" s="53"/>
      <c r="H1161" s="38">
        <f t="shared" si="10"/>
        <v>5</v>
      </c>
      <c r="I1161" s="38">
        <f t="shared" si="11"/>
        <v>3</v>
      </c>
      <c r="J1161" s="55"/>
    </row>
    <row r="1162" spans="1:10" ht="15" customHeight="1" x14ac:dyDescent="0.2">
      <c r="A1162" s="50">
        <f t="array" ref="A1162">+INDEX(Partidas!$A:$J,MATCH('Resultados dashboard'!$B1162,Partidas!$C:$C,0),2)</f>
        <v>45769</v>
      </c>
      <c r="B1162" s="56">
        <f>+IF(COUNTIF($B$2:B1161,B1161)=VLOOKUP(B1161,Partidas!$C:$J,8,0),B1161+1,B1161)</f>
        <v>258</v>
      </c>
      <c r="C1162" s="41" t="str">
        <f t="array" ref="C1162">+INDEX(Partidas!$A:$J,MATCH('Resultados dashboard'!$B1162,Partidas!$C:$C,0),3+COUNTIF($B$2:B1162,'Resultados dashboard'!$B1162))</f>
        <v>Gallo</v>
      </c>
      <c r="D1162" s="54">
        <v>9</v>
      </c>
      <c r="E1162" s="54">
        <v>1</v>
      </c>
      <c r="F1162" s="53"/>
      <c r="G1162" s="53"/>
      <c r="H1162" s="38">
        <f t="shared" si="10"/>
        <v>10</v>
      </c>
      <c r="I1162" s="38">
        <f t="shared" si="11"/>
        <v>1</v>
      </c>
      <c r="J1162" s="55"/>
    </row>
    <row r="1163" spans="1:10" ht="15" customHeight="1" x14ac:dyDescent="0.2">
      <c r="A1163" s="50">
        <f t="array" ref="A1163">+INDEX(Partidas!$A:$J,MATCH('Resultados dashboard'!$B1163,Partidas!$C:$C,0),2)</f>
        <v>45769</v>
      </c>
      <c r="B1163" s="56">
        <f>+IF(COUNTIF($B$2:B1162,B1162)=VLOOKUP(B1162,Partidas!$C:$J,8,0),B1162+1,B1162)</f>
        <v>258</v>
      </c>
      <c r="C1163" s="41" t="str">
        <f t="array" ref="C1163">+INDEX(Partidas!$A:$J,MATCH('Resultados dashboard'!$B1163,Partidas!$C:$C,0),3+COUNTIF($B$2:B1163,'Resultados dashboard'!$B1163))</f>
        <v>Ivo</v>
      </c>
      <c r="D1163" s="54">
        <v>3</v>
      </c>
      <c r="E1163" s="53"/>
      <c r="F1163" s="53"/>
      <c r="G1163" s="53"/>
      <c r="H1163" s="38">
        <f t="shared" si="10"/>
        <v>3</v>
      </c>
      <c r="I1163" s="38">
        <f t="shared" si="11"/>
        <v>4</v>
      </c>
      <c r="J1163" s="55"/>
    </row>
    <row r="1164" spans="1:10" ht="15" customHeight="1" x14ac:dyDescent="0.2">
      <c r="A1164" s="50">
        <f t="array" ref="A1164">+INDEX(Partidas!$A:$J,MATCH('Resultados dashboard'!$B1164,Partidas!$C:$C,0),2)</f>
        <v>45769</v>
      </c>
      <c r="B1164" s="56">
        <f>+IF(COUNTIF($B$2:B1163,B1163)=VLOOKUP(B1163,Partidas!$C:$J,8,0),B1163+1,B1163)</f>
        <v>258</v>
      </c>
      <c r="C1164" s="41" t="str">
        <f t="array" ref="C1164">+INDEX(Partidas!$A:$J,MATCH('Resultados dashboard'!$B1164,Partidas!$C:$C,0),3+COUNTIF($B$2:B1164,'Resultados dashboard'!$B1164))</f>
        <v>Max</v>
      </c>
      <c r="D1164" s="54">
        <v>7</v>
      </c>
      <c r="E1164" s="53"/>
      <c r="F1164" s="53"/>
      <c r="G1164" s="54">
        <v>1</v>
      </c>
      <c r="H1164" s="38">
        <f t="shared" si="10"/>
        <v>9</v>
      </c>
      <c r="I1164" s="38">
        <f t="shared" si="11"/>
        <v>2</v>
      </c>
      <c r="J1164" s="55"/>
    </row>
    <row r="1165" spans="1:10" ht="15" customHeight="1" x14ac:dyDescent="0.2">
      <c r="A1165" s="50">
        <f t="array" ref="A1165">+INDEX(Partidas!$A:$J,MATCH('Resultados dashboard'!$B1165,Partidas!$C:$C,0),2)</f>
        <v>45769</v>
      </c>
      <c r="B1165" s="56">
        <f>+IF(COUNTIF($B$2:B1164,B1164)=VLOOKUP(B1164,Partidas!$C:$J,8,0),B1164+1,B1164)</f>
        <v>258</v>
      </c>
      <c r="C1165" s="41" t="str">
        <f t="array" ref="C1165">+INDEX(Partidas!$A:$J,MATCH('Resultados dashboard'!$B1165,Partidas!$C:$C,0),3+COUNTIF($B$2:B1165,'Resultados dashboard'!$B1165))</f>
        <v>Hugo</v>
      </c>
      <c r="D1165" s="54">
        <v>5</v>
      </c>
      <c r="E1165" s="54">
        <v>1</v>
      </c>
      <c r="F1165" s="54">
        <v>1</v>
      </c>
      <c r="G1165" s="53"/>
      <c r="H1165" s="38">
        <f t="shared" si="10"/>
        <v>8</v>
      </c>
      <c r="I1165" s="38">
        <f t="shared" si="11"/>
        <v>3</v>
      </c>
      <c r="J1165" s="55"/>
    </row>
    <row r="1166" spans="1:10" ht="15" customHeight="1" x14ac:dyDescent="0.2">
      <c r="A1166" s="50">
        <f t="array" ref="A1166">+INDEX(Partidas!$A:$J,MATCH('Resultados dashboard'!$B1166,Partidas!$C:$C,0),2)</f>
        <v>45769</v>
      </c>
      <c r="B1166" s="56">
        <f>+IF(COUNTIF($B$2:B1165,B1165)=VLOOKUP(B1165,Partidas!$C:$J,8,0),B1165+1,B1165)</f>
        <v>259</v>
      </c>
      <c r="C1166" s="41" t="str">
        <f t="array" ref="C1166">+INDEX(Partidas!$A:$J,MATCH('Resultados dashboard'!$B1166,Partidas!$C:$C,0),3+COUNTIF($B$2:B1166,'Resultados dashboard'!$B1166))</f>
        <v>Gallo</v>
      </c>
      <c r="D1166" s="54">
        <v>8</v>
      </c>
      <c r="E1166" s="53"/>
      <c r="F1166" s="53"/>
      <c r="G1166" s="54">
        <v>1</v>
      </c>
      <c r="H1166" s="38">
        <f t="shared" si="10"/>
        <v>10</v>
      </c>
      <c r="I1166" s="38">
        <f t="shared" si="11"/>
        <v>1</v>
      </c>
      <c r="J1166" s="55"/>
    </row>
    <row r="1167" spans="1:10" ht="15" customHeight="1" x14ac:dyDescent="0.2">
      <c r="A1167" s="50">
        <f t="array" ref="A1167">+INDEX(Partidas!$A:$J,MATCH('Resultados dashboard'!$B1167,Partidas!$C:$C,0),2)</f>
        <v>45769</v>
      </c>
      <c r="B1167" s="56">
        <f>+IF(COUNTIF($B$2:B1166,B1166)=VLOOKUP(B1166,Partidas!$C:$J,8,0),B1166+1,B1166)</f>
        <v>259</v>
      </c>
      <c r="C1167" s="41" t="str">
        <f t="array" ref="C1167">+INDEX(Partidas!$A:$J,MATCH('Resultados dashboard'!$B1167,Partidas!$C:$C,0),3+COUNTIF($B$2:B1167,'Resultados dashboard'!$B1167))</f>
        <v>Ivo</v>
      </c>
      <c r="D1167" s="54">
        <v>8</v>
      </c>
      <c r="E1167" s="53"/>
      <c r="F1167" s="53"/>
      <c r="G1167" s="53"/>
      <c r="H1167" s="38">
        <f t="shared" si="10"/>
        <v>8</v>
      </c>
      <c r="I1167" s="38">
        <f t="shared" si="11"/>
        <v>2</v>
      </c>
      <c r="J1167" s="55"/>
    </row>
    <row r="1168" spans="1:10" ht="15" customHeight="1" x14ac:dyDescent="0.2">
      <c r="A1168" s="50">
        <f t="array" ref="A1168">+INDEX(Partidas!$A:$J,MATCH('Resultados dashboard'!$B1168,Partidas!$C:$C,0),2)</f>
        <v>45769</v>
      </c>
      <c r="B1168" s="56">
        <f>+IF(COUNTIF($B$2:B1167,B1167)=VLOOKUP(B1167,Partidas!$C:$J,8,0),B1167+1,B1167)</f>
        <v>259</v>
      </c>
      <c r="C1168" s="41" t="str">
        <f t="array" ref="C1168">+INDEX(Partidas!$A:$J,MATCH('Resultados dashboard'!$B1168,Partidas!$C:$C,0),3+COUNTIF($B$2:B1168,'Resultados dashboard'!$B1168))</f>
        <v>Max</v>
      </c>
      <c r="D1168" s="54">
        <v>4</v>
      </c>
      <c r="E1168" s="53"/>
      <c r="F1168" s="53"/>
      <c r="G1168" s="53"/>
      <c r="H1168" s="38">
        <f t="shared" si="10"/>
        <v>4</v>
      </c>
      <c r="I1168" s="38">
        <f t="shared" si="11"/>
        <v>4</v>
      </c>
      <c r="J1168" s="55"/>
    </row>
    <row r="1169" spans="1:10" ht="15" customHeight="1" x14ac:dyDescent="0.2">
      <c r="A1169" s="50">
        <f t="array" ref="A1169">+INDEX(Partidas!$A:$J,MATCH('Resultados dashboard'!$B1169,Partidas!$C:$C,0),2)</f>
        <v>45769</v>
      </c>
      <c r="B1169" s="56">
        <f>+IF(COUNTIF($B$2:B1168,B1168)=VLOOKUP(B1168,Partidas!$C:$J,8,0),B1168+1,B1168)</f>
        <v>259</v>
      </c>
      <c r="C1169" s="41" t="str">
        <f t="array" ref="C1169">+INDEX(Partidas!$A:$J,MATCH('Resultados dashboard'!$B1169,Partidas!$C:$C,0),3+COUNTIF($B$2:B1169,'Resultados dashboard'!$B1169))</f>
        <v>Hugo</v>
      </c>
      <c r="D1169" s="54">
        <v>6</v>
      </c>
      <c r="E1169" s="53"/>
      <c r="F1169" s="53"/>
      <c r="G1169" s="53"/>
      <c r="H1169" s="38">
        <f t="shared" si="10"/>
        <v>6</v>
      </c>
      <c r="I1169" s="38">
        <f t="shared" si="11"/>
        <v>3</v>
      </c>
      <c r="J1169" s="55"/>
    </row>
    <row r="1170" spans="1:10" ht="15" customHeight="1" x14ac:dyDescent="0.2">
      <c r="A1170" s="50">
        <f t="array" ref="A1170">+INDEX(Partidas!$A:$J,MATCH('Resultados dashboard'!$B1170,Partidas!$C:$C,0),2)</f>
        <v>45769</v>
      </c>
      <c r="B1170" s="56">
        <f>+IF(COUNTIF($B$2:B1169,B1169)=VLOOKUP(B1169,Partidas!$C:$J,8,0),B1169+1,B1169)</f>
        <v>260</v>
      </c>
      <c r="C1170" s="41" t="str">
        <f t="array" ref="C1170">+INDEX(Partidas!$A:$J,MATCH('Resultados dashboard'!$B1170,Partidas!$C:$C,0),3+COUNTIF($B$2:B1170,'Resultados dashboard'!$B1170))</f>
        <v>Gallo</v>
      </c>
      <c r="D1170" s="54">
        <v>8</v>
      </c>
      <c r="E1170" s="53"/>
      <c r="F1170" s="53"/>
      <c r="G1170" s="54">
        <v>1</v>
      </c>
      <c r="H1170" s="38">
        <f t="shared" si="10"/>
        <v>10</v>
      </c>
      <c r="I1170" s="38">
        <f t="shared" si="11"/>
        <v>1</v>
      </c>
      <c r="J1170" s="55"/>
    </row>
    <row r="1171" spans="1:10" ht="15" customHeight="1" x14ac:dyDescent="0.2">
      <c r="A1171" s="50">
        <f t="array" ref="A1171">+INDEX(Partidas!$A:$J,MATCH('Resultados dashboard'!$B1171,Partidas!$C:$C,0),2)</f>
        <v>45769</v>
      </c>
      <c r="B1171" s="56">
        <f>+IF(COUNTIF($B$2:B1170,B1170)=VLOOKUP(B1170,Partidas!$C:$J,8,0),B1170+1,B1170)</f>
        <v>260</v>
      </c>
      <c r="C1171" s="41" t="str">
        <f t="array" ref="C1171">+INDEX(Partidas!$A:$J,MATCH('Resultados dashboard'!$B1171,Partidas!$C:$C,0),3+COUNTIF($B$2:B1171,'Resultados dashboard'!$B1171))</f>
        <v>Ivo</v>
      </c>
      <c r="D1171" s="54">
        <v>5</v>
      </c>
      <c r="E1171" s="54">
        <v>1</v>
      </c>
      <c r="F1171" s="54"/>
      <c r="G1171" s="53"/>
      <c r="H1171" s="38">
        <f t="shared" si="10"/>
        <v>6</v>
      </c>
      <c r="I1171" s="38">
        <f t="shared" si="11"/>
        <v>4</v>
      </c>
      <c r="J1171" s="55"/>
    </row>
    <row r="1172" spans="1:10" ht="15" customHeight="1" x14ac:dyDescent="0.2">
      <c r="A1172" s="50">
        <f t="array" ref="A1172">+INDEX(Partidas!$A:$J,MATCH('Resultados dashboard'!$B1172,Partidas!$C:$C,0),2)</f>
        <v>45769</v>
      </c>
      <c r="B1172" s="56">
        <f>+IF(COUNTIF($B$2:B1171,B1171)=VLOOKUP(B1171,Partidas!$C:$J,8,0),B1171+1,B1171)</f>
        <v>260</v>
      </c>
      <c r="C1172" s="41" t="str">
        <f t="array" ref="C1172">+INDEX(Partidas!$A:$J,MATCH('Resultados dashboard'!$B1172,Partidas!$C:$C,0),3+COUNTIF($B$2:B1172,'Resultados dashboard'!$B1172))</f>
        <v>Max</v>
      </c>
      <c r="D1172" s="54">
        <v>6</v>
      </c>
      <c r="E1172" s="54">
        <v>1</v>
      </c>
      <c r="F1172" s="54">
        <v>1</v>
      </c>
      <c r="G1172" s="53"/>
      <c r="H1172" s="38">
        <f t="shared" si="10"/>
        <v>9</v>
      </c>
      <c r="I1172" s="38">
        <f t="shared" si="11"/>
        <v>2</v>
      </c>
      <c r="J1172" s="55"/>
    </row>
    <row r="1173" spans="1:10" ht="15" customHeight="1" x14ac:dyDescent="0.2">
      <c r="A1173" s="50">
        <f t="array" ref="A1173">+INDEX(Partidas!$A:$J,MATCH('Resultados dashboard'!$B1173,Partidas!$C:$C,0),2)</f>
        <v>45769</v>
      </c>
      <c r="B1173" s="56">
        <f>+IF(COUNTIF($B$2:B1172,B1172)=VLOOKUP(B1172,Partidas!$C:$J,8,0),B1172+1,B1172)</f>
        <v>260</v>
      </c>
      <c r="C1173" s="41" t="str">
        <f t="array" ref="C1173">+INDEX(Partidas!$A:$J,MATCH('Resultados dashboard'!$B1173,Partidas!$C:$C,0),3+COUNTIF($B$2:B1173,'Resultados dashboard'!$B1173))</f>
        <v>Hugo</v>
      </c>
      <c r="D1173" s="54">
        <v>6</v>
      </c>
      <c r="E1173" s="54">
        <v>1</v>
      </c>
      <c r="F1173" s="53"/>
      <c r="G1173" s="54"/>
      <c r="H1173" s="38">
        <f t="shared" si="10"/>
        <v>7</v>
      </c>
      <c r="I1173" s="38">
        <f t="shared" si="11"/>
        <v>3</v>
      </c>
      <c r="J1173" s="55"/>
    </row>
    <row r="1174" spans="1:10" ht="15" customHeight="1" x14ac:dyDescent="0.2">
      <c r="A1174" s="50">
        <f t="array" ref="A1174">+INDEX(Partidas!$A:$J,MATCH('Resultados dashboard'!$B1174,Partidas!$C:$C,0),2)</f>
        <v>45775</v>
      </c>
      <c r="B1174" s="56">
        <f>+IF(COUNTIF($B$2:B1173,B1173)=VLOOKUP(B1173,Partidas!$C:$J,8,0),B1173+1,B1173)</f>
        <v>261</v>
      </c>
      <c r="C1174" s="41" t="str">
        <f t="array" ref="C1174">+INDEX(Partidas!$A:$J,MATCH('Resultados dashboard'!$B1174,Partidas!$C:$C,0),3+COUNTIF($B$2:B1174,'Resultados dashboard'!$B1174))</f>
        <v>Gallo</v>
      </c>
      <c r="D1174" s="54">
        <v>7</v>
      </c>
      <c r="E1174" s="54">
        <v>2</v>
      </c>
      <c r="F1174" s="53"/>
      <c r="G1174" s="53"/>
      <c r="H1174" s="38">
        <f t="shared" si="10"/>
        <v>9</v>
      </c>
      <c r="I1174" s="38">
        <f t="shared" si="11"/>
        <v>2</v>
      </c>
      <c r="J1174" s="55"/>
    </row>
    <row r="1175" spans="1:10" ht="15" customHeight="1" x14ac:dyDescent="0.2">
      <c r="A1175" s="50">
        <f t="array" ref="A1175">+INDEX(Partidas!$A:$J,MATCH('Resultados dashboard'!$B1175,Partidas!$C:$C,0),2)</f>
        <v>45775</v>
      </c>
      <c r="B1175" s="56">
        <f>+IF(COUNTIF($B$2:B1174,B1174)=VLOOKUP(B1174,Partidas!$C:$J,8,0),B1174+1,B1174)</f>
        <v>261</v>
      </c>
      <c r="C1175" s="41" t="str">
        <f t="array" ref="C1175">+INDEX(Partidas!$A:$J,MATCH('Resultados dashboard'!$B1175,Partidas!$C:$C,0),3+COUNTIF($B$2:B1175,'Resultados dashboard'!$B1175))</f>
        <v>Ivo</v>
      </c>
      <c r="D1175" s="54">
        <v>8</v>
      </c>
      <c r="E1175" s="53"/>
      <c r="F1175" s="54">
        <v>1</v>
      </c>
      <c r="G1175" s="53"/>
      <c r="H1175" s="38">
        <f t="shared" si="10"/>
        <v>10</v>
      </c>
      <c r="I1175" s="38">
        <f t="shared" si="11"/>
        <v>1</v>
      </c>
      <c r="J1175" s="55"/>
    </row>
    <row r="1176" spans="1:10" ht="15" customHeight="1" x14ac:dyDescent="0.2">
      <c r="A1176" s="50">
        <f t="array" ref="A1176">+INDEX(Partidas!$A:$J,MATCH('Resultados dashboard'!$B1176,Partidas!$C:$C,0),2)</f>
        <v>45775</v>
      </c>
      <c r="B1176" s="56">
        <f>+IF(COUNTIF($B$2:B1175,B1175)=VLOOKUP(B1175,Partidas!$C:$J,8,0),B1175+1,B1175)</f>
        <v>261</v>
      </c>
      <c r="C1176" s="41" t="str">
        <f t="array" ref="C1176">+INDEX(Partidas!$A:$J,MATCH('Resultados dashboard'!$B1176,Partidas!$C:$C,0),3+COUNTIF($B$2:B1176,'Resultados dashboard'!$B1176))</f>
        <v>Max</v>
      </c>
      <c r="D1176" s="54">
        <v>7</v>
      </c>
      <c r="E1176" s="53"/>
      <c r="F1176" s="53"/>
      <c r="G1176" s="53"/>
      <c r="H1176" s="38">
        <f t="shared" si="10"/>
        <v>7</v>
      </c>
      <c r="I1176" s="38">
        <f t="shared" si="11"/>
        <v>4</v>
      </c>
      <c r="J1176" s="55"/>
    </row>
    <row r="1177" spans="1:10" ht="15" customHeight="1" x14ac:dyDescent="0.2">
      <c r="A1177" s="50">
        <f t="array" ref="A1177">+INDEX(Partidas!$A:$J,MATCH('Resultados dashboard'!$B1177,Partidas!$C:$C,0),2)</f>
        <v>45775</v>
      </c>
      <c r="B1177" s="56">
        <f>+IF(COUNTIF($B$2:B1176,B1176)=VLOOKUP(B1176,Partidas!$C:$J,8,0),B1176+1,B1176)</f>
        <v>261</v>
      </c>
      <c r="C1177" s="41" t="str">
        <f t="array" ref="C1177">+INDEX(Partidas!$A:$J,MATCH('Resultados dashboard'!$B1177,Partidas!$C:$C,0),3+COUNTIF($B$2:B1177,'Resultados dashboard'!$B1177))</f>
        <v>Hugo</v>
      </c>
      <c r="D1177" s="54">
        <v>5</v>
      </c>
      <c r="E1177" s="54">
        <v>1</v>
      </c>
      <c r="F1177" s="53"/>
      <c r="G1177" s="54">
        <v>1</v>
      </c>
      <c r="H1177" s="38">
        <f t="shared" si="10"/>
        <v>8</v>
      </c>
      <c r="I1177" s="38">
        <f t="shared" si="11"/>
        <v>3</v>
      </c>
      <c r="J1177" s="55"/>
    </row>
    <row r="1178" spans="1:10" ht="15" customHeight="1" x14ac:dyDescent="0.2">
      <c r="A1178" s="50">
        <f t="array" ref="A1178">+INDEX(Partidas!$A:$J,MATCH('Resultados dashboard'!$B1178,Partidas!$C:$C,0),2)</f>
        <v>45775</v>
      </c>
      <c r="B1178" s="56">
        <f>+IF(COUNTIF($B$2:B1177,B1177)=VLOOKUP(B1177,Partidas!$C:$J,8,0),B1177+1,B1177)</f>
        <v>262</v>
      </c>
      <c r="C1178" s="41" t="str">
        <f t="array" ref="C1178">+INDEX(Partidas!$A:$J,MATCH('Resultados dashboard'!$B1178,Partidas!$C:$C,0),3+COUNTIF($B$2:B1178,'Resultados dashboard'!$B1178))</f>
        <v>Gallo</v>
      </c>
      <c r="D1178" s="54">
        <v>9</v>
      </c>
      <c r="E1178" s="53"/>
      <c r="F1178" s="54"/>
      <c r="G1178" s="53"/>
      <c r="H1178" s="38">
        <f t="shared" si="10"/>
        <v>9</v>
      </c>
      <c r="I1178" s="38">
        <f t="shared" si="11"/>
        <v>2</v>
      </c>
      <c r="J1178" s="55"/>
    </row>
    <row r="1179" spans="1:10" ht="15" customHeight="1" x14ac:dyDescent="0.2">
      <c r="A1179" s="50">
        <f t="array" ref="A1179">+INDEX(Partidas!$A:$J,MATCH('Resultados dashboard'!$B1179,Partidas!$C:$C,0),2)</f>
        <v>45775</v>
      </c>
      <c r="B1179" s="56">
        <f>+IF(COUNTIF($B$2:B1178,B1178)=VLOOKUP(B1178,Partidas!$C:$J,8,0),B1178+1,B1178)</f>
        <v>262</v>
      </c>
      <c r="C1179" s="41" t="str">
        <f t="array" ref="C1179">+INDEX(Partidas!$A:$J,MATCH('Resultados dashboard'!$B1179,Partidas!$C:$C,0),3+COUNTIF($B$2:B1179,'Resultados dashboard'!$B1179))</f>
        <v>Ivo</v>
      </c>
      <c r="D1179" s="54">
        <v>4</v>
      </c>
      <c r="E1179" s="54">
        <v>1</v>
      </c>
      <c r="F1179" s="53"/>
      <c r="G1179" s="53"/>
      <c r="H1179" s="38">
        <f t="shared" si="10"/>
        <v>5</v>
      </c>
      <c r="I1179" s="38">
        <f t="shared" si="11"/>
        <v>4</v>
      </c>
      <c r="J1179" s="55"/>
    </row>
    <row r="1180" spans="1:10" ht="15" customHeight="1" x14ac:dyDescent="0.2">
      <c r="A1180" s="50">
        <f t="array" ref="A1180">+INDEX(Partidas!$A:$J,MATCH('Resultados dashboard'!$B1180,Partidas!$C:$C,0),2)</f>
        <v>45775</v>
      </c>
      <c r="B1180" s="56">
        <f>+IF(COUNTIF($B$2:B1179,B1179)=VLOOKUP(B1179,Partidas!$C:$J,8,0),B1179+1,B1179)</f>
        <v>262</v>
      </c>
      <c r="C1180" s="41" t="str">
        <f t="array" ref="C1180">+INDEX(Partidas!$A:$J,MATCH('Resultados dashboard'!$B1180,Partidas!$C:$C,0),3+COUNTIF($B$2:B1180,'Resultados dashboard'!$B1180))</f>
        <v>Max</v>
      </c>
      <c r="D1180" s="54">
        <v>8</v>
      </c>
      <c r="E1180" s="53"/>
      <c r="F1180" s="54">
        <v>1</v>
      </c>
      <c r="G1180" s="53"/>
      <c r="H1180" s="38">
        <f t="shared" si="10"/>
        <v>10</v>
      </c>
      <c r="I1180" s="38">
        <f t="shared" si="11"/>
        <v>1</v>
      </c>
      <c r="J1180" s="55"/>
    </row>
    <row r="1181" spans="1:10" ht="15" customHeight="1" x14ac:dyDescent="0.2">
      <c r="A1181" s="50">
        <f t="array" ref="A1181">+INDEX(Partidas!$A:$J,MATCH('Resultados dashboard'!$B1181,Partidas!$C:$C,0),2)</f>
        <v>45775</v>
      </c>
      <c r="B1181" s="56">
        <f>+IF(COUNTIF($B$2:B1180,B1180)=VLOOKUP(B1180,Partidas!$C:$J,8,0),B1180+1,B1180)</f>
        <v>262</v>
      </c>
      <c r="C1181" s="41" t="str">
        <f t="array" ref="C1181">+INDEX(Partidas!$A:$J,MATCH('Resultados dashboard'!$B1181,Partidas!$C:$C,0),3+COUNTIF($B$2:B1181,'Resultados dashboard'!$B1181))</f>
        <v>Hugo</v>
      </c>
      <c r="D1181" s="54">
        <v>5</v>
      </c>
      <c r="E1181" s="54">
        <v>1</v>
      </c>
      <c r="F1181" s="53"/>
      <c r="G1181" s="53"/>
      <c r="H1181" s="38">
        <f t="shared" si="10"/>
        <v>6</v>
      </c>
      <c r="I1181" s="38">
        <f t="shared" si="11"/>
        <v>3</v>
      </c>
      <c r="J1181" s="55"/>
    </row>
    <row r="1182" spans="1:10" ht="15" customHeight="1" x14ac:dyDescent="0.2">
      <c r="A1182" s="50">
        <f t="array" ref="A1182">+INDEX(Partidas!$A:$J,MATCH('Resultados dashboard'!$B1182,Partidas!$C:$C,0),2)</f>
        <v>45775</v>
      </c>
      <c r="B1182" s="56">
        <f>+IF(COUNTIF($B$2:B1181,B1181)=VLOOKUP(B1181,Partidas!$C:$J,8,0),B1181+1,B1181)</f>
        <v>263</v>
      </c>
      <c r="C1182" s="41" t="str">
        <f t="array" ref="C1182">+INDEX(Partidas!$A:$J,MATCH('Resultados dashboard'!$B1182,Partidas!$C:$C,0),3+COUNTIF($B$2:B1182,'Resultados dashboard'!$B1182))</f>
        <v>Gallo</v>
      </c>
      <c r="D1182" s="54">
        <v>6</v>
      </c>
      <c r="E1182" s="54">
        <v>1</v>
      </c>
      <c r="F1182" s="53"/>
      <c r="G1182" s="53"/>
      <c r="H1182" s="38">
        <f t="shared" si="10"/>
        <v>7</v>
      </c>
      <c r="I1182" s="38">
        <f t="shared" si="11"/>
        <v>2</v>
      </c>
      <c r="J1182" s="55"/>
    </row>
    <row r="1183" spans="1:10" ht="15" customHeight="1" x14ac:dyDescent="0.2">
      <c r="A1183" s="50">
        <f t="array" ref="A1183">+INDEX(Partidas!$A:$J,MATCH('Resultados dashboard'!$B1183,Partidas!$C:$C,0),2)</f>
        <v>45775</v>
      </c>
      <c r="B1183" s="56">
        <f>+IF(COUNTIF($B$2:B1182,B1182)=VLOOKUP(B1182,Partidas!$C:$J,8,0),B1182+1,B1182)</f>
        <v>263</v>
      </c>
      <c r="C1183" s="41" t="str">
        <f t="array" ref="C1183">+INDEX(Partidas!$A:$J,MATCH('Resultados dashboard'!$B1183,Partidas!$C:$C,0),3+COUNTIF($B$2:B1183,'Resultados dashboard'!$B1183))</f>
        <v>Ivo</v>
      </c>
      <c r="D1183" s="54">
        <v>2</v>
      </c>
      <c r="E1183" s="54">
        <v>1</v>
      </c>
      <c r="F1183" s="53"/>
      <c r="G1183" s="53"/>
      <c r="H1183" s="38">
        <f t="shared" si="10"/>
        <v>3</v>
      </c>
      <c r="I1183" s="38">
        <f t="shared" si="11"/>
        <v>4</v>
      </c>
      <c r="J1183" s="55"/>
    </row>
    <row r="1184" spans="1:10" ht="15" customHeight="1" x14ac:dyDescent="0.2">
      <c r="A1184" s="50">
        <f t="array" ref="A1184">+INDEX(Partidas!$A:$J,MATCH('Resultados dashboard'!$B1184,Partidas!$C:$C,0),2)</f>
        <v>45775</v>
      </c>
      <c r="B1184" s="56">
        <f>+IF(COUNTIF($B$2:B1183,B1183)=VLOOKUP(B1183,Partidas!$C:$J,8,0),B1183+1,B1183)</f>
        <v>263</v>
      </c>
      <c r="C1184" s="41" t="str">
        <f t="array" ref="C1184">+INDEX(Partidas!$A:$J,MATCH('Resultados dashboard'!$B1184,Partidas!$C:$C,0),3+COUNTIF($B$2:B1184,'Resultados dashboard'!$B1184))</f>
        <v>Max</v>
      </c>
      <c r="D1184" s="54">
        <v>6</v>
      </c>
      <c r="E1184" s="53"/>
      <c r="F1184" s="53"/>
      <c r="G1184" s="53"/>
      <c r="H1184" s="38">
        <f t="shared" si="10"/>
        <v>6</v>
      </c>
      <c r="I1184" s="38">
        <f t="shared" si="11"/>
        <v>3</v>
      </c>
      <c r="J1184" s="55"/>
    </row>
    <row r="1185" spans="1:10" ht="15" customHeight="1" x14ac:dyDescent="0.2">
      <c r="A1185" s="50">
        <f t="array" ref="A1185">+INDEX(Partidas!$A:$J,MATCH('Resultados dashboard'!$B1185,Partidas!$C:$C,0),2)</f>
        <v>45775</v>
      </c>
      <c r="B1185" s="56">
        <f>+IF(COUNTIF($B$2:B1184,B1184)=VLOOKUP(B1184,Partidas!$C:$J,8,0),B1184+1,B1184)</f>
        <v>263</v>
      </c>
      <c r="C1185" s="41" t="str">
        <f t="array" ref="C1185">+INDEX(Partidas!$A:$J,MATCH('Resultados dashboard'!$B1185,Partidas!$C:$C,0),3+COUNTIF($B$2:B1185,'Resultados dashboard'!$B1185))</f>
        <v>Hugo</v>
      </c>
      <c r="D1185" s="54">
        <v>6</v>
      </c>
      <c r="E1185" s="53"/>
      <c r="F1185" s="54">
        <v>1</v>
      </c>
      <c r="G1185" s="54">
        <v>1</v>
      </c>
      <c r="H1185" s="38">
        <f t="shared" si="10"/>
        <v>10</v>
      </c>
      <c r="I1185" s="38">
        <f t="shared" si="11"/>
        <v>1</v>
      </c>
      <c r="J1185" s="55"/>
    </row>
    <row r="1186" spans="1:10" ht="15" customHeight="1" x14ac:dyDescent="0.2">
      <c r="A1186" s="50">
        <f t="array" ref="A1186">+INDEX(Partidas!$A:$J,MATCH('Resultados dashboard'!$B1186,Partidas!$C:$C,0),2)</f>
        <v>45781</v>
      </c>
      <c r="B1186" s="56">
        <f>+IF(COUNTIF($B$2:B1185,B1185)=VLOOKUP(B1185,Partidas!$C:$J,8,0),B1185+1,B1185)</f>
        <v>264</v>
      </c>
      <c r="C1186" s="41" t="str">
        <f t="array" ref="C1186">+INDEX(Partidas!$A:$J,MATCH('Resultados dashboard'!$B1186,Partidas!$C:$C,0),3+COUNTIF($B$2:B1186,'Resultados dashboard'!$B1186))</f>
        <v>Gallo</v>
      </c>
      <c r="D1186" s="54">
        <v>5</v>
      </c>
      <c r="E1186" s="54">
        <v>1</v>
      </c>
      <c r="F1186" s="54">
        <v>1</v>
      </c>
      <c r="G1186" s="53"/>
      <c r="H1186" s="38">
        <f t="shared" si="10"/>
        <v>8</v>
      </c>
      <c r="I1186" s="38">
        <f t="shared" si="11"/>
        <v>3</v>
      </c>
      <c r="J1186" s="55"/>
    </row>
    <row r="1187" spans="1:10" ht="15" customHeight="1" x14ac:dyDescent="0.2">
      <c r="A1187" s="50">
        <f t="array" ref="A1187">+INDEX(Partidas!$A:$J,MATCH('Resultados dashboard'!$B1187,Partidas!$C:$C,0),2)</f>
        <v>45781</v>
      </c>
      <c r="B1187" s="56">
        <f>+IF(COUNTIF($B$2:B1186,B1186)=VLOOKUP(B1186,Partidas!$C:$J,8,0),B1186+1,B1186)</f>
        <v>264</v>
      </c>
      <c r="C1187" s="41" t="str">
        <f t="array" ref="C1187">+INDEX(Partidas!$A:$J,MATCH('Resultados dashboard'!$B1187,Partidas!$C:$C,0),3+COUNTIF($B$2:B1187,'Resultados dashboard'!$B1187))</f>
        <v>Ivo</v>
      </c>
      <c r="D1187" s="54">
        <v>6</v>
      </c>
      <c r="E1187" s="54">
        <v>1</v>
      </c>
      <c r="F1187" s="53"/>
      <c r="G1187" s="54">
        <v>1</v>
      </c>
      <c r="H1187" s="38">
        <f t="shared" si="10"/>
        <v>9</v>
      </c>
      <c r="I1187" s="38">
        <f t="shared" si="11"/>
        <v>2</v>
      </c>
      <c r="J1187" s="55"/>
    </row>
    <row r="1188" spans="1:10" ht="15" customHeight="1" x14ac:dyDescent="0.2">
      <c r="A1188" s="50">
        <f t="array" ref="A1188">+INDEX(Partidas!$A:$J,MATCH('Resultados dashboard'!$B1188,Partidas!$C:$C,0),2)</f>
        <v>45781</v>
      </c>
      <c r="B1188" s="56">
        <f>+IF(COUNTIF($B$2:B1187,B1187)=VLOOKUP(B1187,Partidas!$C:$J,8,0),B1187+1,B1187)</f>
        <v>264</v>
      </c>
      <c r="C1188" s="41" t="str">
        <f t="array" ref="C1188">+INDEX(Partidas!$A:$J,MATCH('Resultados dashboard'!$B1188,Partidas!$C:$C,0),3+COUNTIF($B$2:B1188,'Resultados dashboard'!$B1188))</f>
        <v>Max</v>
      </c>
      <c r="D1188" s="54">
        <v>6</v>
      </c>
      <c r="E1188" s="53"/>
      <c r="F1188" s="53"/>
      <c r="G1188" s="53"/>
      <c r="H1188" s="38">
        <f t="shared" si="10"/>
        <v>6</v>
      </c>
      <c r="I1188" s="38">
        <f t="shared" si="11"/>
        <v>4</v>
      </c>
      <c r="J1188" s="55"/>
    </row>
    <row r="1189" spans="1:10" ht="15" customHeight="1" x14ac:dyDescent="0.2">
      <c r="A1189" s="50">
        <f t="array" ref="A1189">+INDEX(Partidas!$A:$J,MATCH('Resultados dashboard'!$B1189,Partidas!$C:$C,0),2)</f>
        <v>45781</v>
      </c>
      <c r="B1189" s="56">
        <f>+IF(COUNTIF($B$2:B1188,B1188)=VLOOKUP(B1188,Partidas!$C:$J,8,0),B1188+1,B1188)</f>
        <v>264</v>
      </c>
      <c r="C1189" s="41" t="str">
        <f t="array" ref="C1189">+INDEX(Partidas!$A:$J,MATCH('Resultados dashboard'!$B1189,Partidas!$C:$C,0),3+COUNTIF($B$2:B1189,'Resultados dashboard'!$B1189))</f>
        <v>Moch</v>
      </c>
      <c r="D1189" s="54">
        <v>9</v>
      </c>
      <c r="E1189" s="54">
        <v>1</v>
      </c>
      <c r="F1189" s="53"/>
      <c r="G1189" s="53"/>
      <c r="H1189" s="38">
        <f t="shared" si="10"/>
        <v>10</v>
      </c>
      <c r="I1189" s="38">
        <f t="shared" si="11"/>
        <v>1</v>
      </c>
      <c r="J1189" s="55"/>
    </row>
    <row r="1190" spans="1:10" ht="15" customHeight="1" x14ac:dyDescent="0.2">
      <c r="A1190" s="50">
        <f t="array" ref="A1190">+INDEX(Partidas!$A:$J,MATCH('Resultados dashboard'!$B1190,Partidas!$C:$C,0),2)</f>
        <v>45781</v>
      </c>
      <c r="B1190" s="56">
        <f>+IF(COUNTIF($B$2:B1189,B1189)=VLOOKUP(B1189,Partidas!$C:$J,8,0),B1189+1,B1189)</f>
        <v>265</v>
      </c>
      <c r="C1190" s="41" t="str">
        <f t="array" ref="C1190">+INDEX(Partidas!$A:$J,MATCH('Resultados dashboard'!$B1190,Partidas!$C:$C,0),3+COUNTIF($B$2:B1190,'Resultados dashboard'!$B1190))</f>
        <v>Gallo</v>
      </c>
      <c r="D1190" s="54">
        <v>6</v>
      </c>
      <c r="E1190" s="54">
        <v>1</v>
      </c>
      <c r="F1190" s="53"/>
      <c r="G1190" s="53"/>
      <c r="H1190" s="38">
        <f t="shared" si="10"/>
        <v>7</v>
      </c>
      <c r="I1190" s="38">
        <f t="shared" si="11"/>
        <v>4</v>
      </c>
      <c r="J1190" s="55"/>
    </row>
    <row r="1191" spans="1:10" ht="15" customHeight="1" x14ac:dyDescent="0.2">
      <c r="A1191" s="50">
        <f t="array" ref="A1191">+INDEX(Partidas!$A:$J,MATCH('Resultados dashboard'!$B1191,Partidas!$C:$C,0),2)</f>
        <v>45781</v>
      </c>
      <c r="B1191" s="56">
        <f>+IF(COUNTIF($B$2:B1190,B1190)=VLOOKUP(B1190,Partidas!$C:$J,8,0),B1190+1,B1190)</f>
        <v>265</v>
      </c>
      <c r="C1191" s="41" t="str">
        <f t="array" ref="C1191">+INDEX(Partidas!$A:$J,MATCH('Resultados dashboard'!$B1191,Partidas!$C:$C,0),3+COUNTIF($B$2:B1191,'Resultados dashboard'!$B1191))</f>
        <v>Ivo</v>
      </c>
      <c r="D1191" s="54">
        <v>7</v>
      </c>
      <c r="E1191" s="53"/>
      <c r="F1191" s="54">
        <v>1</v>
      </c>
      <c r="G1191" s="53"/>
      <c r="H1191" s="38">
        <f t="shared" si="10"/>
        <v>9</v>
      </c>
      <c r="I1191" s="38">
        <f t="shared" si="11"/>
        <v>2</v>
      </c>
      <c r="J1191" s="55"/>
    </row>
    <row r="1192" spans="1:10" ht="15" customHeight="1" x14ac:dyDescent="0.2">
      <c r="A1192" s="50">
        <f t="array" ref="A1192">+INDEX(Partidas!$A:$J,MATCH('Resultados dashboard'!$B1192,Partidas!$C:$C,0),2)</f>
        <v>45781</v>
      </c>
      <c r="B1192" s="56">
        <f>+IF(COUNTIF($B$2:B1191,B1191)=VLOOKUP(B1191,Partidas!$C:$J,8,0),B1191+1,B1191)</f>
        <v>265</v>
      </c>
      <c r="C1192" s="41" t="str">
        <f t="array" ref="C1192">+INDEX(Partidas!$A:$J,MATCH('Resultados dashboard'!$B1192,Partidas!$C:$C,0),3+COUNTIF($B$2:B1192,'Resultados dashboard'!$B1192))</f>
        <v>Max</v>
      </c>
      <c r="D1192" s="54">
        <v>7</v>
      </c>
      <c r="E1192" s="53"/>
      <c r="F1192" s="53"/>
      <c r="G1192" s="53"/>
      <c r="H1192" s="38">
        <f t="shared" si="10"/>
        <v>7</v>
      </c>
      <c r="I1192" s="38">
        <f t="shared" si="11"/>
        <v>4</v>
      </c>
      <c r="J1192" s="55"/>
    </row>
    <row r="1193" spans="1:10" ht="15" customHeight="1" x14ac:dyDescent="0.2">
      <c r="A1193" s="50">
        <f t="array" ref="A1193">+INDEX(Partidas!$A:$J,MATCH('Resultados dashboard'!$B1193,Partidas!$C:$C,0),2)</f>
        <v>45781</v>
      </c>
      <c r="B1193" s="56">
        <f>+IF(COUNTIF($B$2:B1192,B1192)=VLOOKUP(B1192,Partidas!$C:$J,8,0),B1192+1,B1192)</f>
        <v>265</v>
      </c>
      <c r="C1193" s="41" t="str">
        <f t="array" ref="C1193">+INDEX(Partidas!$A:$J,MATCH('Resultados dashboard'!$B1193,Partidas!$C:$C,0),3+COUNTIF($B$2:B1193,'Resultados dashboard'!$B1193))</f>
        <v>Moch</v>
      </c>
      <c r="D1193" s="54">
        <v>8</v>
      </c>
      <c r="E1193" s="54">
        <v>1</v>
      </c>
      <c r="F1193" s="53"/>
      <c r="G1193" s="53"/>
      <c r="H1193" s="38">
        <f t="shared" si="10"/>
        <v>9</v>
      </c>
      <c r="I1193" s="38">
        <f t="shared" si="11"/>
        <v>2</v>
      </c>
      <c r="J1193" s="55"/>
    </row>
    <row r="1194" spans="1:10" ht="15" customHeight="1" x14ac:dyDescent="0.2">
      <c r="A1194" s="50">
        <f t="array" ref="A1194">+INDEX(Partidas!$A:$J,MATCH('Resultados dashboard'!$B1194,Partidas!$C:$C,0),2)</f>
        <v>45781</v>
      </c>
      <c r="B1194" s="56">
        <f>+IF(COUNTIF($B$2:B1193,B1193)=VLOOKUP(B1193,Partidas!$C:$J,8,0),B1193+1,B1193)</f>
        <v>265</v>
      </c>
      <c r="C1194" s="41" t="str">
        <f t="array" ref="C1194">+INDEX(Partidas!$A:$J,MATCH('Resultados dashboard'!$B1194,Partidas!$C:$C,0),3+COUNTIF($B$2:B1194,'Resultados dashboard'!$B1194))</f>
        <v>Hugo</v>
      </c>
      <c r="D1194" s="54">
        <v>7</v>
      </c>
      <c r="E1194" s="54">
        <v>1</v>
      </c>
      <c r="F1194" s="53"/>
      <c r="G1194" s="54">
        <v>1</v>
      </c>
      <c r="H1194" s="38">
        <f t="shared" si="10"/>
        <v>10</v>
      </c>
      <c r="I1194" s="38">
        <f t="shared" si="11"/>
        <v>1</v>
      </c>
      <c r="J1194" s="55"/>
    </row>
    <row r="1195" spans="1:10" ht="15" customHeight="1" x14ac:dyDescent="0.2">
      <c r="A1195" s="50">
        <f t="array" ref="A1195">+INDEX(Partidas!$A:$J,MATCH('Resultados dashboard'!$B1195,Partidas!$C:$C,0),2)</f>
        <v>45781</v>
      </c>
      <c r="B1195" s="56">
        <f>+IF(COUNTIF($B$2:B1194,B1194)=VLOOKUP(B1194,Partidas!$C:$J,8,0),B1194+1,B1194)</f>
        <v>266</v>
      </c>
      <c r="C1195" s="41" t="str">
        <f t="array" ref="C1195">+INDEX(Partidas!$A:$J,MATCH('Resultados dashboard'!$B1195,Partidas!$C:$C,0),3+COUNTIF($B$2:B1195,'Resultados dashboard'!$B1195))</f>
        <v>Gallo</v>
      </c>
      <c r="D1195" s="54">
        <v>9</v>
      </c>
      <c r="E1195" s="54">
        <v>1</v>
      </c>
      <c r="F1195" s="53"/>
      <c r="G1195" s="53"/>
      <c r="H1195" s="38">
        <f t="shared" si="10"/>
        <v>10</v>
      </c>
      <c r="I1195" s="38">
        <f t="shared" si="11"/>
        <v>1</v>
      </c>
      <c r="J1195" s="55"/>
    </row>
    <row r="1196" spans="1:10" ht="15" customHeight="1" x14ac:dyDescent="0.2">
      <c r="A1196" s="50">
        <f t="array" ref="A1196">+INDEX(Partidas!$A:$J,MATCH('Resultados dashboard'!$B1196,Partidas!$C:$C,0),2)</f>
        <v>45781</v>
      </c>
      <c r="B1196" s="56">
        <f>+IF(COUNTIF($B$2:B1195,B1195)=VLOOKUP(B1195,Partidas!$C:$J,8,0),B1195+1,B1195)</f>
        <v>266</v>
      </c>
      <c r="C1196" s="41" t="str">
        <f t="array" ref="C1196">+INDEX(Partidas!$A:$J,MATCH('Resultados dashboard'!$B1196,Partidas!$C:$C,0),3+COUNTIF($B$2:B1196,'Resultados dashboard'!$B1196))</f>
        <v>Ivo</v>
      </c>
      <c r="D1196" s="54">
        <v>4</v>
      </c>
      <c r="E1196" s="53"/>
      <c r="F1196" s="54">
        <v>1</v>
      </c>
      <c r="G1196" s="53"/>
      <c r="H1196" s="38">
        <f t="shared" si="10"/>
        <v>6</v>
      </c>
      <c r="I1196" s="38">
        <f t="shared" si="11"/>
        <v>4</v>
      </c>
      <c r="J1196" s="55"/>
    </row>
    <row r="1197" spans="1:10" ht="15" customHeight="1" x14ac:dyDescent="0.2">
      <c r="A1197" s="50">
        <f t="array" ref="A1197">+INDEX(Partidas!$A:$J,MATCH('Resultados dashboard'!$B1197,Partidas!$C:$C,0),2)</f>
        <v>45781</v>
      </c>
      <c r="B1197" s="56">
        <f>+IF(COUNTIF($B$2:B1196,B1196)=VLOOKUP(B1196,Partidas!$C:$J,8,0),B1196+1,B1196)</f>
        <v>266</v>
      </c>
      <c r="C1197" s="41" t="str">
        <f t="array" ref="C1197">+INDEX(Partidas!$A:$J,MATCH('Resultados dashboard'!$B1197,Partidas!$C:$C,0),3+COUNTIF($B$2:B1197,'Resultados dashboard'!$B1197))</f>
        <v>Max</v>
      </c>
      <c r="D1197" s="54">
        <v>7</v>
      </c>
      <c r="E1197" s="53"/>
      <c r="F1197" s="53"/>
      <c r="G1197" s="54">
        <v>1</v>
      </c>
      <c r="H1197" s="38">
        <f t="shared" si="10"/>
        <v>9</v>
      </c>
      <c r="I1197" s="38">
        <f t="shared" si="11"/>
        <v>2</v>
      </c>
      <c r="J1197" s="55"/>
    </row>
    <row r="1198" spans="1:10" ht="15" customHeight="1" x14ac:dyDescent="0.2">
      <c r="A1198" s="50">
        <f t="array" ref="A1198">+INDEX(Partidas!$A:$J,MATCH('Resultados dashboard'!$B1198,Partidas!$C:$C,0),2)</f>
        <v>45781</v>
      </c>
      <c r="B1198" s="56">
        <f>+IF(COUNTIF($B$2:B1197,B1197)=VLOOKUP(B1197,Partidas!$C:$J,8,0),B1197+1,B1197)</f>
        <v>266</v>
      </c>
      <c r="C1198" s="41" t="str">
        <f t="array" ref="C1198">+INDEX(Partidas!$A:$J,MATCH('Resultados dashboard'!$B1198,Partidas!$C:$C,0),3+COUNTIF($B$2:B1198,'Resultados dashboard'!$B1198))</f>
        <v>Moch</v>
      </c>
      <c r="D1198" s="54">
        <v>6</v>
      </c>
      <c r="E1198" s="54">
        <v>1</v>
      </c>
      <c r="F1198" s="53"/>
      <c r="G1198" s="53"/>
      <c r="H1198" s="38">
        <f t="shared" si="10"/>
        <v>7</v>
      </c>
      <c r="I1198" s="38">
        <f t="shared" si="11"/>
        <v>3</v>
      </c>
      <c r="J1198" s="55"/>
    </row>
    <row r="1199" spans="1:10" ht="15" customHeight="1" x14ac:dyDescent="0.2">
      <c r="A1199" s="50">
        <f t="array" ref="A1199">+INDEX(Partidas!$A:$J,MATCH('Resultados dashboard'!$B1199,Partidas!$C:$C,0),2)</f>
        <v>45781</v>
      </c>
      <c r="B1199" s="56">
        <f>+IF(COUNTIF($B$2:B1198,B1198)=VLOOKUP(B1198,Partidas!$C:$J,8,0),B1198+1,B1198)</f>
        <v>266</v>
      </c>
      <c r="C1199" s="41" t="str">
        <f t="array" ref="C1199">+INDEX(Partidas!$A:$J,MATCH('Resultados dashboard'!$B1199,Partidas!$C:$C,0),3+COUNTIF($B$2:B1199,'Resultados dashboard'!$B1199))</f>
        <v>Hugo</v>
      </c>
      <c r="D1199" s="54">
        <v>5</v>
      </c>
      <c r="E1199" s="54">
        <v>1</v>
      </c>
      <c r="F1199" s="53"/>
      <c r="G1199" s="53"/>
      <c r="H1199" s="38">
        <f t="shared" si="10"/>
        <v>6</v>
      </c>
      <c r="I1199" s="38">
        <f t="shared" si="11"/>
        <v>4</v>
      </c>
      <c r="J1199" s="55"/>
    </row>
    <row r="1200" spans="1:10" ht="15" customHeight="1" x14ac:dyDescent="0.2">
      <c r="A1200" s="50">
        <f t="array" ref="A1200">+INDEX(Partidas!$A:$J,MATCH('Resultados dashboard'!$B1200,Partidas!$C:$C,0),2)</f>
        <v>45781</v>
      </c>
      <c r="B1200" s="56">
        <f>+IF(COUNTIF($B$2:B1199,B1199)=VLOOKUP(B1199,Partidas!$C:$J,8,0),B1199+1,B1199)</f>
        <v>267</v>
      </c>
      <c r="C1200" s="41" t="str">
        <f t="array" ref="C1200">+INDEX(Partidas!$A:$J,MATCH('Resultados dashboard'!$B1200,Partidas!$C:$C,0),3+COUNTIF($B$2:B1200,'Resultados dashboard'!$B1200))</f>
        <v>Gallo</v>
      </c>
      <c r="D1200" s="54">
        <v>7</v>
      </c>
      <c r="E1200" s="53"/>
      <c r="F1200" s="53"/>
      <c r="G1200" s="54">
        <v>1</v>
      </c>
      <c r="H1200" s="38">
        <f t="shared" si="10"/>
        <v>9</v>
      </c>
      <c r="I1200" s="38">
        <f t="shared" si="11"/>
        <v>2</v>
      </c>
      <c r="J1200" s="55"/>
    </row>
    <row r="1201" spans="1:10" ht="15" customHeight="1" x14ac:dyDescent="0.2">
      <c r="A1201" s="50">
        <f t="array" ref="A1201">+INDEX(Partidas!$A:$J,MATCH('Resultados dashboard'!$B1201,Partidas!$C:$C,0),2)</f>
        <v>45781</v>
      </c>
      <c r="B1201" s="56">
        <f>+IF(COUNTIF($B$2:B1200,B1200)=VLOOKUP(B1200,Partidas!$C:$J,8,0),B1200+1,B1200)</f>
        <v>267</v>
      </c>
      <c r="C1201" s="41" t="str">
        <f t="array" ref="C1201">+INDEX(Partidas!$A:$J,MATCH('Resultados dashboard'!$B1201,Partidas!$C:$C,0),3+COUNTIF($B$2:B1201,'Resultados dashboard'!$B1201))</f>
        <v>Ivo</v>
      </c>
      <c r="D1201" s="54">
        <v>7</v>
      </c>
      <c r="E1201" s="53"/>
      <c r="F1201" s="53"/>
      <c r="G1201" s="53"/>
      <c r="H1201" s="38">
        <f t="shared" si="10"/>
        <v>7</v>
      </c>
      <c r="I1201" s="38">
        <f t="shared" si="11"/>
        <v>5</v>
      </c>
      <c r="J1201" s="55"/>
    </row>
    <row r="1202" spans="1:10" ht="15" customHeight="1" x14ac:dyDescent="0.2">
      <c r="A1202" s="50">
        <f t="array" ref="A1202">+INDEX(Partidas!$A:$J,MATCH('Resultados dashboard'!$B1202,Partidas!$C:$C,0),2)</f>
        <v>45781</v>
      </c>
      <c r="B1202" s="56">
        <f>+IF(COUNTIF($B$2:B1201,B1201)=VLOOKUP(B1201,Partidas!$C:$J,8,0),B1201+1,B1201)</f>
        <v>267</v>
      </c>
      <c r="C1202" s="41" t="str">
        <f t="array" ref="C1202">+INDEX(Partidas!$A:$J,MATCH('Resultados dashboard'!$B1202,Partidas!$C:$C,0),3+COUNTIF($B$2:B1202,'Resultados dashboard'!$B1202))</f>
        <v>Max</v>
      </c>
      <c r="D1202" s="54">
        <v>6</v>
      </c>
      <c r="E1202" s="53"/>
      <c r="F1202" s="54">
        <v>1</v>
      </c>
      <c r="G1202" s="53"/>
      <c r="H1202" s="38">
        <f t="shared" si="10"/>
        <v>8</v>
      </c>
      <c r="I1202" s="38">
        <f t="shared" si="11"/>
        <v>3</v>
      </c>
      <c r="J1202" s="55"/>
    </row>
    <row r="1203" spans="1:10" ht="15" customHeight="1" x14ac:dyDescent="0.2">
      <c r="A1203" s="50">
        <f t="array" ref="A1203">+INDEX(Partidas!$A:$J,MATCH('Resultados dashboard'!$B1203,Partidas!$C:$C,0),2)</f>
        <v>45781</v>
      </c>
      <c r="B1203" s="56">
        <f>+IF(COUNTIF($B$2:B1202,B1202)=VLOOKUP(B1202,Partidas!$C:$J,8,0),B1202+1,B1202)</f>
        <v>267</v>
      </c>
      <c r="C1203" s="41" t="str">
        <f t="array" ref="C1203">+INDEX(Partidas!$A:$J,MATCH('Resultados dashboard'!$B1203,Partidas!$C:$C,0),3+COUNTIF($B$2:B1203,'Resultados dashboard'!$B1203))</f>
        <v>Moch</v>
      </c>
      <c r="D1203" s="54">
        <v>8</v>
      </c>
      <c r="E1203" s="53"/>
      <c r="F1203" s="53"/>
      <c r="G1203" s="53"/>
      <c r="H1203" s="38">
        <f t="shared" si="10"/>
        <v>8</v>
      </c>
      <c r="I1203" s="38">
        <f t="shared" si="11"/>
        <v>3</v>
      </c>
      <c r="J1203" s="55"/>
    </row>
    <row r="1204" spans="1:10" ht="15" customHeight="1" x14ac:dyDescent="0.2">
      <c r="A1204" s="50">
        <f t="array" ref="A1204">+INDEX(Partidas!$A:$J,MATCH('Resultados dashboard'!$B1204,Partidas!$C:$C,0),2)</f>
        <v>45781</v>
      </c>
      <c r="B1204" s="56">
        <f>+IF(COUNTIF($B$2:B1203,B1203)=VLOOKUP(B1203,Partidas!$C:$J,8,0),B1203+1,B1203)</f>
        <v>267</v>
      </c>
      <c r="C1204" s="41" t="str">
        <f t="array" ref="C1204">+INDEX(Partidas!$A:$J,MATCH('Resultados dashboard'!$B1204,Partidas!$C:$C,0),3+COUNTIF($B$2:B1204,'Resultados dashboard'!$B1204))</f>
        <v>Hugo</v>
      </c>
      <c r="D1204" s="54">
        <v>9</v>
      </c>
      <c r="E1204" s="54">
        <v>1</v>
      </c>
      <c r="F1204" s="53"/>
      <c r="G1204" s="53"/>
      <c r="H1204" s="38">
        <f t="shared" si="10"/>
        <v>10</v>
      </c>
      <c r="I1204" s="38">
        <f t="shared" si="11"/>
        <v>1</v>
      </c>
      <c r="J1204" s="55"/>
    </row>
    <row r="1205" spans="1:10" ht="15" customHeight="1" x14ac:dyDescent="0.2">
      <c r="A1205" s="50">
        <f t="array" ref="A1205">+INDEX(Partidas!$A:$J,MATCH('Resultados dashboard'!$B1205,Partidas!$C:$C,0),2)</f>
        <v>45781</v>
      </c>
      <c r="B1205" s="56">
        <f>+IF(COUNTIF($B$2:B1204,B1204)=VLOOKUP(B1204,Partidas!$C:$J,8,0),B1204+1,B1204)</f>
        <v>268</v>
      </c>
      <c r="C1205" s="41" t="str">
        <f t="array" ref="C1205">+INDEX(Partidas!$A:$J,MATCH('Resultados dashboard'!$B1205,Partidas!$C:$C,0),3+COUNTIF($B$2:B1205,'Resultados dashboard'!$B1205))</f>
        <v>Gallo</v>
      </c>
      <c r="D1205" s="54">
        <v>6</v>
      </c>
      <c r="E1205" s="54">
        <v>1</v>
      </c>
      <c r="F1205" s="53"/>
      <c r="G1205" s="53"/>
      <c r="H1205" s="38">
        <f t="shared" si="10"/>
        <v>7</v>
      </c>
      <c r="I1205" s="38">
        <f t="shared" si="11"/>
        <v>2</v>
      </c>
      <c r="J1205" s="55"/>
    </row>
    <row r="1206" spans="1:10" ht="15" customHeight="1" x14ac:dyDescent="0.2">
      <c r="A1206" s="50">
        <f t="array" ref="A1206">+INDEX(Partidas!$A:$J,MATCH('Resultados dashboard'!$B1206,Partidas!$C:$C,0),2)</f>
        <v>45781</v>
      </c>
      <c r="B1206" s="56">
        <f>+IF(COUNTIF($B$2:B1205,B1205)=VLOOKUP(B1205,Partidas!$C:$J,8,0),B1205+1,B1205)</f>
        <v>268</v>
      </c>
      <c r="C1206" s="41" t="str">
        <f t="array" ref="C1206">+INDEX(Partidas!$A:$J,MATCH('Resultados dashboard'!$B1206,Partidas!$C:$C,0),3+COUNTIF($B$2:B1206,'Resultados dashboard'!$B1206))</f>
        <v>Ivo</v>
      </c>
      <c r="D1206" s="54">
        <v>4</v>
      </c>
      <c r="E1206" s="53"/>
      <c r="F1206" s="54">
        <v>1</v>
      </c>
      <c r="G1206" s="53"/>
      <c r="H1206" s="38">
        <f t="shared" si="10"/>
        <v>6</v>
      </c>
      <c r="I1206" s="38">
        <f t="shared" si="11"/>
        <v>4</v>
      </c>
      <c r="J1206" s="55"/>
    </row>
    <row r="1207" spans="1:10" ht="15" customHeight="1" x14ac:dyDescent="0.2">
      <c r="A1207" s="50">
        <f t="array" ref="A1207">+INDEX(Partidas!$A:$J,MATCH('Resultados dashboard'!$B1207,Partidas!$C:$C,0),2)</f>
        <v>45781</v>
      </c>
      <c r="B1207" s="56">
        <f>+IF(COUNTIF($B$2:B1206,B1206)=VLOOKUP(B1206,Partidas!$C:$J,8,0),B1206+1,B1206)</f>
        <v>268</v>
      </c>
      <c r="C1207" s="41" t="str">
        <f t="array" ref="C1207">+INDEX(Partidas!$A:$J,MATCH('Resultados dashboard'!$B1207,Partidas!$C:$C,0),3+COUNTIF($B$2:B1207,'Resultados dashboard'!$B1207))</f>
        <v>Max</v>
      </c>
      <c r="D1207" s="54">
        <v>8</v>
      </c>
      <c r="E1207" s="53"/>
      <c r="F1207" s="53"/>
      <c r="G1207" s="54">
        <v>1</v>
      </c>
      <c r="H1207" s="38">
        <f t="shared" si="10"/>
        <v>10</v>
      </c>
      <c r="I1207" s="38">
        <f t="shared" si="11"/>
        <v>1</v>
      </c>
      <c r="J1207" s="55"/>
    </row>
    <row r="1208" spans="1:10" ht="15" customHeight="1" x14ac:dyDescent="0.2">
      <c r="A1208" s="50">
        <f t="array" ref="A1208">+INDEX(Partidas!$A:$J,MATCH('Resultados dashboard'!$B1208,Partidas!$C:$C,0),2)</f>
        <v>45781</v>
      </c>
      <c r="B1208" s="56">
        <f>+IF(COUNTIF($B$2:B1207,B1207)=VLOOKUP(B1207,Partidas!$C:$J,8,0),B1207+1,B1207)</f>
        <v>268</v>
      </c>
      <c r="C1208" s="41" t="str">
        <f t="array" ref="C1208">+INDEX(Partidas!$A:$J,MATCH('Resultados dashboard'!$B1208,Partidas!$C:$C,0),3+COUNTIF($B$2:B1208,'Resultados dashboard'!$B1208))</f>
        <v>Moch</v>
      </c>
      <c r="D1208" s="54">
        <v>5</v>
      </c>
      <c r="E1208" s="54">
        <v>1</v>
      </c>
      <c r="F1208" s="53"/>
      <c r="G1208" s="53"/>
      <c r="H1208" s="38">
        <f t="shared" si="10"/>
        <v>6</v>
      </c>
      <c r="I1208" s="38">
        <f t="shared" si="11"/>
        <v>4</v>
      </c>
      <c r="J1208" s="55"/>
    </row>
    <row r="1209" spans="1:10" ht="15" customHeight="1" x14ac:dyDescent="0.2">
      <c r="A1209" s="50">
        <f t="array" ref="A1209">+INDEX(Partidas!$A:$J,MATCH('Resultados dashboard'!$B1209,Partidas!$C:$C,0),2)</f>
        <v>45781</v>
      </c>
      <c r="B1209" s="56">
        <f>+IF(COUNTIF($B$2:B1208,B1208)=VLOOKUP(B1208,Partidas!$C:$J,8,0),B1208+1,B1208)</f>
        <v>268</v>
      </c>
      <c r="C1209" s="41" t="str">
        <f t="array" ref="C1209">+INDEX(Partidas!$A:$J,MATCH('Resultados dashboard'!$B1209,Partidas!$C:$C,0),3+COUNTIF($B$2:B1209,'Resultados dashboard'!$B1209))</f>
        <v>Hugo</v>
      </c>
      <c r="D1209" s="54">
        <v>6</v>
      </c>
      <c r="E1209" s="54">
        <v>1</v>
      </c>
      <c r="F1209" s="53"/>
      <c r="G1209" s="53"/>
      <c r="H1209" s="38">
        <f t="shared" si="10"/>
        <v>7</v>
      </c>
      <c r="I1209" s="38">
        <f t="shared" si="11"/>
        <v>2</v>
      </c>
      <c r="J1209" s="55"/>
    </row>
    <row r="1210" spans="1:10" ht="15" customHeight="1" x14ac:dyDescent="0.2">
      <c r="A1210" s="50">
        <f t="array" ref="A1210">+INDEX(Partidas!$A:$J,MATCH('Resultados dashboard'!$B1210,Partidas!$C:$C,0),2)</f>
        <v>45781</v>
      </c>
      <c r="B1210" s="56">
        <f>+IF(COUNTIF($B$2:B1209,B1209)=VLOOKUP(B1209,Partidas!$C:$J,8,0),B1209+1,B1209)</f>
        <v>269</v>
      </c>
      <c r="C1210" s="41" t="str">
        <f t="array" ref="C1210">+INDEX(Partidas!$A:$J,MATCH('Resultados dashboard'!$B1210,Partidas!$C:$C,0),3+COUNTIF($B$2:B1210,'Resultados dashboard'!$B1210))</f>
        <v>Gallo</v>
      </c>
      <c r="D1210" s="54">
        <v>5</v>
      </c>
      <c r="E1210" s="53"/>
      <c r="F1210" s="53"/>
      <c r="G1210" s="54">
        <v>1</v>
      </c>
      <c r="H1210" s="38">
        <f t="shared" si="10"/>
        <v>7</v>
      </c>
      <c r="I1210" s="38">
        <f t="shared" si="11"/>
        <v>4</v>
      </c>
      <c r="J1210" s="55"/>
    </row>
    <row r="1211" spans="1:10" ht="15" customHeight="1" x14ac:dyDescent="0.2">
      <c r="A1211" s="50">
        <f t="array" ref="A1211">+INDEX(Partidas!$A:$J,MATCH('Resultados dashboard'!$B1211,Partidas!$C:$C,0),2)</f>
        <v>45781</v>
      </c>
      <c r="B1211" s="56">
        <f>+IF(COUNTIF($B$2:B1210,B1210)=VLOOKUP(B1210,Partidas!$C:$J,8,0),B1210+1,B1210)</f>
        <v>269</v>
      </c>
      <c r="C1211" s="41" t="str">
        <f t="array" ref="C1211">+INDEX(Partidas!$A:$J,MATCH('Resultados dashboard'!$B1211,Partidas!$C:$C,0),3+COUNTIF($B$2:B1211,'Resultados dashboard'!$B1211))</f>
        <v>Ivo</v>
      </c>
      <c r="D1211" s="54">
        <v>6</v>
      </c>
      <c r="E1211" s="53"/>
      <c r="F1211" s="53"/>
      <c r="G1211" s="53"/>
      <c r="H1211" s="38">
        <f t="shared" si="10"/>
        <v>6</v>
      </c>
      <c r="I1211" s="38">
        <f t="shared" si="11"/>
        <v>5</v>
      </c>
      <c r="J1211" s="55"/>
    </row>
    <row r="1212" spans="1:10" ht="15" customHeight="1" x14ac:dyDescent="0.2">
      <c r="A1212" s="50">
        <f t="array" ref="A1212">+INDEX(Partidas!$A:$J,MATCH('Resultados dashboard'!$B1212,Partidas!$C:$C,0),2)</f>
        <v>45781</v>
      </c>
      <c r="B1212" s="56">
        <f>+IF(COUNTIF($B$2:B1211,B1211)=VLOOKUP(B1211,Partidas!$C:$J,8,0),B1211+1,B1211)</f>
        <v>269</v>
      </c>
      <c r="C1212" s="41" t="str">
        <f t="array" ref="C1212">+INDEX(Partidas!$A:$J,MATCH('Resultados dashboard'!$B1212,Partidas!$C:$C,0),3+COUNTIF($B$2:B1212,'Resultados dashboard'!$B1212))</f>
        <v>Max</v>
      </c>
      <c r="D1212" s="54">
        <v>8</v>
      </c>
      <c r="E1212" s="54">
        <v>2</v>
      </c>
      <c r="F1212" s="53"/>
      <c r="G1212" s="53"/>
      <c r="H1212" s="38">
        <f t="shared" si="10"/>
        <v>10</v>
      </c>
      <c r="I1212" s="38">
        <f t="shared" si="11"/>
        <v>1</v>
      </c>
      <c r="J1212" s="55"/>
    </row>
    <row r="1213" spans="1:10" ht="15" customHeight="1" x14ac:dyDescent="0.2">
      <c r="A1213" s="50">
        <f t="array" ref="A1213">+INDEX(Partidas!$A:$J,MATCH('Resultados dashboard'!$B1213,Partidas!$C:$C,0),2)</f>
        <v>45781</v>
      </c>
      <c r="B1213" s="56">
        <f>+IF(COUNTIF($B$2:B1212,B1212)=VLOOKUP(B1212,Partidas!$C:$J,8,0),B1212+1,B1212)</f>
        <v>269</v>
      </c>
      <c r="C1213" s="41" t="str">
        <f t="array" ref="C1213">+INDEX(Partidas!$A:$J,MATCH('Resultados dashboard'!$B1213,Partidas!$C:$C,0),3+COUNTIF($B$2:B1213,'Resultados dashboard'!$B1213))</f>
        <v>Moch</v>
      </c>
      <c r="D1213" s="54">
        <v>8</v>
      </c>
      <c r="E1213" s="54">
        <v>1</v>
      </c>
      <c r="F1213" s="53"/>
      <c r="G1213" s="53"/>
      <c r="H1213" s="38">
        <f t="shared" si="10"/>
        <v>9</v>
      </c>
      <c r="I1213" s="38">
        <f t="shared" si="11"/>
        <v>2</v>
      </c>
      <c r="J1213" s="55"/>
    </row>
    <row r="1214" spans="1:10" ht="15" customHeight="1" x14ac:dyDescent="0.2">
      <c r="A1214" s="50">
        <f t="array" ref="A1214">+INDEX(Partidas!$A:$J,MATCH('Resultados dashboard'!$B1214,Partidas!$C:$C,0),2)</f>
        <v>45781</v>
      </c>
      <c r="B1214" s="56">
        <f>+IF(COUNTIF($B$2:B1213,B1213)=VLOOKUP(B1213,Partidas!$C:$J,8,0),B1213+1,B1213)</f>
        <v>269</v>
      </c>
      <c r="C1214" s="41" t="str">
        <f t="array" ref="C1214">+INDEX(Partidas!$A:$J,MATCH('Resultados dashboard'!$B1214,Partidas!$C:$C,0),3+COUNTIF($B$2:B1214,'Resultados dashboard'!$B1214))</f>
        <v>Hugo</v>
      </c>
      <c r="D1214" s="54">
        <v>7</v>
      </c>
      <c r="E1214" s="53"/>
      <c r="F1214" s="54">
        <v>1</v>
      </c>
      <c r="G1214" s="53"/>
      <c r="H1214" s="38">
        <f t="shared" si="10"/>
        <v>9</v>
      </c>
      <c r="I1214" s="38">
        <f t="shared" si="11"/>
        <v>2</v>
      </c>
      <c r="J1214" s="55"/>
    </row>
    <row r="1215" spans="1:10" ht="15" customHeight="1" x14ac:dyDescent="0.2">
      <c r="A1215" s="50">
        <f t="array" ref="A1215">+INDEX(Partidas!$A:$J,MATCH('Resultados dashboard'!$B1215,Partidas!$C:$C,0),2)</f>
        <v>45795</v>
      </c>
      <c r="B1215" s="56">
        <f>+IF(COUNTIF($B$2:B1214,B1214)=VLOOKUP(B1214,Partidas!$C:$J,8,0),B1214+1,B1214)</f>
        <v>270</v>
      </c>
      <c r="C1215" s="41" t="str">
        <f t="array" ref="C1215">+INDEX(Partidas!$A:$J,MATCH('Resultados dashboard'!$B1215,Partidas!$C:$C,0),3+COUNTIF($B$2:B1215,'Resultados dashboard'!$B1215))</f>
        <v>Ivo</v>
      </c>
      <c r="D1215" s="54">
        <v>4</v>
      </c>
      <c r="E1215" s="54">
        <v>1</v>
      </c>
      <c r="F1215" s="53"/>
      <c r="G1215" s="53"/>
      <c r="H1215" s="38">
        <f t="shared" si="10"/>
        <v>5</v>
      </c>
      <c r="I1215" s="38">
        <f t="shared" si="11"/>
        <v>4</v>
      </c>
      <c r="J1215" s="55"/>
    </row>
    <row r="1216" spans="1:10" ht="15" customHeight="1" x14ac:dyDescent="0.2">
      <c r="A1216" s="50">
        <f t="array" ref="A1216">+INDEX(Partidas!$A:$J,MATCH('Resultados dashboard'!$B1216,Partidas!$C:$C,0),2)</f>
        <v>45795</v>
      </c>
      <c r="B1216" s="56">
        <f>+IF(COUNTIF($B$2:B1215,B1215)=VLOOKUP(B1215,Partidas!$C:$J,8,0),B1215+1,B1215)</f>
        <v>270</v>
      </c>
      <c r="C1216" s="41" t="str">
        <f t="array" ref="C1216">+INDEX(Partidas!$A:$J,MATCH('Resultados dashboard'!$B1216,Partidas!$C:$C,0),3+COUNTIF($B$2:B1216,'Resultados dashboard'!$B1216))</f>
        <v>Max</v>
      </c>
      <c r="D1216" s="54">
        <v>6</v>
      </c>
      <c r="E1216" s="53"/>
      <c r="F1216" s="53"/>
      <c r="G1216" s="53"/>
      <c r="H1216" s="38">
        <f t="shared" si="10"/>
        <v>6</v>
      </c>
      <c r="I1216" s="38">
        <f t="shared" si="11"/>
        <v>3</v>
      </c>
      <c r="J1216" s="55"/>
    </row>
    <row r="1217" spans="1:10" ht="15" customHeight="1" x14ac:dyDescent="0.2">
      <c r="A1217" s="50">
        <f t="array" ref="A1217">+INDEX(Partidas!$A:$J,MATCH('Resultados dashboard'!$B1217,Partidas!$C:$C,0),2)</f>
        <v>45795</v>
      </c>
      <c r="B1217" s="56">
        <f>+IF(COUNTIF($B$2:B1216,B1216)=VLOOKUP(B1216,Partidas!$C:$J,8,0),B1216+1,B1216)</f>
        <v>270</v>
      </c>
      <c r="C1217" s="41" t="str">
        <f t="array" ref="C1217">+INDEX(Partidas!$A:$J,MATCH('Resultados dashboard'!$B1217,Partidas!$C:$C,0),3+COUNTIF($B$2:B1217,'Resultados dashboard'!$B1217))</f>
        <v>Hugo</v>
      </c>
      <c r="D1217" s="54">
        <v>6</v>
      </c>
      <c r="E1217" s="54">
        <v>2</v>
      </c>
      <c r="F1217" s="53"/>
      <c r="G1217" s="54">
        <v>1</v>
      </c>
      <c r="H1217" s="38">
        <f t="shared" si="10"/>
        <v>10</v>
      </c>
      <c r="I1217" s="38">
        <f t="shared" si="11"/>
        <v>1</v>
      </c>
      <c r="J1217" s="55"/>
    </row>
    <row r="1218" spans="1:10" ht="15" customHeight="1" x14ac:dyDescent="0.2">
      <c r="A1218" s="50">
        <f t="array" ref="A1218">+INDEX(Partidas!$A:$J,MATCH('Resultados dashboard'!$B1218,Partidas!$C:$C,0),2)</f>
        <v>45795</v>
      </c>
      <c r="B1218" s="56">
        <f>+IF(COUNTIF($B$2:B1217,B1217)=VLOOKUP(B1217,Partidas!$C:$J,8,0),B1217+1,B1217)</f>
        <v>270</v>
      </c>
      <c r="C1218" s="41" t="str">
        <f t="array" ref="C1218">+INDEX(Partidas!$A:$J,MATCH('Resultados dashboard'!$B1218,Partidas!$C:$C,0),3+COUNTIF($B$2:B1218,'Resultados dashboard'!$B1218))</f>
        <v>Moch</v>
      </c>
      <c r="D1218" s="54">
        <v>7</v>
      </c>
      <c r="E1218" s="53"/>
      <c r="F1218" s="54">
        <v>1</v>
      </c>
      <c r="G1218" s="53"/>
      <c r="H1218" s="38">
        <f t="shared" si="10"/>
        <v>9</v>
      </c>
      <c r="I1218" s="38">
        <f t="shared" si="11"/>
        <v>2</v>
      </c>
      <c r="J1218" s="55"/>
    </row>
    <row r="1219" spans="1:10" ht="15" customHeight="1" x14ac:dyDescent="0.2">
      <c r="A1219" s="50">
        <f t="array" ref="A1219">+INDEX(Partidas!$A:$J,MATCH('Resultados dashboard'!$B1219,Partidas!$C:$C,0),2)</f>
        <v>45795</v>
      </c>
      <c r="B1219" s="56">
        <f>+IF(COUNTIF($B$2:B1218,B1218)=VLOOKUP(B1218,Partidas!$C:$J,8,0),B1218+1,B1218)</f>
        <v>271</v>
      </c>
      <c r="C1219" s="41" t="str">
        <f t="array" ref="C1219">+INDEX(Partidas!$A:$J,MATCH('Resultados dashboard'!$B1219,Partidas!$C:$C,0),3+COUNTIF($B$2:B1219,'Resultados dashboard'!$B1219))</f>
        <v>Ivo</v>
      </c>
      <c r="D1219" s="54">
        <v>4</v>
      </c>
      <c r="E1219" s="53"/>
      <c r="F1219" s="53"/>
      <c r="G1219" s="53"/>
      <c r="H1219" s="38">
        <f t="shared" si="10"/>
        <v>4</v>
      </c>
      <c r="I1219" s="38">
        <f t="shared" si="11"/>
        <v>4</v>
      </c>
      <c r="J1219" s="55"/>
    </row>
    <row r="1220" spans="1:10" ht="15" customHeight="1" x14ac:dyDescent="0.2">
      <c r="A1220" s="50">
        <f t="array" ref="A1220">+INDEX(Partidas!$A:$J,MATCH('Resultados dashboard'!$B1220,Partidas!$C:$C,0),2)</f>
        <v>45795</v>
      </c>
      <c r="B1220" s="56">
        <f>+IF(COUNTIF($B$2:B1219,B1219)=VLOOKUP(B1219,Partidas!$C:$J,8,0),B1219+1,B1219)</f>
        <v>271</v>
      </c>
      <c r="C1220" s="41" t="str">
        <f t="array" ref="C1220">+INDEX(Partidas!$A:$J,MATCH('Resultados dashboard'!$B1220,Partidas!$C:$C,0),3+COUNTIF($B$2:B1220,'Resultados dashboard'!$B1220))</f>
        <v>Max</v>
      </c>
      <c r="D1220" s="54">
        <v>7</v>
      </c>
      <c r="E1220" s="54">
        <v>1</v>
      </c>
      <c r="F1220" s="54">
        <v>1</v>
      </c>
      <c r="G1220" s="53"/>
      <c r="H1220" s="38">
        <f t="shared" si="10"/>
        <v>10</v>
      </c>
      <c r="I1220" s="38">
        <f t="shared" si="11"/>
        <v>1</v>
      </c>
      <c r="J1220" s="55"/>
    </row>
    <row r="1221" spans="1:10" ht="15" customHeight="1" x14ac:dyDescent="0.2">
      <c r="A1221" s="50">
        <f t="array" ref="A1221">+INDEX(Partidas!$A:$J,MATCH('Resultados dashboard'!$B1221,Partidas!$C:$C,0),2)</f>
        <v>45795</v>
      </c>
      <c r="B1221" s="56">
        <f>+IF(COUNTIF($B$2:B1220,B1220)=VLOOKUP(B1220,Partidas!$C:$J,8,0),B1220+1,B1220)</f>
        <v>271</v>
      </c>
      <c r="C1221" s="41" t="str">
        <f t="array" ref="C1221">+INDEX(Partidas!$A:$J,MATCH('Resultados dashboard'!$B1221,Partidas!$C:$C,0),3+COUNTIF($B$2:B1221,'Resultados dashboard'!$B1221))</f>
        <v>Hugo</v>
      </c>
      <c r="D1221" s="54">
        <v>7</v>
      </c>
      <c r="E1221" s="54">
        <v>2</v>
      </c>
      <c r="F1221" s="53"/>
      <c r="G1221" s="53"/>
      <c r="H1221" s="38">
        <f t="shared" si="10"/>
        <v>9</v>
      </c>
      <c r="I1221" s="38">
        <f t="shared" si="11"/>
        <v>2</v>
      </c>
      <c r="J1221" s="55"/>
    </row>
    <row r="1222" spans="1:10" ht="15" customHeight="1" x14ac:dyDescent="0.2">
      <c r="A1222" s="50">
        <f t="array" ref="A1222">+INDEX(Partidas!$A:$J,MATCH('Resultados dashboard'!$B1222,Partidas!$C:$C,0),2)</f>
        <v>45795</v>
      </c>
      <c r="B1222" s="56">
        <f>+IF(COUNTIF($B$2:B1221,B1221)=VLOOKUP(B1221,Partidas!$C:$J,8,0),B1221+1,B1221)</f>
        <v>271</v>
      </c>
      <c r="C1222" s="41" t="str">
        <f t="array" ref="C1222">+INDEX(Partidas!$A:$J,MATCH('Resultados dashboard'!$B1222,Partidas!$C:$C,0),3+COUNTIF($B$2:B1222,'Resultados dashboard'!$B1222))</f>
        <v>Moch</v>
      </c>
      <c r="D1222" s="54">
        <v>7</v>
      </c>
      <c r="E1222" s="53"/>
      <c r="F1222" s="53"/>
      <c r="G1222" s="54">
        <v>1</v>
      </c>
      <c r="H1222" s="38">
        <f t="shared" si="10"/>
        <v>9</v>
      </c>
      <c r="I1222" s="38">
        <f t="shared" si="11"/>
        <v>2</v>
      </c>
      <c r="J1222" s="55"/>
    </row>
    <row r="1223" spans="1:10" ht="15" customHeight="1" x14ac:dyDescent="0.2">
      <c r="A1223" s="50">
        <f t="array" ref="A1223">+INDEX(Partidas!$A:$J,MATCH('Resultados dashboard'!$B1223,Partidas!$C:$C,0),2)</f>
        <v>45795</v>
      </c>
      <c r="B1223" s="56">
        <f>+IF(COUNTIF($B$2:B1222,B1222)=VLOOKUP(B1222,Partidas!$C:$J,8,0),B1222+1,B1222)</f>
        <v>272</v>
      </c>
      <c r="C1223" s="41" t="str">
        <f t="array" ref="C1223">+INDEX(Partidas!$A:$J,MATCH('Resultados dashboard'!$B1223,Partidas!$C:$C,0),3+COUNTIF($B$2:B1223,'Resultados dashboard'!$B1223))</f>
        <v>Ivo</v>
      </c>
      <c r="D1223" s="54">
        <v>7</v>
      </c>
      <c r="E1223" s="54">
        <v>1</v>
      </c>
      <c r="F1223" s="54">
        <v>1</v>
      </c>
      <c r="G1223" s="53"/>
      <c r="H1223" s="38">
        <f t="shared" si="10"/>
        <v>10</v>
      </c>
      <c r="I1223" s="38">
        <f t="shared" si="11"/>
        <v>1</v>
      </c>
      <c r="J1223" s="55"/>
    </row>
    <row r="1224" spans="1:10" ht="15" customHeight="1" x14ac:dyDescent="0.2">
      <c r="A1224" s="50">
        <f t="array" ref="A1224">+INDEX(Partidas!$A:$J,MATCH('Resultados dashboard'!$B1224,Partidas!$C:$C,0),2)</f>
        <v>45795</v>
      </c>
      <c r="B1224" s="56">
        <f>+IF(COUNTIF($B$2:B1223,B1223)=VLOOKUP(B1223,Partidas!$C:$J,8,0),B1223+1,B1223)</f>
        <v>272</v>
      </c>
      <c r="C1224" s="41" t="str">
        <f t="array" ref="C1224">+INDEX(Partidas!$A:$J,MATCH('Resultados dashboard'!$B1224,Partidas!$C:$C,0),3+COUNTIF($B$2:B1224,'Resultados dashboard'!$B1224))</f>
        <v>Max</v>
      </c>
      <c r="D1224" s="54">
        <v>6</v>
      </c>
      <c r="E1224" s="53"/>
      <c r="F1224" s="53"/>
      <c r="G1224" s="53"/>
      <c r="H1224" s="38">
        <f t="shared" si="10"/>
        <v>6</v>
      </c>
      <c r="I1224" s="38">
        <f t="shared" si="11"/>
        <v>3</v>
      </c>
      <c r="J1224" s="55"/>
    </row>
    <row r="1225" spans="1:10" ht="15" customHeight="1" x14ac:dyDescent="0.2">
      <c r="A1225" s="50">
        <f t="array" ref="A1225">+INDEX(Partidas!$A:$J,MATCH('Resultados dashboard'!$B1225,Partidas!$C:$C,0),2)</f>
        <v>45795</v>
      </c>
      <c r="B1225" s="56">
        <f>+IF(COUNTIF($B$2:B1224,B1224)=VLOOKUP(B1224,Partidas!$C:$J,8,0),B1224+1,B1224)</f>
        <v>272</v>
      </c>
      <c r="C1225" s="41" t="str">
        <f t="array" ref="C1225">+INDEX(Partidas!$A:$J,MATCH('Resultados dashboard'!$B1225,Partidas!$C:$C,0),3+COUNTIF($B$2:B1225,'Resultados dashboard'!$B1225))</f>
        <v>Hugo</v>
      </c>
      <c r="D1225" s="54">
        <v>6</v>
      </c>
      <c r="E1225" s="53"/>
      <c r="F1225" s="53"/>
      <c r="G1225" s="53"/>
      <c r="H1225" s="38">
        <f t="shared" si="10"/>
        <v>6</v>
      </c>
      <c r="I1225" s="38">
        <f t="shared" si="11"/>
        <v>3</v>
      </c>
      <c r="J1225" s="55"/>
    </row>
    <row r="1226" spans="1:10" ht="15" customHeight="1" x14ac:dyDescent="0.2">
      <c r="A1226" s="50">
        <f t="array" ref="A1226">+INDEX(Partidas!$A:$J,MATCH('Resultados dashboard'!$B1226,Partidas!$C:$C,0),2)</f>
        <v>45795</v>
      </c>
      <c r="B1226" s="56">
        <f>+IF(COUNTIF($B$2:B1225,B1225)=VLOOKUP(B1225,Partidas!$C:$J,8,0),B1225+1,B1225)</f>
        <v>272</v>
      </c>
      <c r="C1226" s="41" t="str">
        <f t="array" ref="C1226">+INDEX(Partidas!$A:$J,MATCH('Resultados dashboard'!$B1226,Partidas!$C:$C,0),3+COUNTIF($B$2:B1226,'Resultados dashboard'!$B1226))</f>
        <v>Moch</v>
      </c>
      <c r="D1226" s="54">
        <v>5</v>
      </c>
      <c r="E1226" s="54">
        <v>1</v>
      </c>
      <c r="F1226" s="53"/>
      <c r="G1226" s="53"/>
      <c r="H1226" s="38">
        <f t="shared" si="10"/>
        <v>6</v>
      </c>
      <c r="I1226" s="38">
        <f t="shared" si="11"/>
        <v>3</v>
      </c>
      <c r="J1226" s="55"/>
    </row>
    <row r="1227" spans="1:10" ht="15" customHeight="1" x14ac:dyDescent="0.2">
      <c r="A1227" s="50">
        <f t="array" ref="A1227">+INDEX(Partidas!$A:$J,MATCH('Resultados dashboard'!$B1227,Partidas!$C:$C,0),2)</f>
        <v>45795</v>
      </c>
      <c r="B1227" s="56">
        <f>+IF(COUNTIF($B$2:B1226,B1226)=VLOOKUP(B1226,Partidas!$C:$J,8,0),B1226+1,B1226)</f>
        <v>272</v>
      </c>
      <c r="C1227" s="41" t="str">
        <f t="array" ref="C1227">+INDEX(Partidas!$A:$J,MATCH('Resultados dashboard'!$B1227,Partidas!$C:$C,0),3+COUNTIF($B$2:B1227,'Resultados dashboard'!$B1227))</f>
        <v>Gallo</v>
      </c>
      <c r="D1227" s="54">
        <v>6</v>
      </c>
      <c r="E1227" s="53"/>
      <c r="F1227" s="53"/>
      <c r="G1227" s="54">
        <v>1</v>
      </c>
      <c r="H1227" s="38">
        <f t="shared" si="10"/>
        <v>8</v>
      </c>
      <c r="I1227" s="38">
        <f t="shared" si="11"/>
        <v>2</v>
      </c>
      <c r="J1227" s="55"/>
    </row>
    <row r="1228" spans="1:10" ht="15" customHeight="1" x14ac:dyDescent="0.2">
      <c r="A1228" s="50">
        <f t="array" ref="A1228">+INDEX(Partidas!$A:$J,MATCH('Resultados dashboard'!$B1228,Partidas!$C:$C,0),2)</f>
        <v>45795</v>
      </c>
      <c r="B1228" s="56">
        <f>+IF(COUNTIF($B$2:B1227,B1227)=VLOOKUP(B1227,Partidas!$C:$J,8,0),B1227+1,B1227)</f>
        <v>273</v>
      </c>
      <c r="C1228" s="41" t="str">
        <f t="array" ref="C1228">+INDEX(Partidas!$A:$J,MATCH('Resultados dashboard'!$B1228,Partidas!$C:$C,0),3+COUNTIF($B$2:B1228,'Resultados dashboard'!$B1228))</f>
        <v>Ivo</v>
      </c>
      <c r="D1228" s="54">
        <v>4</v>
      </c>
      <c r="E1228" s="54">
        <v>1</v>
      </c>
      <c r="F1228" s="53"/>
      <c r="G1228" s="53"/>
      <c r="H1228" s="38">
        <f t="shared" si="10"/>
        <v>5</v>
      </c>
      <c r="I1228" s="38">
        <f t="shared" si="11"/>
        <v>4</v>
      </c>
      <c r="J1228" s="55"/>
    </row>
    <row r="1229" spans="1:10" ht="15" customHeight="1" x14ac:dyDescent="0.2">
      <c r="A1229" s="50">
        <f t="array" ref="A1229">+INDEX(Partidas!$A:$J,MATCH('Resultados dashboard'!$B1229,Partidas!$C:$C,0),2)</f>
        <v>45795</v>
      </c>
      <c r="B1229" s="56">
        <f>+IF(COUNTIF($B$2:B1228,B1228)=VLOOKUP(B1228,Partidas!$C:$J,8,0),B1228+1,B1228)</f>
        <v>273</v>
      </c>
      <c r="C1229" s="41" t="str">
        <f t="array" ref="C1229">+INDEX(Partidas!$A:$J,MATCH('Resultados dashboard'!$B1229,Partidas!$C:$C,0),3+COUNTIF($B$2:B1229,'Resultados dashboard'!$B1229))</f>
        <v>Max</v>
      </c>
      <c r="D1229" s="54">
        <v>5</v>
      </c>
      <c r="E1229" s="54">
        <v>2</v>
      </c>
      <c r="F1229" s="53"/>
      <c r="G1229" s="53"/>
      <c r="H1229" s="38">
        <f t="shared" si="10"/>
        <v>7</v>
      </c>
      <c r="I1229" s="38">
        <f t="shared" si="11"/>
        <v>2</v>
      </c>
      <c r="J1229" s="55"/>
    </row>
    <row r="1230" spans="1:10" ht="15" customHeight="1" x14ac:dyDescent="0.2">
      <c r="A1230" s="50">
        <f t="array" ref="A1230">+INDEX(Partidas!$A:$J,MATCH('Resultados dashboard'!$B1230,Partidas!$C:$C,0),2)</f>
        <v>45795</v>
      </c>
      <c r="B1230" s="56">
        <f>+IF(COUNTIF($B$2:B1229,B1229)=VLOOKUP(B1229,Partidas!$C:$J,8,0),B1229+1,B1229)</f>
        <v>273</v>
      </c>
      <c r="C1230" s="41" t="str">
        <f t="array" ref="C1230">+INDEX(Partidas!$A:$J,MATCH('Resultados dashboard'!$B1230,Partidas!$C:$C,0),3+COUNTIF($B$2:B1230,'Resultados dashboard'!$B1230))</f>
        <v>Hugo</v>
      </c>
      <c r="D1230" s="54">
        <v>8</v>
      </c>
      <c r="E1230" s="53"/>
      <c r="F1230" s="53"/>
      <c r="G1230" s="54">
        <v>1</v>
      </c>
      <c r="H1230" s="38">
        <f t="shared" si="10"/>
        <v>10</v>
      </c>
      <c r="I1230" s="38">
        <f t="shared" si="11"/>
        <v>1</v>
      </c>
      <c r="J1230" s="55"/>
    </row>
    <row r="1231" spans="1:10" ht="15" customHeight="1" x14ac:dyDescent="0.2">
      <c r="A1231" s="50">
        <f t="array" ref="A1231">+INDEX(Partidas!$A:$J,MATCH('Resultados dashboard'!$B1231,Partidas!$C:$C,0),2)</f>
        <v>45795</v>
      </c>
      <c r="B1231" s="56">
        <f>+IF(COUNTIF($B$2:B1230,B1230)=VLOOKUP(B1230,Partidas!$C:$J,8,0),B1230+1,B1230)</f>
        <v>273</v>
      </c>
      <c r="C1231" s="41" t="str">
        <f t="array" ref="C1231">+INDEX(Partidas!$A:$J,MATCH('Resultados dashboard'!$B1231,Partidas!$C:$C,0),3+COUNTIF($B$2:B1231,'Resultados dashboard'!$B1231))</f>
        <v>Moch</v>
      </c>
      <c r="D1231" s="54">
        <v>6</v>
      </c>
      <c r="E1231" s="53"/>
      <c r="F1231" s="53"/>
      <c r="G1231" s="53"/>
      <c r="H1231" s="38">
        <f t="shared" si="10"/>
        <v>6</v>
      </c>
      <c r="I1231" s="38">
        <f t="shared" si="11"/>
        <v>3</v>
      </c>
      <c r="J1231" s="55"/>
    </row>
    <row r="1232" spans="1:10" ht="15" customHeight="1" x14ac:dyDescent="0.2">
      <c r="A1232" s="50">
        <f t="array" ref="A1232">+INDEX(Partidas!$A:$J,MATCH('Resultados dashboard'!$B1232,Partidas!$C:$C,0),2)</f>
        <v>45795</v>
      </c>
      <c r="B1232" s="56">
        <f>+IF(COUNTIF($B$2:B1231,B1231)=VLOOKUP(B1231,Partidas!$C:$J,8,0),B1231+1,B1231)</f>
        <v>273</v>
      </c>
      <c r="C1232" s="41" t="str">
        <f t="array" ref="C1232">+INDEX(Partidas!$A:$J,MATCH('Resultados dashboard'!$B1232,Partidas!$C:$C,0),3+COUNTIF($B$2:B1232,'Resultados dashboard'!$B1232))</f>
        <v>Gallo</v>
      </c>
      <c r="D1232" s="54">
        <v>5</v>
      </c>
      <c r="E1232" s="53"/>
      <c r="F1232" s="53"/>
      <c r="G1232" s="53"/>
      <c r="H1232" s="38">
        <f t="shared" si="10"/>
        <v>5</v>
      </c>
      <c r="I1232" s="38">
        <f t="shared" si="11"/>
        <v>4</v>
      </c>
      <c r="J1232" s="55"/>
    </row>
    <row r="1233" spans="1:10" ht="15" customHeight="1" x14ac:dyDescent="0.2">
      <c r="A1233" s="50">
        <f t="array" ref="A1233">+INDEX(Partidas!$A:$J,MATCH('Resultados dashboard'!$B1233,Partidas!$C:$C,0),2)</f>
        <v>45802</v>
      </c>
      <c r="B1233" s="56">
        <f>+IF(COUNTIF($B$2:B1232,B1232)=VLOOKUP(B1232,Partidas!$C:$J,8,0),B1232+1,B1232)</f>
        <v>274</v>
      </c>
      <c r="C1233" s="41" t="str">
        <f t="array" ref="C1233">+INDEX(Partidas!$A:$J,MATCH('Resultados dashboard'!$B1233,Partidas!$C:$C,0),3+COUNTIF($B$2:B1233,'Resultados dashboard'!$B1233))</f>
        <v>Gallo</v>
      </c>
      <c r="D1233" s="54">
        <v>6</v>
      </c>
      <c r="E1233" s="53"/>
      <c r="F1233" s="54">
        <v>1</v>
      </c>
      <c r="G1233" s="53"/>
      <c r="H1233" s="38">
        <f t="shared" si="10"/>
        <v>8</v>
      </c>
      <c r="I1233" s="38">
        <f t="shared" si="11"/>
        <v>2</v>
      </c>
      <c r="J1233" s="55"/>
    </row>
    <row r="1234" spans="1:10" ht="15" customHeight="1" x14ac:dyDescent="0.2">
      <c r="A1234" s="50">
        <f t="array" ref="A1234">+INDEX(Partidas!$A:$J,MATCH('Resultados dashboard'!$B1234,Partidas!$C:$C,0),2)</f>
        <v>45802</v>
      </c>
      <c r="B1234" s="56">
        <f>+IF(COUNTIF($B$2:B1233,B1233)=VLOOKUP(B1233,Partidas!$C:$J,8,0),B1233+1,B1233)</f>
        <v>274</v>
      </c>
      <c r="C1234" s="41" t="str">
        <f t="array" ref="C1234">+INDEX(Partidas!$A:$J,MATCH('Resultados dashboard'!$B1234,Partidas!$C:$C,0),3+COUNTIF($B$2:B1234,'Resultados dashboard'!$B1234))</f>
        <v>Ivo</v>
      </c>
      <c r="D1234" s="54">
        <v>7</v>
      </c>
      <c r="E1234" s="54">
        <v>1</v>
      </c>
      <c r="F1234" s="53"/>
      <c r="G1234" s="54">
        <v>1</v>
      </c>
      <c r="H1234" s="38">
        <f t="shared" si="10"/>
        <v>10</v>
      </c>
      <c r="I1234" s="38">
        <f t="shared" si="11"/>
        <v>1</v>
      </c>
      <c r="J1234" s="55"/>
    </row>
    <row r="1235" spans="1:10" ht="15" customHeight="1" x14ac:dyDescent="0.2">
      <c r="A1235" s="50">
        <f t="array" ref="A1235">+INDEX(Partidas!$A:$J,MATCH('Resultados dashboard'!$B1235,Partidas!$C:$C,0),2)</f>
        <v>45802</v>
      </c>
      <c r="B1235" s="56">
        <f>+IF(COUNTIF($B$2:B1234,B1234)=VLOOKUP(B1234,Partidas!$C:$J,8,0),B1234+1,B1234)</f>
        <v>274</v>
      </c>
      <c r="C1235" s="41" t="str">
        <f t="array" ref="C1235">+INDEX(Partidas!$A:$J,MATCH('Resultados dashboard'!$B1235,Partidas!$C:$C,0),3+COUNTIF($B$2:B1235,'Resultados dashboard'!$B1235))</f>
        <v>Max</v>
      </c>
      <c r="D1235" s="54">
        <v>6</v>
      </c>
      <c r="E1235" s="53"/>
      <c r="F1235" s="53"/>
      <c r="G1235" s="53"/>
      <c r="H1235" s="38">
        <f t="shared" si="10"/>
        <v>6</v>
      </c>
      <c r="I1235" s="38">
        <f t="shared" si="11"/>
        <v>4</v>
      </c>
      <c r="J1235" s="55"/>
    </row>
    <row r="1236" spans="1:10" ht="15" customHeight="1" x14ac:dyDescent="0.2">
      <c r="A1236" s="50">
        <f t="array" ref="A1236">+INDEX(Partidas!$A:$J,MATCH('Resultados dashboard'!$B1236,Partidas!$C:$C,0),2)</f>
        <v>45802</v>
      </c>
      <c r="B1236" s="56">
        <f>+IF(COUNTIF($B$2:B1235,B1235)=VLOOKUP(B1235,Partidas!$C:$J,8,0),B1235+1,B1235)</f>
        <v>274</v>
      </c>
      <c r="C1236" s="41" t="str">
        <f t="array" ref="C1236">+INDEX(Partidas!$A:$J,MATCH('Resultados dashboard'!$B1236,Partidas!$C:$C,0),3+COUNTIF($B$2:B1236,'Resultados dashboard'!$B1236))</f>
        <v>Moch</v>
      </c>
      <c r="D1236" s="54">
        <v>7</v>
      </c>
      <c r="E1236" s="53"/>
      <c r="F1236" s="53"/>
      <c r="G1236" s="53"/>
      <c r="H1236" s="38">
        <f t="shared" si="10"/>
        <v>7</v>
      </c>
      <c r="I1236" s="38">
        <f t="shared" si="11"/>
        <v>3</v>
      </c>
      <c r="J1236" s="55"/>
    </row>
    <row r="1237" spans="1:10" ht="15" customHeight="1" x14ac:dyDescent="0.2">
      <c r="A1237" s="50">
        <f t="array" ref="A1237">+INDEX(Partidas!$A:$J,MATCH('Resultados dashboard'!$B1237,Partidas!$C:$C,0),2)</f>
        <v>45802</v>
      </c>
      <c r="B1237" s="56">
        <f>+IF(COUNTIF($B$2:B1236,B1236)=VLOOKUP(B1236,Partidas!$C:$J,8,0),B1236+1,B1236)</f>
        <v>274</v>
      </c>
      <c r="C1237" s="41" t="str">
        <f t="array" ref="C1237">+INDEX(Partidas!$A:$J,MATCH('Resultados dashboard'!$B1237,Partidas!$C:$C,0),3+COUNTIF($B$2:B1237,'Resultados dashboard'!$B1237))</f>
        <v>Chino</v>
      </c>
      <c r="D1237" s="54">
        <v>6</v>
      </c>
      <c r="E1237" s="53"/>
      <c r="F1237" s="53"/>
      <c r="G1237" s="53"/>
      <c r="H1237" s="38">
        <f t="shared" si="10"/>
        <v>6</v>
      </c>
      <c r="I1237" s="38">
        <f t="shared" si="11"/>
        <v>4</v>
      </c>
      <c r="J1237" s="55"/>
    </row>
    <row r="1238" spans="1:10" ht="15" customHeight="1" x14ac:dyDescent="0.2">
      <c r="A1238" s="50">
        <f t="array" ref="A1238">+INDEX(Partidas!$A:$J,MATCH('Resultados dashboard'!$B1238,Partidas!$C:$C,0),2)</f>
        <v>45808</v>
      </c>
      <c r="B1238" s="56">
        <f>+IF(COUNTIF($B$2:B1237,B1237)=VLOOKUP(B1237,Partidas!$C:$J,8,0),B1237+1,B1237)</f>
        <v>275</v>
      </c>
      <c r="C1238" s="41" t="str">
        <f t="array" ref="C1238">+INDEX(Partidas!$A:$J,MATCH('Resultados dashboard'!$B1238,Partidas!$C:$C,0),3+COUNTIF($B$2:B1238,'Resultados dashboard'!$B1238))</f>
        <v>Gallo</v>
      </c>
      <c r="D1238" s="54">
        <v>6</v>
      </c>
      <c r="E1238" s="53"/>
      <c r="F1238" s="54">
        <v>1</v>
      </c>
      <c r="G1238" s="54">
        <v>1</v>
      </c>
      <c r="H1238" s="38">
        <f t="shared" si="10"/>
        <v>10</v>
      </c>
      <c r="I1238" s="38">
        <f t="shared" si="11"/>
        <v>1</v>
      </c>
      <c r="J1238" s="55"/>
    </row>
    <row r="1239" spans="1:10" ht="15" customHeight="1" x14ac:dyDescent="0.2">
      <c r="A1239" s="50">
        <f t="array" ref="A1239">+INDEX(Partidas!$A:$J,MATCH('Resultados dashboard'!$B1239,Partidas!$C:$C,0),2)</f>
        <v>45808</v>
      </c>
      <c r="B1239" s="56">
        <f>+IF(COUNTIF($B$2:B1238,B1238)=VLOOKUP(B1238,Partidas!$C:$J,8,0),B1238+1,B1238)</f>
        <v>275</v>
      </c>
      <c r="C1239" s="41" t="str">
        <f t="array" ref="C1239">+INDEX(Partidas!$A:$J,MATCH('Resultados dashboard'!$B1239,Partidas!$C:$C,0),3+COUNTIF($B$2:B1239,'Resultados dashboard'!$B1239))</f>
        <v>Ivo</v>
      </c>
      <c r="D1239" s="54">
        <v>6</v>
      </c>
      <c r="E1239" s="53"/>
      <c r="F1239" s="53"/>
      <c r="G1239" s="53"/>
      <c r="H1239" s="38">
        <f t="shared" si="10"/>
        <v>6</v>
      </c>
      <c r="I1239" s="38">
        <f t="shared" si="11"/>
        <v>3</v>
      </c>
      <c r="J1239" s="55"/>
    </row>
    <row r="1240" spans="1:10" ht="15" customHeight="1" x14ac:dyDescent="0.2">
      <c r="A1240" s="50">
        <f t="array" ref="A1240">+INDEX(Partidas!$A:$J,MATCH('Resultados dashboard'!$B1240,Partidas!$C:$C,0),2)</f>
        <v>45808</v>
      </c>
      <c r="B1240" s="56">
        <f>+IF(COUNTIF($B$2:B1239,B1239)=VLOOKUP(B1239,Partidas!$C:$J,8,0),B1239+1,B1239)</f>
        <v>275</v>
      </c>
      <c r="C1240" s="41" t="str">
        <f t="array" ref="C1240">+INDEX(Partidas!$A:$J,MATCH('Resultados dashboard'!$B1240,Partidas!$C:$C,0),3+COUNTIF($B$2:B1240,'Resultados dashboard'!$B1240))</f>
        <v>Hugo</v>
      </c>
      <c r="D1240" s="54">
        <v>6</v>
      </c>
      <c r="E1240" s="54">
        <v>2</v>
      </c>
      <c r="F1240" s="53"/>
      <c r="G1240" s="53"/>
      <c r="H1240" s="38">
        <f t="shared" si="10"/>
        <v>8</v>
      </c>
      <c r="I1240" s="38">
        <f t="shared" si="11"/>
        <v>2</v>
      </c>
      <c r="J1240" s="55"/>
    </row>
    <row r="1241" spans="1:10" ht="15" customHeight="1" x14ac:dyDescent="0.2">
      <c r="A1241" s="50">
        <f t="array" ref="A1241">+INDEX(Partidas!$A:$J,MATCH('Resultados dashboard'!$B1241,Partidas!$C:$C,0),2)</f>
        <v>45808</v>
      </c>
      <c r="B1241" s="56">
        <f>+IF(COUNTIF($B$2:B1240,B1240)=VLOOKUP(B1240,Partidas!$C:$J,8,0),B1240+1,B1240)</f>
        <v>275</v>
      </c>
      <c r="C1241" s="41" t="str">
        <f t="array" ref="C1241">+INDEX(Partidas!$A:$J,MATCH('Resultados dashboard'!$B1241,Partidas!$C:$C,0),3+COUNTIF($B$2:B1241,'Resultados dashboard'!$B1241))</f>
        <v>Gasta</v>
      </c>
      <c r="D1241" s="54">
        <v>4</v>
      </c>
      <c r="E1241" s="53"/>
      <c r="F1241" s="53"/>
      <c r="G1241" s="53"/>
      <c r="H1241" s="38">
        <f t="shared" si="10"/>
        <v>4</v>
      </c>
      <c r="I1241" s="38">
        <f t="shared" si="11"/>
        <v>4</v>
      </c>
      <c r="J1241" s="55"/>
    </row>
    <row r="1242" spans="1:10" ht="15" customHeight="1" x14ac:dyDescent="0.2">
      <c r="A1242" s="50">
        <f t="array" ref="A1242">+INDEX(Partidas!$A:$J,MATCH('Resultados dashboard'!$B1242,Partidas!$C:$C,0),2)</f>
        <v>45808</v>
      </c>
      <c r="B1242" s="56">
        <f>+IF(COUNTIF($B$2:B1241,B1241)=VLOOKUP(B1241,Partidas!$C:$J,8,0),B1241+1,B1241)</f>
        <v>276</v>
      </c>
      <c r="C1242" s="41" t="str">
        <f t="array" ref="C1242">+INDEX(Partidas!$A:$J,MATCH('Resultados dashboard'!$B1242,Partidas!$C:$C,0),3+COUNTIF($B$2:B1242,'Resultados dashboard'!$B1242))</f>
        <v>Gallo</v>
      </c>
      <c r="D1242" s="54">
        <v>6</v>
      </c>
      <c r="E1242" s="53"/>
      <c r="F1242" s="53"/>
      <c r="G1242" s="53"/>
      <c r="H1242" s="38">
        <f t="shared" si="10"/>
        <v>6</v>
      </c>
      <c r="I1242" s="38">
        <f t="shared" si="11"/>
        <v>3</v>
      </c>
      <c r="J1242" s="55"/>
    </row>
    <row r="1243" spans="1:10" ht="15" customHeight="1" x14ac:dyDescent="0.2">
      <c r="A1243" s="50">
        <f t="array" ref="A1243">+INDEX(Partidas!$A:$J,MATCH('Resultados dashboard'!$B1243,Partidas!$C:$C,0),2)</f>
        <v>45808</v>
      </c>
      <c r="B1243" s="56">
        <f>+IF(COUNTIF($B$2:B1242,B1242)=VLOOKUP(B1242,Partidas!$C:$J,8,0),B1242+1,B1242)</f>
        <v>276</v>
      </c>
      <c r="C1243" s="41" t="str">
        <f t="array" ref="C1243">+INDEX(Partidas!$A:$J,MATCH('Resultados dashboard'!$B1243,Partidas!$C:$C,0),3+COUNTIF($B$2:B1243,'Resultados dashboard'!$B1243))</f>
        <v>Ivo</v>
      </c>
      <c r="D1243" s="54">
        <v>7</v>
      </c>
      <c r="E1243" s="53"/>
      <c r="F1243" s="53"/>
      <c r="G1243" s="53"/>
      <c r="H1243" s="38">
        <f t="shared" si="10"/>
        <v>7</v>
      </c>
      <c r="I1243" s="38">
        <f t="shared" si="11"/>
        <v>2</v>
      </c>
      <c r="J1243" s="55"/>
    </row>
    <row r="1244" spans="1:10" ht="15" customHeight="1" x14ac:dyDescent="0.2">
      <c r="A1244" s="50">
        <f t="array" ref="A1244">+INDEX(Partidas!$A:$J,MATCH('Resultados dashboard'!$B1244,Partidas!$C:$C,0),2)</f>
        <v>45808</v>
      </c>
      <c r="B1244" s="56">
        <f>+IF(COUNTIF($B$2:B1243,B1243)=VLOOKUP(B1243,Partidas!$C:$J,8,0),B1243+1,B1243)</f>
        <v>276</v>
      </c>
      <c r="C1244" s="41" t="str">
        <f t="array" ref="C1244">+INDEX(Partidas!$A:$J,MATCH('Resultados dashboard'!$B1244,Partidas!$C:$C,0),3+COUNTIF($B$2:B1244,'Resultados dashboard'!$B1244))</f>
        <v>Hugo</v>
      </c>
      <c r="D1244" s="54">
        <v>6</v>
      </c>
      <c r="E1244" s="53"/>
      <c r="F1244" s="53"/>
      <c r="G1244" s="53"/>
      <c r="H1244" s="38">
        <f t="shared" si="10"/>
        <v>6</v>
      </c>
      <c r="I1244" s="38">
        <f t="shared" si="11"/>
        <v>3</v>
      </c>
      <c r="J1244" s="55"/>
    </row>
    <row r="1245" spans="1:10" ht="15" customHeight="1" x14ac:dyDescent="0.2">
      <c r="A1245" s="50">
        <f t="array" ref="A1245">+INDEX(Partidas!$A:$J,MATCH('Resultados dashboard'!$B1245,Partidas!$C:$C,0),2)</f>
        <v>45808</v>
      </c>
      <c r="B1245" s="56">
        <f>+IF(COUNTIF($B$2:B1244,B1244)=VLOOKUP(B1244,Partidas!$C:$J,8,0),B1244+1,B1244)</f>
        <v>276</v>
      </c>
      <c r="C1245" s="41" t="str">
        <f t="array" ref="C1245">+INDEX(Partidas!$A:$J,MATCH('Resultados dashboard'!$B1245,Partidas!$C:$C,0),3+COUNTIF($B$2:B1245,'Resultados dashboard'!$B1245))</f>
        <v>Gasta</v>
      </c>
      <c r="D1245" s="54">
        <v>4</v>
      </c>
      <c r="E1245" s="54">
        <v>2</v>
      </c>
      <c r="F1245" s="53"/>
      <c r="G1245" s="53"/>
      <c r="H1245" s="38">
        <f t="shared" si="10"/>
        <v>6</v>
      </c>
      <c r="I1245" s="38">
        <f t="shared" si="11"/>
        <v>3</v>
      </c>
      <c r="J1245" s="55"/>
    </row>
    <row r="1246" spans="1:10" ht="15" customHeight="1" x14ac:dyDescent="0.2">
      <c r="A1246" s="50">
        <f t="array" ref="A1246">+INDEX(Partidas!$A:$J,MATCH('Resultados dashboard'!$B1246,Partidas!$C:$C,0),2)</f>
        <v>45808</v>
      </c>
      <c r="B1246" s="56">
        <f>+IF(COUNTIF($B$2:B1245,B1245)=VLOOKUP(B1245,Partidas!$C:$J,8,0),B1245+1,B1245)</f>
        <v>276</v>
      </c>
      <c r="C1246" s="41" t="str">
        <f t="array" ref="C1246">+INDEX(Partidas!$A:$J,MATCH('Resultados dashboard'!$B1246,Partidas!$C:$C,0),3+COUNTIF($B$2:B1246,'Resultados dashboard'!$B1246))</f>
        <v>Sofi</v>
      </c>
      <c r="D1246" s="54">
        <v>8</v>
      </c>
      <c r="E1246" s="53"/>
      <c r="F1246" s="53"/>
      <c r="G1246" s="54">
        <v>1</v>
      </c>
      <c r="H1246" s="38">
        <f t="shared" si="10"/>
        <v>10</v>
      </c>
      <c r="I1246" s="38">
        <f t="shared" si="11"/>
        <v>1</v>
      </c>
      <c r="J1246" s="55"/>
    </row>
    <row r="1247" spans="1:10" ht="15" customHeight="1" x14ac:dyDescent="0.2">
      <c r="A1247" s="50">
        <f t="array" ref="A1247">+INDEX(Partidas!$A:$J,MATCH('Resultados dashboard'!$B1247,Partidas!$C:$C,0),2)</f>
        <v>45808</v>
      </c>
      <c r="B1247" s="56">
        <f>+IF(COUNTIF($B$2:B1246,B1246)=VLOOKUP(B1246,Partidas!$C:$J,8,0),B1246+1,B1246)</f>
        <v>277</v>
      </c>
      <c r="C1247" s="41" t="str">
        <f t="array" ref="C1247">+INDEX(Partidas!$A:$J,MATCH('Resultados dashboard'!$B1247,Partidas!$C:$C,0),3+COUNTIF($B$2:B1247,'Resultados dashboard'!$B1247))</f>
        <v>Gallo</v>
      </c>
      <c r="D1247" s="54">
        <v>8</v>
      </c>
      <c r="E1247" s="54">
        <v>1</v>
      </c>
      <c r="F1247" s="53"/>
      <c r="G1247" s="53"/>
      <c r="H1247" s="38">
        <f t="shared" si="10"/>
        <v>9</v>
      </c>
      <c r="I1247" s="38">
        <f t="shared" si="11"/>
        <v>2</v>
      </c>
      <c r="J1247" s="55"/>
    </row>
    <row r="1248" spans="1:10" ht="15" customHeight="1" x14ac:dyDescent="0.2">
      <c r="A1248" s="50">
        <f t="array" ref="A1248">+INDEX(Partidas!$A:$J,MATCH('Resultados dashboard'!$B1248,Partidas!$C:$C,0),2)</f>
        <v>45808</v>
      </c>
      <c r="B1248" s="56">
        <f>+IF(COUNTIF($B$2:B1247,B1247)=VLOOKUP(B1247,Partidas!$C:$J,8,0),B1247+1,B1247)</f>
        <v>277</v>
      </c>
      <c r="C1248" s="41" t="str">
        <f t="array" ref="C1248">+INDEX(Partidas!$A:$J,MATCH('Resultados dashboard'!$B1248,Partidas!$C:$C,0),3+COUNTIF($B$2:B1248,'Resultados dashboard'!$B1248))</f>
        <v>Ivo</v>
      </c>
      <c r="D1248" s="54">
        <v>6</v>
      </c>
      <c r="E1248" s="53"/>
      <c r="F1248" s="54">
        <v>1</v>
      </c>
      <c r="G1248" s="54">
        <v>1</v>
      </c>
      <c r="H1248" s="38">
        <f t="shared" si="10"/>
        <v>10</v>
      </c>
      <c r="I1248" s="38">
        <f t="shared" si="11"/>
        <v>1</v>
      </c>
      <c r="J1248" s="55"/>
    </row>
    <row r="1249" spans="1:10" ht="15" customHeight="1" x14ac:dyDescent="0.2">
      <c r="A1249" s="50">
        <f t="array" ref="A1249">+INDEX(Partidas!$A:$J,MATCH('Resultados dashboard'!$B1249,Partidas!$C:$C,0),2)</f>
        <v>45808</v>
      </c>
      <c r="B1249" s="56">
        <f>+IF(COUNTIF($B$2:B1248,B1248)=VLOOKUP(B1248,Partidas!$C:$J,8,0),B1248+1,B1248)</f>
        <v>277</v>
      </c>
      <c r="C1249" s="41" t="str">
        <f t="array" ref="C1249">+INDEX(Partidas!$A:$J,MATCH('Resultados dashboard'!$B1249,Partidas!$C:$C,0),3+COUNTIF($B$2:B1249,'Resultados dashboard'!$B1249))</f>
        <v>Hugo</v>
      </c>
      <c r="D1249" s="54">
        <v>5</v>
      </c>
      <c r="E1249" s="54">
        <v>1</v>
      </c>
      <c r="F1249" s="53"/>
      <c r="G1249" s="53"/>
      <c r="H1249" s="38">
        <f t="shared" si="10"/>
        <v>6</v>
      </c>
      <c r="I1249" s="38">
        <f t="shared" si="11"/>
        <v>5</v>
      </c>
      <c r="J1249" s="55"/>
    </row>
    <row r="1250" spans="1:10" ht="15" customHeight="1" x14ac:dyDescent="0.2">
      <c r="A1250" s="50">
        <f t="array" ref="A1250">+INDEX(Partidas!$A:$J,MATCH('Resultados dashboard'!$B1250,Partidas!$C:$C,0),2)</f>
        <v>45808</v>
      </c>
      <c r="B1250" s="56">
        <f>+IF(COUNTIF($B$2:B1249,B1249)=VLOOKUP(B1249,Partidas!$C:$J,8,0),B1249+1,B1249)</f>
        <v>277</v>
      </c>
      <c r="C1250" s="41" t="str">
        <f t="array" ref="C1250">+INDEX(Partidas!$A:$J,MATCH('Resultados dashboard'!$B1250,Partidas!$C:$C,0),3+COUNTIF($B$2:B1250,'Resultados dashboard'!$B1250))</f>
        <v>Gasta</v>
      </c>
      <c r="D1250" s="54">
        <v>7</v>
      </c>
      <c r="E1250" s="53"/>
      <c r="F1250" s="53"/>
      <c r="G1250" s="53"/>
      <c r="H1250" s="38">
        <f t="shared" si="10"/>
        <v>7</v>
      </c>
      <c r="I1250" s="38">
        <f t="shared" si="11"/>
        <v>4</v>
      </c>
      <c r="J1250" s="55"/>
    </row>
    <row r="1251" spans="1:10" ht="15" customHeight="1" x14ac:dyDescent="0.2">
      <c r="A1251" s="50">
        <f t="array" ref="A1251">+INDEX(Partidas!$A:$J,MATCH('Resultados dashboard'!$B1251,Partidas!$C:$C,0),2)</f>
        <v>45808</v>
      </c>
      <c r="B1251" s="56">
        <f>+IF(COUNTIF($B$2:B1250,B1250)=VLOOKUP(B1250,Partidas!$C:$J,8,0),B1250+1,B1250)</f>
        <v>277</v>
      </c>
      <c r="C1251" s="41" t="str">
        <f t="array" ref="C1251">+INDEX(Partidas!$A:$J,MATCH('Resultados dashboard'!$B1251,Partidas!$C:$C,0),3+COUNTIF($B$2:B1251,'Resultados dashboard'!$B1251))</f>
        <v>Sofi</v>
      </c>
      <c r="D1251" s="54">
        <v>7</v>
      </c>
      <c r="E1251" s="54">
        <v>2</v>
      </c>
      <c r="F1251" s="53"/>
      <c r="G1251" s="53"/>
      <c r="H1251" s="38">
        <f t="shared" si="10"/>
        <v>9</v>
      </c>
      <c r="I1251" s="38">
        <f t="shared" si="11"/>
        <v>2</v>
      </c>
      <c r="J1251" s="55"/>
    </row>
    <row r="1252" spans="1:10" ht="15" customHeight="1" x14ac:dyDescent="0.2">
      <c r="A1252" s="50">
        <f t="array" ref="A1252">+INDEX(Partidas!$A:$J,MATCH('Resultados dashboard'!$B1252,Partidas!$C:$C,0),2)</f>
        <v>45815</v>
      </c>
      <c r="B1252" s="56">
        <f>+IF(COUNTIF($B$2:B1251,B1251)=VLOOKUP(B1251,Partidas!$C:$J,8,0),B1251+1,B1251)</f>
        <v>278</v>
      </c>
      <c r="C1252" s="41" t="str">
        <f t="array" ref="C1252">+INDEX(Partidas!$A:$J,MATCH('Resultados dashboard'!$B1252,Partidas!$C:$C,0),3+COUNTIF($B$2:B1252,'Resultados dashboard'!$B1252))</f>
        <v>Ivo</v>
      </c>
      <c r="D1252" s="54">
        <v>6</v>
      </c>
      <c r="E1252" s="53"/>
      <c r="F1252" s="54">
        <v>1</v>
      </c>
      <c r="G1252" s="53"/>
      <c r="H1252" s="38">
        <f t="shared" si="10"/>
        <v>8</v>
      </c>
      <c r="I1252" s="38">
        <f t="shared" si="11"/>
        <v>2</v>
      </c>
      <c r="J1252" s="55"/>
    </row>
    <row r="1253" spans="1:10" ht="15" customHeight="1" x14ac:dyDescent="0.2">
      <c r="A1253" s="50">
        <f t="array" ref="A1253">+INDEX(Partidas!$A:$J,MATCH('Resultados dashboard'!$B1253,Partidas!$C:$C,0),2)</f>
        <v>45815</v>
      </c>
      <c r="B1253" s="56">
        <f>+IF(COUNTIF($B$2:B1252,B1252)=VLOOKUP(B1252,Partidas!$C:$J,8,0),B1252+1,B1252)</f>
        <v>278</v>
      </c>
      <c r="C1253" s="41" t="str">
        <f t="array" ref="C1253">+INDEX(Partidas!$A:$J,MATCH('Resultados dashboard'!$B1253,Partidas!$C:$C,0),3+COUNTIF($B$2:B1253,'Resultados dashboard'!$B1253))</f>
        <v>Max</v>
      </c>
      <c r="D1253" s="54">
        <v>6</v>
      </c>
      <c r="E1253" s="53"/>
      <c r="F1253" s="53"/>
      <c r="G1253" s="53"/>
      <c r="H1253" s="38">
        <f t="shared" si="10"/>
        <v>6</v>
      </c>
      <c r="I1253" s="38">
        <f t="shared" si="11"/>
        <v>4</v>
      </c>
      <c r="J1253" s="55"/>
    </row>
    <row r="1254" spans="1:10" ht="15" customHeight="1" x14ac:dyDescent="0.2">
      <c r="A1254" s="50">
        <f t="array" ref="A1254">+INDEX(Partidas!$A:$J,MATCH('Resultados dashboard'!$B1254,Partidas!$C:$C,0),2)</f>
        <v>45815</v>
      </c>
      <c r="B1254" s="56">
        <f>+IF(COUNTIF($B$2:B1253,B1253)=VLOOKUP(B1253,Partidas!$C:$J,8,0),B1253+1,B1253)</f>
        <v>278</v>
      </c>
      <c r="C1254" s="41" t="str">
        <f t="array" ref="C1254">+INDEX(Partidas!$A:$J,MATCH('Resultados dashboard'!$B1254,Partidas!$C:$C,0),3+COUNTIF($B$2:B1254,'Resultados dashboard'!$B1254))</f>
        <v>Gaspa</v>
      </c>
      <c r="D1254" s="54">
        <v>6</v>
      </c>
      <c r="E1254" s="53"/>
      <c r="F1254" s="53"/>
      <c r="G1254" s="54">
        <v>1</v>
      </c>
      <c r="H1254" s="38">
        <f t="shared" si="10"/>
        <v>8</v>
      </c>
      <c r="I1254" s="38">
        <f t="shared" si="11"/>
        <v>2</v>
      </c>
      <c r="J1254" s="55"/>
    </row>
    <row r="1255" spans="1:10" ht="15" customHeight="1" x14ac:dyDescent="0.2">
      <c r="A1255" s="50">
        <f t="array" ref="A1255">+INDEX(Partidas!$A:$J,MATCH('Resultados dashboard'!$B1255,Partidas!$C:$C,0),2)</f>
        <v>45815</v>
      </c>
      <c r="B1255" s="56">
        <f>+IF(COUNTIF($B$2:B1254,B1254)=VLOOKUP(B1254,Partidas!$C:$J,8,0),B1254+1,B1254)</f>
        <v>278</v>
      </c>
      <c r="C1255" s="41" t="str">
        <f t="array" ref="C1255">+INDEX(Partidas!$A:$J,MATCH('Resultados dashboard'!$B1255,Partidas!$C:$C,0),3+COUNTIF($B$2:B1255,'Resultados dashboard'!$B1255))</f>
        <v>Moch</v>
      </c>
      <c r="D1255" s="54">
        <v>7</v>
      </c>
      <c r="E1255" s="54">
        <v>3</v>
      </c>
      <c r="F1255" s="53"/>
      <c r="G1255" s="53"/>
      <c r="H1255" s="38">
        <f t="shared" si="10"/>
        <v>10</v>
      </c>
      <c r="I1255" s="38">
        <f t="shared" si="11"/>
        <v>1</v>
      </c>
      <c r="J1255" s="55"/>
    </row>
    <row r="1256" spans="1:10" ht="15" customHeight="1" x14ac:dyDescent="0.2">
      <c r="A1256" s="50">
        <f t="array" ref="A1256">+INDEX(Partidas!$A:$J,MATCH('Resultados dashboard'!$B1256,Partidas!$C:$C,0),2)</f>
        <v>45816</v>
      </c>
      <c r="B1256" s="56">
        <f>+IF(COUNTIF($B$2:B1255,B1255)=VLOOKUP(B1255,Partidas!$C:$J,8,0),B1255+1,B1255)</f>
        <v>279</v>
      </c>
      <c r="C1256" s="41" t="str">
        <f t="array" ref="C1256">+INDEX(Partidas!$A:$J,MATCH('Resultados dashboard'!$B1256,Partidas!$C:$C,0),3+COUNTIF($B$2:B1256,'Resultados dashboard'!$B1256))</f>
        <v>Gallo</v>
      </c>
      <c r="D1256" s="54">
        <v>6</v>
      </c>
      <c r="E1256" s="54">
        <v>1</v>
      </c>
      <c r="F1256" s="54">
        <v>1</v>
      </c>
      <c r="G1256" s="53"/>
      <c r="H1256" s="38">
        <f t="shared" si="10"/>
        <v>9</v>
      </c>
      <c r="I1256" s="38">
        <f t="shared" si="11"/>
        <v>2</v>
      </c>
      <c r="J1256" s="55"/>
    </row>
    <row r="1257" spans="1:10" ht="15" customHeight="1" x14ac:dyDescent="0.2">
      <c r="A1257" s="50">
        <f t="array" ref="A1257">+INDEX(Partidas!$A:$J,MATCH('Resultados dashboard'!$B1257,Partidas!$C:$C,0),2)</f>
        <v>45816</v>
      </c>
      <c r="B1257" s="56">
        <f>+IF(COUNTIF($B$2:B1256,B1256)=VLOOKUP(B1256,Partidas!$C:$J,8,0),B1256+1,B1256)</f>
        <v>279</v>
      </c>
      <c r="C1257" s="41" t="str">
        <f t="array" ref="C1257">+INDEX(Partidas!$A:$J,MATCH('Resultados dashboard'!$B1257,Partidas!$C:$C,0),3+COUNTIF($B$2:B1257,'Resultados dashboard'!$B1257))</f>
        <v>Ivo</v>
      </c>
      <c r="D1257" s="54">
        <v>7</v>
      </c>
      <c r="E1257" s="54">
        <v>1</v>
      </c>
      <c r="F1257" s="53"/>
      <c r="G1257" s="53"/>
      <c r="H1257" s="38">
        <f t="shared" si="10"/>
        <v>8</v>
      </c>
      <c r="I1257" s="38">
        <f t="shared" si="11"/>
        <v>3</v>
      </c>
      <c r="J1257" s="55"/>
    </row>
    <row r="1258" spans="1:10" ht="15" customHeight="1" x14ac:dyDescent="0.2">
      <c r="A1258" s="50">
        <f t="array" ref="A1258">+INDEX(Partidas!$A:$J,MATCH('Resultados dashboard'!$B1258,Partidas!$C:$C,0),2)</f>
        <v>45816</v>
      </c>
      <c r="B1258" s="56">
        <f>+IF(COUNTIF($B$2:B1257,B1257)=VLOOKUP(B1257,Partidas!$C:$J,8,0),B1257+1,B1257)</f>
        <v>279</v>
      </c>
      <c r="C1258" s="41" t="str">
        <f t="array" ref="C1258">+INDEX(Partidas!$A:$J,MATCH('Resultados dashboard'!$B1258,Partidas!$C:$C,0),3+COUNTIF($B$2:B1258,'Resultados dashboard'!$B1258))</f>
        <v>Max</v>
      </c>
      <c r="D1258" s="54">
        <v>8</v>
      </c>
      <c r="E1258" s="53"/>
      <c r="F1258" s="53"/>
      <c r="G1258" s="54">
        <v>1</v>
      </c>
      <c r="H1258" s="38">
        <f t="shared" si="10"/>
        <v>10</v>
      </c>
      <c r="I1258" s="38">
        <f t="shared" si="11"/>
        <v>1</v>
      </c>
      <c r="J1258" s="55"/>
    </row>
    <row r="1259" spans="1:10" ht="15" customHeight="1" x14ac:dyDescent="0.2">
      <c r="A1259" s="50">
        <f t="array" ref="A1259">+INDEX(Partidas!$A:$J,MATCH('Resultados dashboard'!$B1259,Partidas!$C:$C,0),2)</f>
        <v>45816</v>
      </c>
      <c r="B1259" s="56">
        <f>+IF(COUNTIF($B$2:B1258,B1258)=VLOOKUP(B1258,Partidas!$C:$J,8,0),B1258+1,B1258)</f>
        <v>279</v>
      </c>
      <c r="C1259" s="41" t="str">
        <f t="array" ref="C1259">+INDEX(Partidas!$A:$J,MATCH('Resultados dashboard'!$B1259,Partidas!$C:$C,0),3+COUNTIF($B$2:B1259,'Resultados dashboard'!$B1259))</f>
        <v>Hugo</v>
      </c>
      <c r="D1259" s="54">
        <v>5</v>
      </c>
      <c r="E1259" s="53"/>
      <c r="F1259" s="53"/>
      <c r="G1259" s="53"/>
      <c r="H1259" s="38">
        <f t="shared" si="10"/>
        <v>5</v>
      </c>
      <c r="I1259" s="38">
        <f t="shared" si="11"/>
        <v>5</v>
      </c>
      <c r="J1259" s="55"/>
    </row>
    <row r="1260" spans="1:10" ht="15" customHeight="1" x14ac:dyDescent="0.2">
      <c r="A1260" s="50">
        <f t="array" ref="A1260">+INDEX(Partidas!$A:$J,MATCH('Resultados dashboard'!$B1260,Partidas!$C:$C,0),2)</f>
        <v>45816</v>
      </c>
      <c r="B1260" s="56">
        <f>+IF(COUNTIF($B$2:B1259,B1259)=VLOOKUP(B1259,Partidas!$C:$J,8,0),B1259+1,B1259)</f>
        <v>279</v>
      </c>
      <c r="C1260" s="41" t="str">
        <f t="array" ref="C1260">+INDEX(Partidas!$A:$J,MATCH('Resultados dashboard'!$B1260,Partidas!$C:$C,0),3+COUNTIF($B$2:B1260,'Resultados dashboard'!$B1260))</f>
        <v>Moch</v>
      </c>
      <c r="D1260" s="54">
        <v>8</v>
      </c>
      <c r="E1260" s="53"/>
      <c r="F1260" s="53"/>
      <c r="G1260" s="53"/>
      <c r="H1260" s="38">
        <f t="shared" si="10"/>
        <v>8</v>
      </c>
      <c r="I1260" s="38">
        <f t="shared" si="11"/>
        <v>3</v>
      </c>
      <c r="J1260" s="55"/>
    </row>
    <row r="1261" spans="1:10" ht="15" customHeight="1" x14ac:dyDescent="0.2">
      <c r="A1261" s="50">
        <f t="array" ref="A1261">+INDEX(Partidas!$A:$J,MATCH('Resultados dashboard'!$B1261,Partidas!$C:$C,0),2)</f>
        <v>45816</v>
      </c>
      <c r="B1261" s="56">
        <f>+IF(COUNTIF($B$2:B1260,B1260)=VLOOKUP(B1260,Partidas!$C:$J,8,0),B1260+1,B1260)</f>
        <v>280</v>
      </c>
      <c r="C1261" s="41" t="str">
        <f t="array" ref="C1261">+INDEX(Partidas!$A:$J,MATCH('Resultados dashboard'!$B1261,Partidas!$C:$C,0),3+COUNTIF($B$2:B1261,'Resultados dashboard'!$B1261))</f>
        <v>Gallo</v>
      </c>
      <c r="D1261" s="54">
        <v>5</v>
      </c>
      <c r="E1261" s="54">
        <v>1</v>
      </c>
      <c r="F1261" s="54">
        <v>1</v>
      </c>
      <c r="G1261" s="53"/>
      <c r="H1261" s="38">
        <f t="shared" si="10"/>
        <v>8</v>
      </c>
      <c r="I1261" s="38">
        <f t="shared" si="11"/>
        <v>2</v>
      </c>
      <c r="J1261" s="55"/>
    </row>
    <row r="1262" spans="1:10" ht="15" customHeight="1" x14ac:dyDescent="0.2">
      <c r="A1262" s="50">
        <f t="array" ref="A1262">+INDEX(Partidas!$A:$J,MATCH('Resultados dashboard'!$B1262,Partidas!$C:$C,0),2)</f>
        <v>45816</v>
      </c>
      <c r="B1262" s="56">
        <f>+IF(COUNTIF($B$2:B1261,B1261)=VLOOKUP(B1261,Partidas!$C:$J,8,0),B1261+1,B1261)</f>
        <v>280</v>
      </c>
      <c r="C1262" s="41" t="str">
        <f t="array" ref="C1262">+INDEX(Partidas!$A:$J,MATCH('Resultados dashboard'!$B1262,Partidas!$C:$C,0),3+COUNTIF($B$2:B1262,'Resultados dashboard'!$B1262))</f>
        <v>Ivo</v>
      </c>
      <c r="D1262" s="54">
        <v>8</v>
      </c>
      <c r="E1262" s="53"/>
      <c r="F1262" s="53"/>
      <c r="G1262" s="54">
        <v>1</v>
      </c>
      <c r="H1262" s="38">
        <f t="shared" si="10"/>
        <v>10</v>
      </c>
      <c r="I1262" s="38">
        <f t="shared" si="11"/>
        <v>1</v>
      </c>
      <c r="J1262" s="55"/>
    </row>
    <row r="1263" spans="1:10" ht="15" customHeight="1" x14ac:dyDescent="0.2">
      <c r="A1263" s="50">
        <f t="array" ref="A1263">+INDEX(Partidas!$A:$J,MATCH('Resultados dashboard'!$B1263,Partidas!$C:$C,0),2)</f>
        <v>45816</v>
      </c>
      <c r="B1263" s="56">
        <f>+IF(COUNTIF($B$2:B1262,B1262)=VLOOKUP(B1262,Partidas!$C:$J,8,0),B1262+1,B1262)</f>
        <v>280</v>
      </c>
      <c r="C1263" s="41" t="str">
        <f t="array" ref="C1263">+INDEX(Partidas!$A:$J,MATCH('Resultados dashboard'!$B1263,Partidas!$C:$C,0),3+COUNTIF($B$2:B1263,'Resultados dashboard'!$B1263))</f>
        <v>Max</v>
      </c>
      <c r="D1263" s="54">
        <v>5</v>
      </c>
      <c r="E1263" s="53"/>
      <c r="F1263" s="53"/>
      <c r="G1263" s="53"/>
      <c r="H1263" s="38">
        <f t="shared" si="10"/>
        <v>5</v>
      </c>
      <c r="I1263" s="38">
        <f t="shared" si="11"/>
        <v>4</v>
      </c>
      <c r="J1263" s="55"/>
    </row>
    <row r="1264" spans="1:10" ht="15" customHeight="1" x14ac:dyDescent="0.2">
      <c r="A1264" s="50">
        <f t="array" ref="A1264">+INDEX(Partidas!$A:$J,MATCH('Resultados dashboard'!$B1264,Partidas!$C:$C,0),2)</f>
        <v>45816</v>
      </c>
      <c r="B1264" s="56">
        <f>+IF(COUNTIF($B$2:B1263,B1263)=VLOOKUP(B1263,Partidas!$C:$J,8,0),B1263+1,B1263)</f>
        <v>280</v>
      </c>
      <c r="C1264" s="41" t="str">
        <f t="array" ref="C1264">+INDEX(Partidas!$A:$J,MATCH('Resultados dashboard'!$B1264,Partidas!$C:$C,0),3+COUNTIF($B$2:B1264,'Resultados dashboard'!$B1264))</f>
        <v>Hugo</v>
      </c>
      <c r="D1264" s="54">
        <v>4</v>
      </c>
      <c r="E1264" s="53"/>
      <c r="F1264" s="53"/>
      <c r="G1264" s="53"/>
      <c r="H1264" s="38">
        <f t="shared" si="10"/>
        <v>4</v>
      </c>
      <c r="I1264" s="38">
        <f t="shared" si="11"/>
        <v>5</v>
      </c>
      <c r="J1264" s="55"/>
    </row>
    <row r="1265" spans="1:10" ht="15" customHeight="1" x14ac:dyDescent="0.2">
      <c r="A1265" s="50">
        <f t="array" ref="A1265">+INDEX(Partidas!$A:$J,MATCH('Resultados dashboard'!$B1265,Partidas!$C:$C,0),2)</f>
        <v>45816</v>
      </c>
      <c r="B1265" s="56">
        <f>+IF(COUNTIF($B$2:B1264,B1264)=VLOOKUP(B1264,Partidas!$C:$J,8,0),B1264+1,B1264)</f>
        <v>280</v>
      </c>
      <c r="C1265" s="41" t="str">
        <f t="array" ref="C1265">+INDEX(Partidas!$A:$J,MATCH('Resultados dashboard'!$B1265,Partidas!$C:$C,0),3+COUNTIF($B$2:B1265,'Resultados dashboard'!$B1265))</f>
        <v>Moch</v>
      </c>
      <c r="D1265" s="54">
        <v>7</v>
      </c>
      <c r="E1265" s="53"/>
      <c r="F1265" s="53"/>
      <c r="G1265" s="53"/>
      <c r="H1265" s="38">
        <f t="shared" si="10"/>
        <v>7</v>
      </c>
      <c r="I1265" s="38">
        <f t="shared" si="11"/>
        <v>3</v>
      </c>
      <c r="J1265" s="55"/>
    </row>
    <row r="1266" spans="1:10" ht="15" customHeight="1" x14ac:dyDescent="0.2">
      <c r="A1266" s="50">
        <f t="array" ref="A1266">+INDEX(Partidas!$A:$J,MATCH('Resultados dashboard'!$B1266,Partidas!$C:$C,0),2)</f>
        <v>45816</v>
      </c>
      <c r="B1266" s="56">
        <f>+IF(COUNTIF($B$2:B1265,B1265)=VLOOKUP(B1265,Partidas!$C:$J,8,0),B1265+1,B1265)</f>
        <v>281</v>
      </c>
      <c r="C1266" s="41" t="str">
        <f t="array" ref="C1266">+INDEX(Partidas!$A:$J,MATCH('Resultados dashboard'!$B1266,Partidas!$C:$C,0),3+COUNTIF($B$2:B1266,'Resultados dashboard'!$B1266))</f>
        <v>Gallo</v>
      </c>
      <c r="D1266" s="54">
        <v>7</v>
      </c>
      <c r="E1266" s="54">
        <v>1</v>
      </c>
      <c r="F1266" s="53"/>
      <c r="G1266" s="54">
        <v>1</v>
      </c>
      <c r="H1266" s="38">
        <f t="shared" si="10"/>
        <v>10</v>
      </c>
      <c r="I1266" s="38">
        <f t="shared" si="11"/>
        <v>1</v>
      </c>
      <c r="J1266" s="55"/>
    </row>
    <row r="1267" spans="1:10" ht="15" customHeight="1" x14ac:dyDescent="0.2">
      <c r="A1267" s="50">
        <f t="array" ref="A1267">+INDEX(Partidas!$A:$J,MATCH('Resultados dashboard'!$B1267,Partidas!$C:$C,0),2)</f>
        <v>45816</v>
      </c>
      <c r="B1267" s="56">
        <f>+IF(COUNTIF($B$2:B1266,B1266)=VLOOKUP(B1266,Partidas!$C:$J,8,0),B1266+1,B1266)</f>
        <v>281</v>
      </c>
      <c r="C1267" s="41" t="str">
        <f t="array" ref="C1267">+INDEX(Partidas!$A:$J,MATCH('Resultados dashboard'!$B1267,Partidas!$C:$C,0),3+COUNTIF($B$2:B1267,'Resultados dashboard'!$B1267))</f>
        <v>Ivo</v>
      </c>
      <c r="D1267" s="54">
        <v>7</v>
      </c>
      <c r="E1267" s="54">
        <v>1</v>
      </c>
      <c r="F1267" s="53"/>
      <c r="G1267" s="53"/>
      <c r="H1267" s="38">
        <f t="shared" si="10"/>
        <v>8</v>
      </c>
      <c r="I1267" s="38">
        <f t="shared" si="11"/>
        <v>2</v>
      </c>
      <c r="J1267" s="55"/>
    </row>
    <row r="1268" spans="1:10" ht="15" customHeight="1" x14ac:dyDescent="0.2">
      <c r="A1268" s="50">
        <f t="array" ref="A1268">+INDEX(Partidas!$A:$J,MATCH('Resultados dashboard'!$B1268,Partidas!$C:$C,0),2)</f>
        <v>45816</v>
      </c>
      <c r="B1268" s="56">
        <f>+IF(COUNTIF($B$2:B1267,B1267)=VLOOKUP(B1267,Partidas!$C:$J,8,0),B1267+1,B1267)</f>
        <v>281</v>
      </c>
      <c r="C1268" s="41" t="str">
        <f t="array" ref="C1268">+INDEX(Partidas!$A:$J,MATCH('Resultados dashboard'!$B1268,Partidas!$C:$C,0),3+COUNTIF($B$2:B1268,'Resultados dashboard'!$B1268))</f>
        <v>Max</v>
      </c>
      <c r="D1268" s="54">
        <v>8</v>
      </c>
      <c r="E1268" s="53"/>
      <c r="F1268" s="53"/>
      <c r="G1268" s="53"/>
      <c r="H1268" s="38">
        <f t="shared" si="10"/>
        <v>8</v>
      </c>
      <c r="I1268" s="38">
        <f t="shared" si="11"/>
        <v>2</v>
      </c>
      <c r="J1268" s="55"/>
    </row>
    <row r="1269" spans="1:10" ht="15" customHeight="1" x14ac:dyDescent="0.2">
      <c r="A1269" s="50">
        <f t="array" ref="A1269">+INDEX(Partidas!$A:$J,MATCH('Resultados dashboard'!$B1269,Partidas!$C:$C,0),2)</f>
        <v>45816</v>
      </c>
      <c r="B1269" s="56">
        <f>+IF(COUNTIF($B$2:B1268,B1268)=VLOOKUP(B1268,Partidas!$C:$J,8,0),B1268+1,B1268)</f>
        <v>281</v>
      </c>
      <c r="C1269" s="41" t="str">
        <f t="array" ref="C1269">+INDEX(Partidas!$A:$J,MATCH('Resultados dashboard'!$B1269,Partidas!$C:$C,0),3+COUNTIF($B$2:B1269,'Resultados dashboard'!$B1269))</f>
        <v>Hugo</v>
      </c>
      <c r="D1269" s="54">
        <v>6</v>
      </c>
      <c r="E1269" s="53"/>
      <c r="F1269" s="53"/>
      <c r="G1269" s="53"/>
      <c r="H1269" s="38">
        <f t="shared" si="10"/>
        <v>6</v>
      </c>
      <c r="I1269" s="38">
        <f t="shared" si="11"/>
        <v>5</v>
      </c>
      <c r="J1269" s="55"/>
    </row>
    <row r="1270" spans="1:10" ht="15" customHeight="1" x14ac:dyDescent="0.2">
      <c r="A1270" s="50">
        <f t="array" ref="A1270">+INDEX(Partidas!$A:$J,MATCH('Resultados dashboard'!$B1270,Partidas!$C:$C,0),2)</f>
        <v>45816</v>
      </c>
      <c r="B1270" s="56">
        <f>+IF(COUNTIF($B$2:B1269,B1269)=VLOOKUP(B1269,Partidas!$C:$J,8,0),B1269+1,B1269)</f>
        <v>281</v>
      </c>
      <c r="C1270" s="41" t="str">
        <f t="array" ref="C1270">+INDEX(Partidas!$A:$J,MATCH('Resultados dashboard'!$B1270,Partidas!$C:$C,0),3+COUNTIF($B$2:B1270,'Resultados dashboard'!$B1270))</f>
        <v>Moch</v>
      </c>
      <c r="D1270" s="54">
        <v>6</v>
      </c>
      <c r="E1270" s="54">
        <v>1</v>
      </c>
      <c r="F1270" s="53"/>
      <c r="G1270" s="53"/>
      <c r="H1270" s="38">
        <f t="shared" si="10"/>
        <v>7</v>
      </c>
      <c r="I1270" s="38">
        <f t="shared" si="11"/>
        <v>4</v>
      </c>
      <c r="J1270" s="55"/>
    </row>
    <row r="1271" spans="1:10" ht="15" customHeight="1" x14ac:dyDescent="0.2">
      <c r="A1271" s="50">
        <f t="array" ref="A1271">+INDEX(Partidas!$A:$J,MATCH('Resultados dashboard'!$B1271,Partidas!$C:$C,0),2)</f>
        <v>45816</v>
      </c>
      <c r="B1271" s="56">
        <f>+IF(COUNTIF($B$2:B1270,B1270)=VLOOKUP(B1270,Partidas!$C:$J,8,0),B1270+1,B1270)</f>
        <v>281</v>
      </c>
      <c r="C1271" s="41" t="str">
        <f t="array" ref="C1271">+INDEX(Partidas!$A:$J,MATCH('Resultados dashboard'!$B1271,Partidas!$C:$C,0),3+COUNTIF($B$2:B1271,'Resultados dashboard'!$B1271))</f>
        <v>Sofi</v>
      </c>
      <c r="D1271" s="54">
        <v>4</v>
      </c>
      <c r="E1271" s="54">
        <v>2</v>
      </c>
      <c r="F1271" s="53"/>
      <c r="G1271" s="53"/>
      <c r="H1271" s="38">
        <f t="shared" si="10"/>
        <v>6</v>
      </c>
      <c r="I1271" s="38">
        <f t="shared" si="11"/>
        <v>5</v>
      </c>
      <c r="J1271" s="55"/>
    </row>
    <row r="1272" spans="1:10" ht="15" customHeight="1" x14ac:dyDescent="0.2">
      <c r="A1272" s="50">
        <f t="array" ref="A1272">+INDEX(Partidas!$A:$J,MATCH('Resultados dashboard'!$B1272,Partidas!$C:$C,0),2)</f>
        <v>45816</v>
      </c>
      <c r="B1272" s="56">
        <f>+IF(COUNTIF($B$2:B1271,B1271)=VLOOKUP(B1271,Partidas!$C:$J,8,0),B1271+1,B1271)</f>
        <v>282</v>
      </c>
      <c r="C1272" s="41" t="str">
        <f t="array" ref="C1272">+INDEX(Partidas!$A:$J,MATCH('Resultados dashboard'!$B1272,Partidas!$C:$C,0),3+COUNTIF($B$2:B1272,'Resultados dashboard'!$B1272))</f>
        <v>Gallo</v>
      </c>
      <c r="D1272" s="54">
        <v>6</v>
      </c>
      <c r="E1272" s="54">
        <v>1</v>
      </c>
      <c r="F1272" s="53"/>
      <c r="G1272" s="53"/>
      <c r="H1272" s="38">
        <f t="shared" si="10"/>
        <v>7</v>
      </c>
      <c r="I1272" s="38">
        <f t="shared" si="11"/>
        <v>2</v>
      </c>
      <c r="J1272" s="55"/>
    </row>
    <row r="1273" spans="1:10" ht="15" customHeight="1" x14ac:dyDescent="0.2">
      <c r="A1273" s="50">
        <f t="array" ref="A1273">+INDEX(Partidas!$A:$J,MATCH('Resultados dashboard'!$B1273,Partidas!$C:$C,0),2)</f>
        <v>45816</v>
      </c>
      <c r="B1273" s="56">
        <f>+IF(COUNTIF($B$2:B1272,B1272)=VLOOKUP(B1272,Partidas!$C:$J,8,0),B1272+1,B1272)</f>
        <v>282</v>
      </c>
      <c r="C1273" s="41" t="str">
        <f t="array" ref="C1273">+INDEX(Partidas!$A:$J,MATCH('Resultados dashboard'!$B1273,Partidas!$C:$C,0),3+COUNTIF($B$2:B1273,'Resultados dashboard'!$B1273))</f>
        <v>Ivo</v>
      </c>
      <c r="D1273" s="54">
        <v>5</v>
      </c>
      <c r="E1273" s="53"/>
      <c r="F1273" s="53"/>
      <c r="G1273" s="54">
        <v>1</v>
      </c>
      <c r="H1273" s="38">
        <f t="shared" si="10"/>
        <v>7</v>
      </c>
      <c r="I1273" s="38">
        <f t="shared" si="11"/>
        <v>2</v>
      </c>
      <c r="J1273" s="55"/>
    </row>
    <row r="1274" spans="1:10" ht="15" customHeight="1" x14ac:dyDescent="0.2">
      <c r="A1274" s="50">
        <f t="array" ref="A1274">+INDEX(Partidas!$A:$J,MATCH('Resultados dashboard'!$B1274,Partidas!$C:$C,0),2)</f>
        <v>45816</v>
      </c>
      <c r="B1274" s="56">
        <f>+IF(COUNTIF($B$2:B1273,B1273)=VLOOKUP(B1273,Partidas!$C:$J,8,0),B1273+1,B1273)</f>
        <v>282</v>
      </c>
      <c r="C1274" s="41" t="str">
        <f t="array" ref="C1274">+INDEX(Partidas!$A:$J,MATCH('Resultados dashboard'!$B1274,Partidas!$C:$C,0),3+COUNTIF($B$2:B1274,'Resultados dashboard'!$B1274))</f>
        <v>Max</v>
      </c>
      <c r="D1274" s="54">
        <v>5</v>
      </c>
      <c r="E1274" s="54">
        <v>1</v>
      </c>
      <c r="F1274" s="53"/>
      <c r="G1274" s="53"/>
      <c r="H1274" s="38">
        <f t="shared" si="10"/>
        <v>6</v>
      </c>
      <c r="I1274" s="38">
        <f t="shared" si="11"/>
        <v>5</v>
      </c>
      <c r="J1274" s="55"/>
    </row>
    <row r="1275" spans="1:10" ht="15" customHeight="1" x14ac:dyDescent="0.2">
      <c r="A1275" s="50">
        <f t="array" ref="A1275">+INDEX(Partidas!$A:$J,MATCH('Resultados dashboard'!$B1275,Partidas!$C:$C,0),2)</f>
        <v>45816</v>
      </c>
      <c r="B1275" s="56">
        <f>+IF(COUNTIF($B$2:B1274,B1274)=VLOOKUP(B1274,Partidas!$C:$J,8,0),B1274+1,B1274)</f>
        <v>282</v>
      </c>
      <c r="C1275" s="41" t="str">
        <f t="array" ref="C1275">+INDEX(Partidas!$A:$J,MATCH('Resultados dashboard'!$B1275,Partidas!$C:$C,0),3+COUNTIF($B$2:B1275,'Resultados dashboard'!$B1275))</f>
        <v>Hugo</v>
      </c>
      <c r="D1275" s="54">
        <v>7</v>
      </c>
      <c r="E1275" s="53"/>
      <c r="F1275" s="53"/>
      <c r="G1275" s="53"/>
      <c r="H1275" s="38">
        <f t="shared" si="10"/>
        <v>7</v>
      </c>
      <c r="I1275" s="38">
        <f t="shared" si="11"/>
        <v>2</v>
      </c>
      <c r="J1275" s="55"/>
    </row>
    <row r="1276" spans="1:10" ht="15" customHeight="1" x14ac:dyDescent="0.2">
      <c r="A1276" s="50">
        <f t="array" ref="A1276">+INDEX(Partidas!$A:$J,MATCH('Resultados dashboard'!$B1276,Partidas!$C:$C,0),2)</f>
        <v>45816</v>
      </c>
      <c r="B1276" s="56">
        <f>+IF(COUNTIF($B$2:B1275,B1275)=VLOOKUP(B1275,Partidas!$C:$J,8,0),B1275+1,B1275)</f>
        <v>282</v>
      </c>
      <c r="C1276" s="41" t="str">
        <f t="array" ref="C1276">+INDEX(Partidas!$A:$J,MATCH('Resultados dashboard'!$B1276,Partidas!$C:$C,0),3+COUNTIF($B$2:B1276,'Resultados dashboard'!$B1276))</f>
        <v>Moch</v>
      </c>
      <c r="D1276" s="54">
        <v>9</v>
      </c>
      <c r="E1276" s="54">
        <v>1</v>
      </c>
      <c r="F1276" s="53"/>
      <c r="G1276" s="53"/>
      <c r="H1276" s="38">
        <f t="shared" si="10"/>
        <v>10</v>
      </c>
      <c r="I1276" s="38">
        <f t="shared" si="11"/>
        <v>1</v>
      </c>
      <c r="J1276" s="55"/>
    </row>
    <row r="1277" spans="1:10" ht="15" customHeight="1" x14ac:dyDescent="0.2">
      <c r="A1277" s="50">
        <f t="array" ref="A1277">+INDEX(Partidas!$A:$J,MATCH('Resultados dashboard'!$B1277,Partidas!$C:$C,0),2)</f>
        <v>45816</v>
      </c>
      <c r="B1277" s="56">
        <f>+IF(COUNTIF($B$2:B1276,B1276)=VLOOKUP(B1276,Partidas!$C:$J,8,0),B1276+1,B1276)</f>
        <v>282</v>
      </c>
      <c r="C1277" s="41" t="str">
        <f t="array" ref="C1277">+INDEX(Partidas!$A:$J,MATCH('Resultados dashboard'!$B1277,Partidas!$C:$C,0),3+COUNTIF($B$2:B1277,'Resultados dashboard'!$B1277))</f>
        <v>Sofi</v>
      </c>
      <c r="D1277" s="54">
        <v>3</v>
      </c>
      <c r="E1277" s="53"/>
      <c r="F1277" s="53"/>
      <c r="G1277" s="53"/>
      <c r="H1277" s="38">
        <f t="shared" ref="H1277:H1531" si="12">+SUM(D1277:E1277)+2*SUM(F1277:G1277)+J1277</f>
        <v>3</v>
      </c>
      <c r="I1277" s="38">
        <f t="shared" si="11"/>
        <v>6</v>
      </c>
      <c r="J1277" s="55"/>
    </row>
    <row r="1278" spans="1:10" ht="15" customHeight="1" x14ac:dyDescent="0.2">
      <c r="A1278" s="50">
        <f t="array" ref="A1278">+INDEX(Partidas!$A:$J,MATCH('Resultados dashboard'!$B1278,Partidas!$C:$C,0),2)</f>
        <v>45816</v>
      </c>
      <c r="B1278" s="56">
        <f>+IF(COUNTIF($B$2:B1277,B1277)=VLOOKUP(B1277,Partidas!$C:$J,8,0),B1277+1,B1277)</f>
        <v>283</v>
      </c>
      <c r="C1278" s="41" t="str">
        <f t="array" ref="C1278">+INDEX(Partidas!$A:$J,MATCH('Resultados dashboard'!$B1278,Partidas!$C:$C,0),3+COUNTIF($B$2:B1278,'Resultados dashboard'!$B1278))</f>
        <v>Gallo</v>
      </c>
      <c r="D1278" s="54">
        <v>8</v>
      </c>
      <c r="E1278" s="53"/>
      <c r="F1278" s="53"/>
      <c r="G1278" s="53"/>
      <c r="H1278" s="38">
        <f t="shared" si="12"/>
        <v>8</v>
      </c>
      <c r="I1278" s="38">
        <f t="shared" si="11"/>
        <v>5</v>
      </c>
      <c r="J1278" s="55"/>
    </row>
    <row r="1279" spans="1:10" ht="15" customHeight="1" x14ac:dyDescent="0.2">
      <c r="A1279" s="50">
        <f t="array" ref="A1279">+INDEX(Partidas!$A:$J,MATCH('Resultados dashboard'!$B1279,Partidas!$C:$C,0),2)</f>
        <v>45816</v>
      </c>
      <c r="B1279" s="56">
        <f>+IF(COUNTIF($B$2:B1278,B1278)=VLOOKUP(B1278,Partidas!$C:$J,8,0),B1278+1,B1278)</f>
        <v>283</v>
      </c>
      <c r="C1279" s="41" t="str">
        <f t="array" ref="C1279">+INDEX(Partidas!$A:$J,MATCH('Resultados dashboard'!$B1279,Partidas!$C:$C,0),3+COUNTIF($B$2:B1279,'Resultados dashboard'!$B1279))</f>
        <v>Ivo</v>
      </c>
      <c r="D1279" s="54">
        <v>6</v>
      </c>
      <c r="E1279" s="54">
        <v>1</v>
      </c>
      <c r="F1279" s="53"/>
      <c r="G1279" s="54">
        <v>1</v>
      </c>
      <c r="H1279" s="38">
        <f t="shared" si="12"/>
        <v>9</v>
      </c>
      <c r="I1279" s="38">
        <f t="shared" si="11"/>
        <v>2</v>
      </c>
      <c r="J1279" s="55"/>
    </row>
    <row r="1280" spans="1:10" ht="15" customHeight="1" x14ac:dyDescent="0.2">
      <c r="A1280" s="50">
        <f t="array" ref="A1280">+INDEX(Partidas!$A:$J,MATCH('Resultados dashboard'!$B1280,Partidas!$C:$C,0),2)</f>
        <v>45816</v>
      </c>
      <c r="B1280" s="56">
        <f>+IF(COUNTIF($B$2:B1279,B1279)=VLOOKUP(B1279,Partidas!$C:$J,8,0),B1279+1,B1279)</f>
        <v>283</v>
      </c>
      <c r="C1280" s="41" t="str">
        <f t="array" ref="C1280">+INDEX(Partidas!$A:$J,MATCH('Resultados dashboard'!$B1280,Partidas!$C:$C,0),3+COUNTIF($B$2:B1280,'Resultados dashboard'!$B1280))</f>
        <v>Max</v>
      </c>
      <c r="D1280" s="54">
        <v>5</v>
      </c>
      <c r="E1280" s="53"/>
      <c r="F1280" s="53"/>
      <c r="G1280" s="53"/>
      <c r="H1280" s="38">
        <f t="shared" si="12"/>
        <v>5</v>
      </c>
      <c r="I1280" s="38">
        <f t="shared" si="11"/>
        <v>6</v>
      </c>
      <c r="J1280" s="55"/>
    </row>
    <row r="1281" spans="1:10" ht="15" customHeight="1" x14ac:dyDescent="0.2">
      <c r="A1281" s="50">
        <f t="array" ref="A1281">+INDEX(Partidas!$A:$J,MATCH('Resultados dashboard'!$B1281,Partidas!$C:$C,0),2)</f>
        <v>45816</v>
      </c>
      <c r="B1281" s="56">
        <f>+IF(COUNTIF($B$2:B1280,B1280)=VLOOKUP(B1280,Partidas!$C:$J,8,0),B1280+1,B1280)</f>
        <v>283</v>
      </c>
      <c r="C1281" s="41" t="str">
        <f t="array" ref="C1281">+INDEX(Partidas!$A:$J,MATCH('Resultados dashboard'!$B1281,Partidas!$C:$C,0),3+COUNTIF($B$2:B1281,'Resultados dashboard'!$B1281))</f>
        <v>Hugo</v>
      </c>
      <c r="D1281" s="54">
        <v>8</v>
      </c>
      <c r="E1281" s="54">
        <v>1</v>
      </c>
      <c r="F1281" s="53"/>
      <c r="G1281" s="53"/>
      <c r="H1281" s="38">
        <f t="shared" si="12"/>
        <v>9</v>
      </c>
      <c r="I1281" s="38">
        <f t="shared" si="11"/>
        <v>2</v>
      </c>
      <c r="J1281" s="55"/>
    </row>
    <row r="1282" spans="1:10" ht="15" customHeight="1" x14ac:dyDescent="0.2">
      <c r="A1282" s="50">
        <f t="array" ref="A1282">+INDEX(Partidas!$A:$J,MATCH('Resultados dashboard'!$B1282,Partidas!$C:$C,0),2)</f>
        <v>45816</v>
      </c>
      <c r="B1282" s="56">
        <f>+IF(COUNTIF($B$2:B1281,B1281)=VLOOKUP(B1281,Partidas!$C:$J,8,0),B1281+1,B1281)</f>
        <v>283</v>
      </c>
      <c r="C1282" s="41" t="str">
        <f t="array" ref="C1282">+INDEX(Partidas!$A:$J,MATCH('Resultados dashboard'!$B1282,Partidas!$C:$C,0),3+COUNTIF($B$2:B1282,'Resultados dashboard'!$B1282))</f>
        <v>Moch</v>
      </c>
      <c r="D1282" s="54">
        <v>9</v>
      </c>
      <c r="E1282" s="53"/>
      <c r="F1282" s="54">
        <v>1</v>
      </c>
      <c r="G1282" s="53"/>
      <c r="H1282" s="38">
        <f t="shared" si="12"/>
        <v>11</v>
      </c>
      <c r="I1282" s="38">
        <f t="shared" si="11"/>
        <v>1</v>
      </c>
      <c r="J1282" s="55"/>
    </row>
    <row r="1283" spans="1:10" ht="15" customHeight="1" x14ac:dyDescent="0.2">
      <c r="A1283" s="50">
        <f t="array" ref="A1283">+INDEX(Partidas!$A:$J,MATCH('Resultados dashboard'!$B1283,Partidas!$C:$C,0),2)</f>
        <v>45816</v>
      </c>
      <c r="B1283" s="56">
        <f>+IF(COUNTIF($B$2:B1282,B1282)=VLOOKUP(B1282,Partidas!$C:$J,8,0),B1282+1,B1282)</f>
        <v>283</v>
      </c>
      <c r="C1283" s="41" t="str">
        <f t="array" ref="C1283">+INDEX(Partidas!$A:$J,MATCH('Resultados dashboard'!$B1283,Partidas!$C:$C,0),3+COUNTIF($B$2:B1283,'Resultados dashboard'!$B1283))</f>
        <v>Sofi</v>
      </c>
      <c r="D1283" s="54">
        <v>9</v>
      </c>
      <c r="E1283" s="53"/>
      <c r="F1283" s="53"/>
      <c r="G1283" s="53"/>
      <c r="H1283" s="38">
        <f t="shared" si="12"/>
        <v>9</v>
      </c>
      <c r="I1283" s="38">
        <f t="shared" si="11"/>
        <v>2</v>
      </c>
      <c r="J1283" s="55"/>
    </row>
    <row r="1284" spans="1:10" ht="15" customHeight="1" x14ac:dyDescent="0.2">
      <c r="A1284" s="50">
        <f t="array" ref="A1284">+INDEX(Partidas!$A:$J,MATCH('Resultados dashboard'!$B1284,Partidas!$C:$C,0),2)</f>
        <v>45820</v>
      </c>
      <c r="B1284" s="56">
        <f>+IF(COUNTIF($B$2:B1283,B1283)=VLOOKUP(B1283,Partidas!$C:$J,8,0),B1283+1,B1283)</f>
        <v>284</v>
      </c>
      <c r="C1284" s="41" t="str">
        <f t="array" ref="C1284">+INDEX(Partidas!$A:$J,MATCH('Resultados dashboard'!$B1284,Partidas!$C:$C,0),3+COUNTIF($B$2:B1284,'Resultados dashboard'!$B1284))</f>
        <v>Ivo</v>
      </c>
      <c r="D1284" s="54">
        <v>7</v>
      </c>
      <c r="E1284" s="53"/>
      <c r="F1284" s="53"/>
      <c r="G1284" s="53"/>
      <c r="H1284" s="38">
        <f t="shared" si="12"/>
        <v>7</v>
      </c>
      <c r="I1284" s="38">
        <f t="shared" si="11"/>
        <v>4</v>
      </c>
      <c r="J1284" s="55"/>
    </row>
    <row r="1285" spans="1:10" ht="15" customHeight="1" x14ac:dyDescent="0.2">
      <c r="A1285" s="50">
        <f t="array" ref="A1285">+INDEX(Partidas!$A:$J,MATCH('Resultados dashboard'!$B1285,Partidas!$C:$C,0),2)</f>
        <v>45820</v>
      </c>
      <c r="B1285" s="56">
        <f>+IF(COUNTIF($B$2:B1284,B1284)=VLOOKUP(B1284,Partidas!$C:$J,8,0),B1284+1,B1284)</f>
        <v>284</v>
      </c>
      <c r="C1285" s="41" t="str">
        <f t="array" ref="C1285">+INDEX(Partidas!$A:$J,MATCH('Resultados dashboard'!$B1285,Partidas!$C:$C,0),3+COUNTIF($B$2:B1285,'Resultados dashboard'!$B1285))</f>
        <v>Max</v>
      </c>
      <c r="D1285" s="54">
        <v>6</v>
      </c>
      <c r="E1285" s="54">
        <v>1</v>
      </c>
      <c r="F1285" s="54">
        <v>1</v>
      </c>
      <c r="G1285" s="53"/>
      <c r="H1285" s="38">
        <f t="shared" si="12"/>
        <v>9</v>
      </c>
      <c r="I1285" s="38">
        <f t="shared" si="11"/>
        <v>2</v>
      </c>
      <c r="J1285" s="55"/>
    </row>
    <row r="1286" spans="1:10" ht="15" customHeight="1" x14ac:dyDescent="0.2">
      <c r="A1286" s="50">
        <f t="array" ref="A1286">+INDEX(Partidas!$A:$J,MATCH('Resultados dashboard'!$B1286,Partidas!$C:$C,0),2)</f>
        <v>45820</v>
      </c>
      <c r="B1286" s="56">
        <f>+IF(COUNTIF($B$2:B1285,B1285)=VLOOKUP(B1285,Partidas!$C:$J,8,0),B1285+1,B1285)</f>
        <v>284</v>
      </c>
      <c r="C1286" s="41" t="str">
        <f t="array" ref="C1286">+INDEX(Partidas!$A:$J,MATCH('Resultados dashboard'!$B1286,Partidas!$C:$C,0),3+COUNTIF($B$2:B1286,'Resultados dashboard'!$B1286))</f>
        <v>Hugo</v>
      </c>
      <c r="D1286" s="54">
        <v>5</v>
      </c>
      <c r="E1286" s="54">
        <v>1</v>
      </c>
      <c r="F1286" s="53"/>
      <c r="G1286" s="53"/>
      <c r="H1286" s="38">
        <f t="shared" si="12"/>
        <v>6</v>
      </c>
      <c r="I1286" s="38">
        <f t="shared" si="11"/>
        <v>5</v>
      </c>
      <c r="J1286" s="55"/>
    </row>
    <row r="1287" spans="1:10" ht="15" customHeight="1" x14ac:dyDescent="0.2">
      <c r="A1287" s="50">
        <f t="array" ref="A1287">+INDEX(Partidas!$A:$J,MATCH('Resultados dashboard'!$B1287,Partidas!$C:$C,0),2)</f>
        <v>45820</v>
      </c>
      <c r="B1287" s="56">
        <f>+IF(COUNTIF($B$2:B1286,B1286)=VLOOKUP(B1286,Partidas!$C:$J,8,0),B1286+1,B1286)</f>
        <v>284</v>
      </c>
      <c r="C1287" s="41" t="str">
        <f t="array" ref="C1287">+INDEX(Partidas!$A:$J,MATCH('Resultados dashboard'!$B1287,Partidas!$C:$C,0),3+COUNTIF($B$2:B1287,'Resultados dashboard'!$B1287))</f>
        <v>Gaspa</v>
      </c>
      <c r="D1287" s="54">
        <v>9</v>
      </c>
      <c r="E1287" s="53"/>
      <c r="F1287" s="53"/>
      <c r="G1287" s="53"/>
      <c r="H1287" s="38">
        <f t="shared" si="12"/>
        <v>9</v>
      </c>
      <c r="I1287" s="38">
        <f t="shared" si="11"/>
        <v>2</v>
      </c>
      <c r="J1287" s="55"/>
    </row>
    <row r="1288" spans="1:10" ht="15" customHeight="1" x14ac:dyDescent="0.2">
      <c r="A1288" s="50">
        <f t="array" ref="A1288">+INDEX(Partidas!$A:$J,MATCH('Resultados dashboard'!$B1288,Partidas!$C:$C,0),2)</f>
        <v>45820</v>
      </c>
      <c r="B1288" s="56">
        <f>+IF(COUNTIF($B$2:B1287,B1287)=VLOOKUP(B1287,Partidas!$C:$J,8,0),B1287+1,B1287)</f>
        <v>284</v>
      </c>
      <c r="C1288" s="41" t="str">
        <f t="array" ref="C1288">+INDEX(Partidas!$A:$J,MATCH('Resultados dashboard'!$B1288,Partidas!$C:$C,0),3+COUNTIF($B$2:B1288,'Resultados dashboard'!$B1288))</f>
        <v>Gasta</v>
      </c>
      <c r="D1288" s="54">
        <v>8</v>
      </c>
      <c r="E1288" s="53"/>
      <c r="F1288" s="53"/>
      <c r="G1288" s="54">
        <v>1</v>
      </c>
      <c r="H1288" s="38">
        <f t="shared" si="12"/>
        <v>10</v>
      </c>
      <c r="I1288" s="38">
        <f t="shared" si="11"/>
        <v>1</v>
      </c>
      <c r="J1288" s="55"/>
    </row>
    <row r="1289" spans="1:10" ht="15" customHeight="1" x14ac:dyDescent="0.2">
      <c r="A1289" s="50">
        <f t="array" ref="A1289">+INDEX(Partidas!$A:$J,MATCH('Resultados dashboard'!$B1289,Partidas!$C:$C,0),2)</f>
        <v>45820</v>
      </c>
      <c r="B1289" s="56">
        <f>+IF(COUNTIF($B$2:B1288,B1288)=VLOOKUP(B1288,Partidas!$C:$J,8,0),B1288+1,B1288)</f>
        <v>285</v>
      </c>
      <c r="C1289" s="41" t="str">
        <f t="array" ref="C1289">+INDEX(Partidas!$A:$J,MATCH('Resultados dashboard'!$B1289,Partidas!$C:$C,0),3+COUNTIF($B$2:B1289,'Resultados dashboard'!$B1289))</f>
        <v>Ivo</v>
      </c>
      <c r="D1289" s="54">
        <v>5</v>
      </c>
      <c r="E1289" s="53"/>
      <c r="F1289" s="53"/>
      <c r="G1289" s="54">
        <v>1</v>
      </c>
      <c r="H1289" s="38">
        <f t="shared" si="12"/>
        <v>7</v>
      </c>
      <c r="I1289" s="38">
        <f t="shared" si="11"/>
        <v>5</v>
      </c>
      <c r="J1289" s="55"/>
    </row>
    <row r="1290" spans="1:10" ht="15" customHeight="1" x14ac:dyDescent="0.2">
      <c r="A1290" s="50">
        <f t="array" ref="A1290">+INDEX(Partidas!$A:$J,MATCH('Resultados dashboard'!$B1290,Partidas!$C:$C,0),2)</f>
        <v>45820</v>
      </c>
      <c r="B1290" s="56">
        <f>+IF(COUNTIF($B$2:B1289,B1289)=VLOOKUP(B1289,Partidas!$C:$J,8,0),B1289+1,B1289)</f>
        <v>285</v>
      </c>
      <c r="C1290" s="41" t="str">
        <f t="array" ref="C1290">+INDEX(Partidas!$A:$J,MATCH('Resultados dashboard'!$B1290,Partidas!$C:$C,0),3+COUNTIF($B$2:B1290,'Resultados dashboard'!$B1290))</f>
        <v>Max</v>
      </c>
      <c r="D1290" s="54">
        <v>9</v>
      </c>
      <c r="E1290" s="54">
        <v>1</v>
      </c>
      <c r="F1290" s="53"/>
      <c r="G1290" s="53"/>
      <c r="H1290" s="38">
        <f t="shared" si="12"/>
        <v>10</v>
      </c>
      <c r="I1290" s="58">
        <v>2</v>
      </c>
      <c r="J1290" s="55"/>
    </row>
    <row r="1291" spans="1:10" ht="15" customHeight="1" x14ac:dyDescent="0.2">
      <c r="A1291" s="50">
        <f t="array" ref="A1291">+INDEX(Partidas!$A:$J,MATCH('Resultados dashboard'!$B1291,Partidas!$C:$C,0),2)</f>
        <v>45820</v>
      </c>
      <c r="B1291" s="56">
        <f>+IF(COUNTIF($B$2:B1290,B1290)=VLOOKUP(B1290,Partidas!$C:$J,8,0),B1290+1,B1290)</f>
        <v>285</v>
      </c>
      <c r="C1291" s="41" t="str">
        <f t="array" ref="C1291">+INDEX(Partidas!$A:$J,MATCH('Resultados dashboard'!$B1291,Partidas!$C:$C,0),3+COUNTIF($B$2:B1291,'Resultados dashboard'!$B1291))</f>
        <v>Hugo</v>
      </c>
      <c r="D1291" s="54">
        <v>7</v>
      </c>
      <c r="E1291" s="54">
        <v>1</v>
      </c>
      <c r="F1291" s="53"/>
      <c r="G1291" s="53"/>
      <c r="H1291" s="38">
        <f t="shared" si="12"/>
        <v>8</v>
      </c>
      <c r="I1291" s="38">
        <f t="shared" ref="I1291:I1545" si="13">COUNTIFS($B$2:$B$10000,B1291,$H$2:$H$10000,"&gt;" &amp; H1291)+1</f>
        <v>4</v>
      </c>
      <c r="J1291" s="55"/>
    </row>
    <row r="1292" spans="1:10" ht="15" customHeight="1" x14ac:dyDescent="0.2">
      <c r="A1292" s="50">
        <f t="array" ref="A1292">+INDEX(Partidas!$A:$J,MATCH('Resultados dashboard'!$B1292,Partidas!$C:$C,0),2)</f>
        <v>45820</v>
      </c>
      <c r="B1292" s="56">
        <f>+IF(COUNTIF($B$2:B1291,B1291)=VLOOKUP(B1291,Partidas!$C:$J,8,0),B1291+1,B1291)</f>
        <v>285</v>
      </c>
      <c r="C1292" s="41" t="str">
        <f t="array" ref="C1292">+INDEX(Partidas!$A:$J,MATCH('Resultados dashboard'!$B1292,Partidas!$C:$C,0),3+COUNTIF($B$2:B1292,'Resultados dashboard'!$B1292))</f>
        <v>Gaspa</v>
      </c>
      <c r="D1292" s="54">
        <v>7</v>
      </c>
      <c r="E1292" s="54">
        <v>1</v>
      </c>
      <c r="F1292" s="54">
        <v>1</v>
      </c>
      <c r="G1292" s="53"/>
      <c r="H1292" s="38">
        <f t="shared" si="12"/>
        <v>10</v>
      </c>
      <c r="I1292" s="38">
        <f t="shared" si="13"/>
        <v>1</v>
      </c>
      <c r="J1292" s="55"/>
    </row>
    <row r="1293" spans="1:10" ht="15" customHeight="1" x14ac:dyDescent="0.2">
      <c r="A1293" s="50">
        <f t="array" ref="A1293">+INDEX(Partidas!$A:$J,MATCH('Resultados dashboard'!$B1293,Partidas!$C:$C,0),2)</f>
        <v>45820</v>
      </c>
      <c r="B1293" s="56">
        <f>+IF(COUNTIF($B$2:B1292,B1292)=VLOOKUP(B1292,Partidas!$C:$J,8,0),B1292+1,B1292)</f>
        <v>285</v>
      </c>
      <c r="C1293" s="41" t="str">
        <f t="array" ref="C1293">+INDEX(Partidas!$A:$J,MATCH('Resultados dashboard'!$B1293,Partidas!$C:$C,0),3+COUNTIF($B$2:B1293,'Resultados dashboard'!$B1293))</f>
        <v>Gasta</v>
      </c>
      <c r="D1293" s="54">
        <v>9</v>
      </c>
      <c r="E1293" s="53"/>
      <c r="F1293" s="53"/>
      <c r="G1293" s="53"/>
      <c r="H1293" s="38">
        <f t="shared" si="12"/>
        <v>9</v>
      </c>
      <c r="I1293" s="38">
        <f t="shared" si="13"/>
        <v>3</v>
      </c>
      <c r="J1293" s="55"/>
    </row>
    <row r="1294" spans="1:10" ht="15" customHeight="1" x14ac:dyDescent="0.2">
      <c r="A1294" s="50">
        <f t="array" ref="A1294">+INDEX(Partidas!$A:$J,MATCH('Resultados dashboard'!$B1294,Partidas!$C:$C,0),2)</f>
        <v>45826</v>
      </c>
      <c r="B1294" s="56">
        <f>+IF(COUNTIF($B$2:B1293,B1293)=VLOOKUP(B1293,Partidas!$C:$J,8,0),B1293+1,B1293)</f>
        <v>286</v>
      </c>
      <c r="C1294" s="41" t="str">
        <f t="array" ref="C1294">+INDEX(Partidas!$A:$J,MATCH('Resultados dashboard'!$B1294,Partidas!$C:$C,0),3+COUNTIF($B$2:B1294,'Resultados dashboard'!$B1294))</f>
        <v>Ivo</v>
      </c>
      <c r="D1294" s="54">
        <v>5</v>
      </c>
      <c r="E1294" s="54">
        <v>3</v>
      </c>
      <c r="F1294" s="54"/>
      <c r="G1294" s="53"/>
      <c r="H1294" s="38">
        <f t="shared" si="12"/>
        <v>8</v>
      </c>
      <c r="I1294" s="38">
        <f t="shared" si="13"/>
        <v>3</v>
      </c>
      <c r="J1294" s="55"/>
    </row>
    <row r="1295" spans="1:10" ht="15" customHeight="1" x14ac:dyDescent="0.2">
      <c r="A1295" s="50">
        <f t="array" ref="A1295">+INDEX(Partidas!$A:$J,MATCH('Resultados dashboard'!$B1295,Partidas!$C:$C,0),2)</f>
        <v>45826</v>
      </c>
      <c r="B1295" s="56">
        <f>+IF(COUNTIF($B$2:B1294,B1294)=VLOOKUP(B1294,Partidas!$C:$J,8,0),B1294+1,B1294)</f>
        <v>286</v>
      </c>
      <c r="C1295" s="41" t="str">
        <f t="array" ref="C1295">+INDEX(Partidas!$A:$J,MATCH('Resultados dashboard'!$B1295,Partidas!$C:$C,0),3+COUNTIF($B$2:B1295,'Resultados dashboard'!$B1295))</f>
        <v>Max</v>
      </c>
      <c r="D1295" s="54">
        <v>9</v>
      </c>
      <c r="E1295" s="53"/>
      <c r="F1295" s="53"/>
      <c r="G1295" s="53"/>
      <c r="H1295" s="38">
        <f t="shared" si="12"/>
        <v>9</v>
      </c>
      <c r="I1295" s="38">
        <f t="shared" si="13"/>
        <v>2</v>
      </c>
      <c r="J1295" s="55"/>
    </row>
    <row r="1296" spans="1:10" ht="15" customHeight="1" x14ac:dyDescent="0.2">
      <c r="A1296" s="50">
        <f t="array" ref="A1296">+INDEX(Partidas!$A:$J,MATCH('Resultados dashboard'!$B1296,Partidas!$C:$C,0),2)</f>
        <v>45826</v>
      </c>
      <c r="B1296" s="56">
        <f>+IF(COUNTIF($B$2:B1295,B1295)=VLOOKUP(B1295,Partidas!$C:$J,8,0),B1295+1,B1295)</f>
        <v>286</v>
      </c>
      <c r="C1296" s="41" t="str">
        <f t="array" ref="C1296">+INDEX(Partidas!$A:$J,MATCH('Resultados dashboard'!$B1296,Partidas!$C:$C,0),3+COUNTIF($B$2:B1296,'Resultados dashboard'!$B1296))</f>
        <v>Hugo</v>
      </c>
      <c r="D1296" s="54">
        <v>7</v>
      </c>
      <c r="E1296" s="53"/>
      <c r="F1296" s="53"/>
      <c r="G1296" s="53"/>
      <c r="H1296" s="38">
        <f t="shared" si="12"/>
        <v>7</v>
      </c>
      <c r="I1296" s="38">
        <f t="shared" si="13"/>
        <v>5</v>
      </c>
      <c r="J1296" s="55"/>
    </row>
    <row r="1297" spans="1:10" ht="15" customHeight="1" x14ac:dyDescent="0.2">
      <c r="A1297" s="50">
        <f t="array" ref="A1297">+INDEX(Partidas!$A:$J,MATCH('Resultados dashboard'!$B1297,Partidas!$C:$C,0),2)</f>
        <v>45826</v>
      </c>
      <c r="B1297" s="56">
        <f>+IF(COUNTIF($B$2:B1296,B1296)=VLOOKUP(B1296,Partidas!$C:$J,8,0),B1296+1,B1296)</f>
        <v>286</v>
      </c>
      <c r="C1297" s="41" t="str">
        <f t="array" ref="C1297">+INDEX(Partidas!$A:$J,MATCH('Resultados dashboard'!$B1297,Partidas!$C:$C,0),3+COUNTIF($B$2:B1297,'Resultados dashboard'!$B1297))</f>
        <v>Moch</v>
      </c>
      <c r="D1297" s="54">
        <v>6</v>
      </c>
      <c r="E1297" s="54"/>
      <c r="F1297" s="54">
        <v>1</v>
      </c>
      <c r="G1297" s="54">
        <v>1</v>
      </c>
      <c r="H1297" s="38">
        <f t="shared" si="12"/>
        <v>10</v>
      </c>
      <c r="I1297" s="38">
        <f t="shared" si="13"/>
        <v>1</v>
      </c>
      <c r="J1297" s="55"/>
    </row>
    <row r="1298" spans="1:10" ht="15" customHeight="1" x14ac:dyDescent="0.2">
      <c r="A1298" s="50">
        <f t="array" ref="A1298">+INDEX(Partidas!$A:$J,MATCH('Resultados dashboard'!$B1298,Partidas!$C:$C,0),2)</f>
        <v>45826</v>
      </c>
      <c r="B1298" s="56">
        <f>+IF(COUNTIF($B$2:B1297,B1297)=VLOOKUP(B1297,Partidas!$C:$J,8,0),B1297+1,B1297)</f>
        <v>286</v>
      </c>
      <c r="C1298" s="41" t="str">
        <f t="array" ref="C1298">+INDEX(Partidas!$A:$J,MATCH('Resultados dashboard'!$B1298,Partidas!$C:$C,0),3+COUNTIF($B$2:B1298,'Resultados dashboard'!$B1298))</f>
        <v>Gasta</v>
      </c>
      <c r="D1298" s="54">
        <v>8</v>
      </c>
      <c r="E1298" s="54"/>
      <c r="F1298" s="53"/>
      <c r="G1298" s="54"/>
      <c r="H1298" s="38">
        <f t="shared" si="12"/>
        <v>8</v>
      </c>
      <c r="I1298" s="38">
        <f t="shared" si="13"/>
        <v>3</v>
      </c>
      <c r="J1298" s="55"/>
    </row>
    <row r="1299" spans="1:10" ht="15" customHeight="1" x14ac:dyDescent="0.2">
      <c r="A1299" s="50">
        <f t="array" ref="A1299">+INDEX(Partidas!$A:$J,MATCH('Resultados dashboard'!$B1299,Partidas!$C:$C,0),2)</f>
        <v>45826</v>
      </c>
      <c r="B1299" s="56">
        <f>+IF(COUNTIF($B$2:B1298,B1298)=VLOOKUP(B1298,Partidas!$C:$J,8,0),B1298+1,B1298)</f>
        <v>287</v>
      </c>
      <c r="C1299" s="41" t="str">
        <f t="array" ref="C1299">+INDEX(Partidas!$A:$J,MATCH('Resultados dashboard'!$B1299,Partidas!$C:$C,0),3+COUNTIF($B$2:B1299,'Resultados dashboard'!$B1299))</f>
        <v>Gallo</v>
      </c>
      <c r="D1299" s="54">
        <v>8</v>
      </c>
      <c r="E1299" s="53"/>
      <c r="F1299" s="53"/>
      <c r="G1299" s="54">
        <v>1</v>
      </c>
      <c r="H1299" s="38">
        <f t="shared" si="12"/>
        <v>10</v>
      </c>
      <c r="I1299" s="38">
        <f t="shared" si="13"/>
        <v>1</v>
      </c>
      <c r="J1299" s="55"/>
    </row>
    <row r="1300" spans="1:10" ht="15" customHeight="1" x14ac:dyDescent="0.2">
      <c r="A1300" s="50">
        <f t="array" ref="A1300">+INDEX(Partidas!$A:$J,MATCH('Resultados dashboard'!$B1300,Partidas!$C:$C,0),2)</f>
        <v>45826</v>
      </c>
      <c r="B1300" s="56">
        <f>+IF(COUNTIF($B$2:B1299,B1299)=VLOOKUP(B1299,Partidas!$C:$J,8,0),B1299+1,B1299)</f>
        <v>287</v>
      </c>
      <c r="C1300" s="41" t="str">
        <f t="array" ref="C1300">+INDEX(Partidas!$A:$J,MATCH('Resultados dashboard'!$B1300,Partidas!$C:$C,0),3+COUNTIF($B$2:B1300,'Resultados dashboard'!$B1300))</f>
        <v>Ivo</v>
      </c>
      <c r="D1300" s="54">
        <v>5</v>
      </c>
      <c r="E1300" s="53"/>
      <c r="F1300" s="54">
        <v>1</v>
      </c>
      <c r="G1300" s="53"/>
      <c r="H1300" s="38">
        <f t="shared" si="12"/>
        <v>7</v>
      </c>
      <c r="I1300" s="38">
        <f t="shared" si="13"/>
        <v>3</v>
      </c>
      <c r="J1300" s="55"/>
    </row>
    <row r="1301" spans="1:10" ht="15" customHeight="1" x14ac:dyDescent="0.2">
      <c r="A1301" s="50">
        <f t="array" ref="A1301">+INDEX(Partidas!$A:$J,MATCH('Resultados dashboard'!$B1301,Partidas!$C:$C,0),2)</f>
        <v>45826</v>
      </c>
      <c r="B1301" s="56">
        <f>+IF(COUNTIF($B$2:B1300,B1300)=VLOOKUP(B1300,Partidas!$C:$J,8,0),B1300+1,B1300)</f>
        <v>287</v>
      </c>
      <c r="C1301" s="41" t="str">
        <f t="array" ref="C1301">+INDEX(Partidas!$A:$J,MATCH('Resultados dashboard'!$B1301,Partidas!$C:$C,0),3+COUNTIF($B$2:B1301,'Resultados dashboard'!$B1301))</f>
        <v>Max</v>
      </c>
      <c r="D1301" s="54">
        <v>6</v>
      </c>
      <c r="E1301" s="54">
        <v>1</v>
      </c>
      <c r="F1301" s="53"/>
      <c r="G1301" s="53"/>
      <c r="H1301" s="38">
        <f t="shared" si="12"/>
        <v>7</v>
      </c>
      <c r="I1301" s="38">
        <f t="shared" si="13"/>
        <v>3</v>
      </c>
      <c r="J1301" s="55"/>
    </row>
    <row r="1302" spans="1:10" ht="15" customHeight="1" x14ac:dyDescent="0.2">
      <c r="A1302" s="50">
        <f t="array" ref="A1302">+INDEX(Partidas!$A:$J,MATCH('Resultados dashboard'!$B1302,Partidas!$C:$C,0),2)</f>
        <v>45826</v>
      </c>
      <c r="B1302" s="56">
        <f>+IF(COUNTIF($B$2:B1301,B1301)=VLOOKUP(B1301,Partidas!$C:$J,8,0),B1301+1,B1301)</f>
        <v>287</v>
      </c>
      <c r="C1302" s="41" t="str">
        <f t="array" ref="C1302">+INDEX(Partidas!$A:$J,MATCH('Resultados dashboard'!$B1302,Partidas!$C:$C,0),3+COUNTIF($B$2:B1302,'Resultados dashboard'!$B1302))</f>
        <v>Hugo</v>
      </c>
      <c r="D1302" s="54">
        <v>6</v>
      </c>
      <c r="E1302" s="53"/>
      <c r="F1302" s="53"/>
      <c r="G1302" s="53"/>
      <c r="H1302" s="38">
        <f t="shared" si="12"/>
        <v>6</v>
      </c>
      <c r="I1302" s="38">
        <f t="shared" si="13"/>
        <v>6</v>
      </c>
      <c r="J1302" s="55"/>
    </row>
    <row r="1303" spans="1:10" ht="15" customHeight="1" x14ac:dyDescent="0.2">
      <c r="A1303" s="50">
        <f t="array" ref="A1303">+INDEX(Partidas!$A:$J,MATCH('Resultados dashboard'!$B1303,Partidas!$C:$C,0),2)</f>
        <v>45826</v>
      </c>
      <c r="B1303" s="56">
        <f>+IF(COUNTIF($B$2:B1302,B1302)=VLOOKUP(B1302,Partidas!$C:$J,8,0),B1302+1,B1302)</f>
        <v>287</v>
      </c>
      <c r="C1303" s="41" t="str">
        <f t="array" ref="C1303">+INDEX(Partidas!$A:$J,MATCH('Resultados dashboard'!$B1303,Partidas!$C:$C,0),3+COUNTIF($B$2:B1303,'Resultados dashboard'!$B1303))</f>
        <v>Moch</v>
      </c>
      <c r="D1303" s="54">
        <v>7</v>
      </c>
      <c r="E1303" s="53"/>
      <c r="F1303" s="53"/>
      <c r="G1303" s="53"/>
      <c r="H1303" s="38">
        <f t="shared" si="12"/>
        <v>7</v>
      </c>
      <c r="I1303" s="38">
        <f t="shared" si="13"/>
        <v>3</v>
      </c>
      <c r="J1303" s="55"/>
    </row>
    <row r="1304" spans="1:10" ht="15" customHeight="1" x14ac:dyDescent="0.2">
      <c r="A1304" s="50">
        <f t="array" ref="A1304">+INDEX(Partidas!$A:$J,MATCH('Resultados dashboard'!$B1304,Partidas!$C:$C,0),2)</f>
        <v>45826</v>
      </c>
      <c r="B1304" s="56">
        <f>+IF(COUNTIF($B$2:B1303,B1303)=VLOOKUP(B1303,Partidas!$C:$J,8,0),B1303+1,B1303)</f>
        <v>287</v>
      </c>
      <c r="C1304" s="41" t="str">
        <f t="array" ref="C1304">+INDEX(Partidas!$A:$J,MATCH('Resultados dashboard'!$B1304,Partidas!$C:$C,0),3+COUNTIF($B$2:B1304,'Resultados dashboard'!$B1304))</f>
        <v>Gasta</v>
      </c>
      <c r="D1304" s="54">
        <v>7</v>
      </c>
      <c r="E1304" s="54">
        <v>2</v>
      </c>
      <c r="F1304" s="53"/>
      <c r="G1304" s="53"/>
      <c r="H1304" s="38">
        <f t="shared" si="12"/>
        <v>9</v>
      </c>
      <c r="I1304" s="38">
        <f t="shared" si="13"/>
        <v>2</v>
      </c>
      <c r="J1304" s="55"/>
    </row>
    <row r="1305" spans="1:10" ht="15" customHeight="1" x14ac:dyDescent="0.2">
      <c r="A1305" s="50">
        <f t="array" ref="A1305">+INDEX(Partidas!$A:$J,MATCH('Resultados dashboard'!$B1305,Partidas!$C:$C,0),2)</f>
        <v>45826</v>
      </c>
      <c r="B1305" s="56">
        <f>+IF(COUNTIF($B$2:B1304,B1304)=VLOOKUP(B1304,Partidas!$C:$J,8,0),B1304+1,B1304)</f>
        <v>288</v>
      </c>
      <c r="C1305" s="41" t="str">
        <f t="array" ref="C1305">+INDEX(Partidas!$A:$J,MATCH('Resultados dashboard'!$B1305,Partidas!$C:$C,0),3+COUNTIF($B$2:B1305,'Resultados dashboard'!$B1305))</f>
        <v>Gallo</v>
      </c>
      <c r="D1305" s="54">
        <v>4</v>
      </c>
      <c r="E1305" s="54">
        <v>2</v>
      </c>
      <c r="F1305" s="53"/>
      <c r="G1305" s="53"/>
      <c r="H1305" s="38">
        <f t="shared" si="12"/>
        <v>6</v>
      </c>
      <c r="I1305" s="38">
        <f t="shared" si="13"/>
        <v>4</v>
      </c>
      <c r="J1305" s="55"/>
    </row>
    <row r="1306" spans="1:10" ht="15" customHeight="1" x14ac:dyDescent="0.2">
      <c r="A1306" s="50">
        <f t="array" ref="A1306">+INDEX(Partidas!$A:$J,MATCH('Resultados dashboard'!$B1306,Partidas!$C:$C,0),2)</f>
        <v>45826</v>
      </c>
      <c r="B1306" s="56">
        <f>+IF(COUNTIF($B$2:B1305,B1305)=VLOOKUP(B1305,Partidas!$C:$J,8,0),B1305+1,B1305)</f>
        <v>288</v>
      </c>
      <c r="C1306" s="41" t="str">
        <f t="array" ref="C1306">+INDEX(Partidas!$A:$J,MATCH('Resultados dashboard'!$B1306,Partidas!$C:$C,0),3+COUNTIF($B$2:B1306,'Resultados dashboard'!$B1306))</f>
        <v>Ivo</v>
      </c>
      <c r="D1306" s="54">
        <v>5</v>
      </c>
      <c r="E1306" s="53"/>
      <c r="F1306" s="53"/>
      <c r="G1306" s="53"/>
      <c r="H1306" s="38">
        <f t="shared" si="12"/>
        <v>5</v>
      </c>
      <c r="I1306" s="38">
        <f t="shared" si="13"/>
        <v>6</v>
      </c>
      <c r="J1306" s="55"/>
    </row>
    <row r="1307" spans="1:10" ht="15" customHeight="1" x14ac:dyDescent="0.2">
      <c r="A1307" s="50">
        <f t="array" ref="A1307">+INDEX(Partidas!$A:$J,MATCH('Resultados dashboard'!$B1307,Partidas!$C:$C,0),2)</f>
        <v>45826</v>
      </c>
      <c r="B1307" s="56">
        <f>+IF(COUNTIF($B$2:B1306,B1306)=VLOOKUP(B1306,Partidas!$C:$J,8,0),B1306+1,B1306)</f>
        <v>288</v>
      </c>
      <c r="C1307" s="41" t="str">
        <f t="array" ref="C1307">+INDEX(Partidas!$A:$J,MATCH('Resultados dashboard'!$B1307,Partidas!$C:$C,0),3+COUNTIF($B$2:B1307,'Resultados dashboard'!$B1307))</f>
        <v>Max</v>
      </c>
      <c r="D1307" s="54">
        <v>7</v>
      </c>
      <c r="E1307" s="53"/>
      <c r="F1307" s="53"/>
      <c r="G1307" s="54">
        <v>1</v>
      </c>
      <c r="H1307" s="38">
        <f t="shared" si="12"/>
        <v>9</v>
      </c>
      <c r="I1307" s="38">
        <f t="shared" si="13"/>
        <v>2</v>
      </c>
      <c r="J1307" s="55"/>
    </row>
    <row r="1308" spans="1:10" ht="15" customHeight="1" x14ac:dyDescent="0.2">
      <c r="A1308" s="50">
        <f t="array" ref="A1308">+INDEX(Partidas!$A:$J,MATCH('Resultados dashboard'!$B1308,Partidas!$C:$C,0),2)</f>
        <v>45826</v>
      </c>
      <c r="B1308" s="56">
        <f>+IF(COUNTIF($B$2:B1307,B1307)=VLOOKUP(B1307,Partidas!$C:$J,8,0),B1307+1,B1307)</f>
        <v>288</v>
      </c>
      <c r="C1308" s="41" t="str">
        <f t="array" ref="C1308">+INDEX(Partidas!$A:$J,MATCH('Resultados dashboard'!$B1308,Partidas!$C:$C,0),3+COUNTIF($B$2:B1308,'Resultados dashboard'!$B1308))</f>
        <v>Hugo</v>
      </c>
      <c r="D1308" s="54">
        <v>8</v>
      </c>
      <c r="E1308" s="54">
        <v>1</v>
      </c>
      <c r="F1308" s="54">
        <v>1</v>
      </c>
      <c r="G1308" s="53"/>
      <c r="H1308" s="38">
        <f t="shared" si="12"/>
        <v>11</v>
      </c>
      <c r="I1308" s="38">
        <f t="shared" si="13"/>
        <v>1</v>
      </c>
      <c r="J1308" s="55"/>
    </row>
    <row r="1309" spans="1:10" ht="15" customHeight="1" x14ac:dyDescent="0.2">
      <c r="A1309" s="50">
        <f t="array" ref="A1309">+INDEX(Partidas!$A:$J,MATCH('Resultados dashboard'!$B1309,Partidas!$C:$C,0),2)</f>
        <v>45826</v>
      </c>
      <c r="B1309" s="56">
        <f>+IF(COUNTIF($B$2:B1308,B1308)=VLOOKUP(B1308,Partidas!$C:$J,8,0),B1308+1,B1308)</f>
        <v>288</v>
      </c>
      <c r="C1309" s="41" t="str">
        <f t="array" ref="C1309">+INDEX(Partidas!$A:$J,MATCH('Resultados dashboard'!$B1309,Partidas!$C:$C,0),3+COUNTIF($B$2:B1309,'Resultados dashboard'!$B1309))</f>
        <v>Moch</v>
      </c>
      <c r="D1309" s="54">
        <v>7</v>
      </c>
      <c r="E1309" s="54">
        <v>1</v>
      </c>
      <c r="F1309" s="53"/>
      <c r="G1309" s="53"/>
      <c r="H1309" s="38">
        <f t="shared" si="12"/>
        <v>8</v>
      </c>
      <c r="I1309" s="38">
        <f t="shared" si="13"/>
        <v>3</v>
      </c>
      <c r="J1309" s="55"/>
    </row>
    <row r="1310" spans="1:10" ht="15" customHeight="1" x14ac:dyDescent="0.2">
      <c r="A1310" s="50">
        <f t="array" ref="A1310">+INDEX(Partidas!$A:$J,MATCH('Resultados dashboard'!$B1310,Partidas!$C:$C,0),2)</f>
        <v>45826</v>
      </c>
      <c r="B1310" s="56">
        <f>+IF(COUNTIF($B$2:B1309,B1309)=VLOOKUP(B1309,Partidas!$C:$J,8,0),B1309+1,B1309)</f>
        <v>288</v>
      </c>
      <c r="C1310" s="41" t="str">
        <f t="array" ref="C1310">+INDEX(Partidas!$A:$J,MATCH('Resultados dashboard'!$B1310,Partidas!$C:$C,0),3+COUNTIF($B$2:B1310,'Resultados dashboard'!$B1310))</f>
        <v>Gasta</v>
      </c>
      <c r="D1310" s="54">
        <v>6</v>
      </c>
      <c r="E1310" s="53"/>
      <c r="F1310" s="53"/>
      <c r="G1310" s="53"/>
      <c r="H1310" s="38">
        <f t="shared" si="12"/>
        <v>6</v>
      </c>
      <c r="I1310" s="38">
        <f t="shared" si="13"/>
        <v>4</v>
      </c>
      <c r="J1310" s="55"/>
    </row>
    <row r="1311" spans="1:10" ht="15" customHeight="1" x14ac:dyDescent="0.2">
      <c r="A1311" s="50">
        <f t="array" ref="A1311">+INDEX(Partidas!$A:$J,MATCH('Resultados dashboard'!$B1311,Partidas!$C:$C,0),2)</f>
        <v>45837</v>
      </c>
      <c r="B1311" s="56">
        <f>+IF(COUNTIF($B$2:B1310,B1310)=VLOOKUP(B1310,Partidas!$C:$J,8,0),B1310+1,B1310)</f>
        <v>289</v>
      </c>
      <c r="C1311" s="41" t="str">
        <f t="array" ref="C1311">+INDEX(Partidas!$A:$J,MATCH('Resultados dashboard'!$B1311,Partidas!$C:$C,0),3+COUNTIF($B$2:B1311,'Resultados dashboard'!$B1311))</f>
        <v>Ivo</v>
      </c>
      <c r="D1311" s="54">
        <v>5</v>
      </c>
      <c r="E1311" s="54">
        <v>2</v>
      </c>
      <c r="F1311" s="53"/>
      <c r="G1311" s="53"/>
      <c r="H1311" s="38">
        <f t="shared" si="12"/>
        <v>7</v>
      </c>
      <c r="I1311" s="38">
        <f t="shared" si="13"/>
        <v>3</v>
      </c>
      <c r="J1311" s="55"/>
    </row>
    <row r="1312" spans="1:10" ht="15" customHeight="1" x14ac:dyDescent="0.2">
      <c r="A1312" s="50">
        <f t="array" ref="A1312">+INDEX(Partidas!$A:$J,MATCH('Resultados dashboard'!$B1312,Partidas!$C:$C,0),2)</f>
        <v>45837</v>
      </c>
      <c r="B1312" s="56">
        <f>+IF(COUNTIF($B$2:B1311,B1311)=VLOOKUP(B1311,Partidas!$C:$J,8,0),B1311+1,B1311)</f>
        <v>289</v>
      </c>
      <c r="C1312" s="41" t="str">
        <f t="array" ref="C1312">+INDEX(Partidas!$A:$J,MATCH('Resultados dashboard'!$B1312,Partidas!$C:$C,0),3+COUNTIF($B$2:B1312,'Resultados dashboard'!$B1312))</f>
        <v>Max</v>
      </c>
      <c r="D1312" s="54">
        <v>8</v>
      </c>
      <c r="E1312" s="53"/>
      <c r="F1312" s="53"/>
      <c r="G1312" s="53"/>
      <c r="H1312" s="38">
        <f t="shared" si="12"/>
        <v>8</v>
      </c>
      <c r="I1312" s="38">
        <f t="shared" si="13"/>
        <v>2</v>
      </c>
      <c r="J1312" s="55"/>
    </row>
    <row r="1313" spans="1:10" ht="15" customHeight="1" x14ac:dyDescent="0.2">
      <c r="A1313" s="50">
        <f t="array" ref="A1313">+INDEX(Partidas!$A:$J,MATCH('Resultados dashboard'!$B1313,Partidas!$C:$C,0),2)</f>
        <v>45837</v>
      </c>
      <c r="B1313" s="56">
        <f>+IF(COUNTIF($B$2:B1312,B1312)=VLOOKUP(B1312,Partidas!$C:$J,8,0),B1312+1,B1312)</f>
        <v>289</v>
      </c>
      <c r="C1313" s="41" t="str">
        <f t="array" ref="C1313">+INDEX(Partidas!$A:$J,MATCH('Resultados dashboard'!$B1313,Partidas!$C:$C,0),3+COUNTIF($B$2:B1313,'Resultados dashboard'!$B1313))</f>
        <v>Hugo</v>
      </c>
      <c r="D1313" s="54">
        <v>6</v>
      </c>
      <c r="E1313" s="53"/>
      <c r="F1313" s="53"/>
      <c r="G1313" s="53"/>
      <c r="H1313" s="38">
        <f t="shared" si="12"/>
        <v>6</v>
      </c>
      <c r="I1313" s="38">
        <f t="shared" si="13"/>
        <v>4</v>
      </c>
      <c r="J1313" s="55"/>
    </row>
    <row r="1314" spans="1:10" ht="15" customHeight="1" x14ac:dyDescent="0.2">
      <c r="A1314" s="50">
        <f t="array" ref="A1314">+INDEX(Partidas!$A:$J,MATCH('Resultados dashboard'!$B1314,Partidas!$C:$C,0),2)</f>
        <v>45837</v>
      </c>
      <c r="B1314" s="56">
        <f>+IF(COUNTIF($B$2:B1313,B1313)=VLOOKUP(B1313,Partidas!$C:$J,8,0),B1313+1,B1313)</f>
        <v>289</v>
      </c>
      <c r="C1314" s="41" t="str">
        <f t="array" ref="C1314">+INDEX(Partidas!$A:$J,MATCH('Resultados dashboard'!$B1314,Partidas!$C:$C,0),3+COUNTIF($B$2:B1314,'Resultados dashboard'!$B1314))</f>
        <v>Moch</v>
      </c>
      <c r="D1314" s="54">
        <v>5</v>
      </c>
      <c r="E1314" s="54">
        <v>1</v>
      </c>
      <c r="F1314" s="54">
        <v>1</v>
      </c>
      <c r="G1314" s="54">
        <v>1</v>
      </c>
      <c r="H1314" s="38">
        <f t="shared" si="12"/>
        <v>10</v>
      </c>
      <c r="I1314" s="38">
        <f t="shared" si="13"/>
        <v>1</v>
      </c>
      <c r="J1314" s="55"/>
    </row>
    <row r="1315" spans="1:10" ht="15" customHeight="1" x14ac:dyDescent="0.2">
      <c r="A1315" s="50">
        <f t="array" ref="A1315">+INDEX(Partidas!$A:$J,MATCH('Resultados dashboard'!$B1315,Partidas!$C:$C,0),2)</f>
        <v>45837</v>
      </c>
      <c r="B1315" s="56">
        <f>+IF(COUNTIF($B$2:B1314,B1314)=VLOOKUP(B1314,Partidas!$C:$J,8,0),B1314+1,B1314)</f>
        <v>290</v>
      </c>
      <c r="C1315" s="41" t="str">
        <f t="array" ref="C1315">+INDEX(Partidas!$A:$J,MATCH('Resultados dashboard'!$B1315,Partidas!$C:$C,0),3+COUNTIF($B$2:B1315,'Resultados dashboard'!$B1315))</f>
        <v>Ivo</v>
      </c>
      <c r="D1315" s="54">
        <v>7</v>
      </c>
      <c r="E1315" s="54">
        <v>1</v>
      </c>
      <c r="F1315" s="53"/>
      <c r="G1315" s="54">
        <v>1</v>
      </c>
      <c r="H1315" s="38">
        <f t="shared" si="12"/>
        <v>10</v>
      </c>
      <c r="I1315" s="38">
        <f t="shared" si="13"/>
        <v>1</v>
      </c>
      <c r="J1315" s="55"/>
    </row>
    <row r="1316" spans="1:10" ht="15" customHeight="1" x14ac:dyDescent="0.2">
      <c r="A1316" s="50">
        <f t="array" ref="A1316">+INDEX(Partidas!$A:$J,MATCH('Resultados dashboard'!$B1316,Partidas!$C:$C,0),2)</f>
        <v>45837</v>
      </c>
      <c r="B1316" s="56">
        <f>+IF(COUNTIF($B$2:B1315,B1315)=VLOOKUP(B1315,Partidas!$C:$J,8,0),B1315+1,B1315)</f>
        <v>290</v>
      </c>
      <c r="C1316" s="41" t="str">
        <f t="array" ref="C1316">+INDEX(Partidas!$A:$J,MATCH('Resultados dashboard'!$B1316,Partidas!$C:$C,0),3+COUNTIF($B$2:B1316,'Resultados dashboard'!$B1316))</f>
        <v>Max</v>
      </c>
      <c r="D1316" s="54">
        <v>2</v>
      </c>
      <c r="E1316" s="53"/>
      <c r="F1316" s="54">
        <v>1</v>
      </c>
      <c r="G1316" s="53"/>
      <c r="H1316" s="38">
        <f t="shared" si="12"/>
        <v>4</v>
      </c>
      <c r="I1316" s="38">
        <f t="shared" si="13"/>
        <v>3</v>
      </c>
      <c r="J1316" s="55"/>
    </row>
    <row r="1317" spans="1:10" ht="15" customHeight="1" x14ac:dyDescent="0.2">
      <c r="A1317" s="50">
        <f t="array" ref="A1317">+INDEX(Partidas!$A:$J,MATCH('Resultados dashboard'!$B1317,Partidas!$C:$C,0),2)</f>
        <v>45837</v>
      </c>
      <c r="B1317" s="56">
        <f>+IF(COUNTIF($B$2:B1316,B1316)=VLOOKUP(B1316,Partidas!$C:$J,8,0),B1316+1,B1316)</f>
        <v>290</v>
      </c>
      <c r="C1317" s="41" t="str">
        <f t="array" ref="C1317">+INDEX(Partidas!$A:$J,MATCH('Resultados dashboard'!$B1317,Partidas!$C:$C,0),3+COUNTIF($B$2:B1317,'Resultados dashboard'!$B1317))</f>
        <v>Hugo</v>
      </c>
      <c r="D1317" s="54">
        <v>5</v>
      </c>
      <c r="E1317" s="54">
        <v>1</v>
      </c>
      <c r="F1317" s="53"/>
      <c r="G1317" s="53"/>
      <c r="H1317" s="38">
        <f t="shared" si="12"/>
        <v>6</v>
      </c>
      <c r="I1317" s="38">
        <f t="shared" si="13"/>
        <v>2</v>
      </c>
      <c r="J1317" s="55"/>
    </row>
    <row r="1318" spans="1:10" ht="15" customHeight="1" x14ac:dyDescent="0.2">
      <c r="A1318" s="50">
        <f t="array" ref="A1318">+INDEX(Partidas!$A:$J,MATCH('Resultados dashboard'!$B1318,Partidas!$C:$C,0),2)</f>
        <v>45837</v>
      </c>
      <c r="B1318" s="56">
        <f>+IF(COUNTIF($B$2:B1317,B1317)=VLOOKUP(B1317,Partidas!$C:$J,8,0),B1317+1,B1317)</f>
        <v>290</v>
      </c>
      <c r="C1318" s="41" t="str">
        <f t="array" ref="C1318">+INDEX(Partidas!$A:$J,MATCH('Resultados dashboard'!$B1318,Partidas!$C:$C,0),3+COUNTIF($B$2:B1318,'Resultados dashboard'!$B1318))</f>
        <v>Moch</v>
      </c>
      <c r="D1318" s="54">
        <v>4</v>
      </c>
      <c r="E1318" s="53"/>
      <c r="F1318" s="53"/>
      <c r="G1318" s="53"/>
      <c r="H1318" s="38">
        <f t="shared" si="12"/>
        <v>4</v>
      </c>
      <c r="I1318" s="38">
        <f t="shared" si="13"/>
        <v>3</v>
      </c>
      <c r="J1318" s="55"/>
    </row>
    <row r="1319" spans="1:10" ht="15" customHeight="1" x14ac:dyDescent="0.2">
      <c r="A1319" s="50">
        <f t="array" ref="A1319">+INDEX(Partidas!$A:$J,MATCH('Resultados dashboard'!$B1319,Partidas!$C:$C,0),2)</f>
        <v>45837</v>
      </c>
      <c r="B1319" s="56">
        <f>+IF(COUNTIF($B$2:B1318,B1318)=VLOOKUP(B1318,Partidas!$C:$J,8,0),B1318+1,B1318)</f>
        <v>291</v>
      </c>
      <c r="C1319" s="41" t="str">
        <f t="array" ref="C1319">+INDEX(Partidas!$A:$J,MATCH('Resultados dashboard'!$B1319,Partidas!$C:$C,0),3+COUNTIF($B$2:B1319,'Resultados dashboard'!$B1319))</f>
        <v>Ivo</v>
      </c>
      <c r="D1319" s="54">
        <v>6</v>
      </c>
      <c r="E1319" s="54">
        <v>1</v>
      </c>
      <c r="F1319" s="53"/>
      <c r="G1319" s="54">
        <v>1</v>
      </c>
      <c r="H1319" s="38">
        <f t="shared" si="12"/>
        <v>9</v>
      </c>
      <c r="I1319" s="38">
        <f t="shared" si="13"/>
        <v>2</v>
      </c>
      <c r="J1319" s="55"/>
    </row>
    <row r="1320" spans="1:10" ht="15" customHeight="1" x14ac:dyDescent="0.2">
      <c r="A1320" s="50">
        <f t="array" ref="A1320">+INDEX(Partidas!$A:$J,MATCH('Resultados dashboard'!$B1320,Partidas!$C:$C,0),2)</f>
        <v>45837</v>
      </c>
      <c r="B1320" s="56">
        <f>+IF(COUNTIF($B$2:B1319,B1319)=VLOOKUP(B1319,Partidas!$C:$J,8,0),B1319+1,B1319)</f>
        <v>291</v>
      </c>
      <c r="C1320" s="41" t="str">
        <f t="array" ref="C1320">+INDEX(Partidas!$A:$J,MATCH('Resultados dashboard'!$B1320,Partidas!$C:$C,0),3+COUNTIF($B$2:B1320,'Resultados dashboard'!$B1320))</f>
        <v>Max</v>
      </c>
      <c r="D1320" s="54">
        <v>7</v>
      </c>
      <c r="E1320" s="54">
        <v>1</v>
      </c>
      <c r="F1320" s="54">
        <v>1</v>
      </c>
      <c r="G1320" s="53"/>
      <c r="H1320" s="38">
        <f t="shared" si="12"/>
        <v>10</v>
      </c>
      <c r="I1320" s="38">
        <f t="shared" si="13"/>
        <v>1</v>
      </c>
      <c r="J1320" s="55"/>
    </row>
    <row r="1321" spans="1:10" ht="15" customHeight="1" x14ac:dyDescent="0.2">
      <c r="A1321" s="50">
        <f t="array" ref="A1321">+INDEX(Partidas!$A:$J,MATCH('Resultados dashboard'!$B1321,Partidas!$C:$C,0),2)</f>
        <v>45837</v>
      </c>
      <c r="B1321" s="56">
        <f>+IF(COUNTIF($B$2:B1320,B1320)=VLOOKUP(B1320,Partidas!$C:$J,8,0),B1320+1,B1320)</f>
        <v>291</v>
      </c>
      <c r="C1321" s="41" t="str">
        <f t="array" ref="C1321">+INDEX(Partidas!$A:$J,MATCH('Resultados dashboard'!$B1321,Partidas!$C:$C,0),3+COUNTIF($B$2:B1321,'Resultados dashboard'!$B1321))</f>
        <v>Hugo</v>
      </c>
      <c r="D1321" s="54">
        <v>7</v>
      </c>
      <c r="E1321" s="54">
        <v>1</v>
      </c>
      <c r="F1321" s="53"/>
      <c r="G1321" s="53"/>
      <c r="H1321" s="38">
        <f t="shared" si="12"/>
        <v>8</v>
      </c>
      <c r="I1321" s="38">
        <f t="shared" si="13"/>
        <v>3</v>
      </c>
      <c r="J1321" s="55"/>
    </row>
    <row r="1322" spans="1:10" ht="15" customHeight="1" x14ac:dyDescent="0.2">
      <c r="A1322" s="50">
        <f t="array" ref="A1322">+INDEX(Partidas!$A:$J,MATCH('Resultados dashboard'!$B1322,Partidas!$C:$C,0),2)</f>
        <v>45837</v>
      </c>
      <c r="B1322" s="56">
        <f>+IF(COUNTIF($B$2:B1321,B1321)=VLOOKUP(B1321,Partidas!$C:$J,8,0),B1321+1,B1321)</f>
        <v>291</v>
      </c>
      <c r="C1322" s="41" t="str">
        <f t="array" ref="C1322">+INDEX(Partidas!$A:$J,MATCH('Resultados dashboard'!$B1322,Partidas!$C:$C,0),3+COUNTIF($B$2:B1322,'Resultados dashboard'!$B1322))</f>
        <v>Moch</v>
      </c>
      <c r="D1322" s="54">
        <v>4</v>
      </c>
      <c r="E1322" s="53"/>
      <c r="F1322" s="53"/>
      <c r="G1322" s="53"/>
      <c r="H1322" s="38">
        <f t="shared" si="12"/>
        <v>4</v>
      </c>
      <c r="I1322" s="38">
        <f t="shared" si="13"/>
        <v>4</v>
      </c>
      <c r="J1322" s="55"/>
    </row>
    <row r="1323" spans="1:10" ht="15" customHeight="1" x14ac:dyDescent="0.2">
      <c r="A1323" s="50">
        <f t="array" ref="A1323">+INDEX(Partidas!$A:$J,MATCH('Resultados dashboard'!$B1323,Partidas!$C:$C,0),2)</f>
        <v>45837</v>
      </c>
      <c r="B1323" s="56">
        <f>+IF(COUNTIF($B$2:B1322,B1322)=VLOOKUP(B1322,Partidas!$C:$J,8,0),B1322+1,B1322)</f>
        <v>292</v>
      </c>
      <c r="C1323" s="41" t="str">
        <f t="array" ref="C1323">+INDEX(Partidas!$A:$J,MATCH('Resultados dashboard'!$B1323,Partidas!$C:$C,0),3+COUNTIF($B$2:B1323,'Resultados dashboard'!$B1323))</f>
        <v>Ivo</v>
      </c>
      <c r="D1323" s="54">
        <v>3</v>
      </c>
      <c r="E1323" s="53"/>
      <c r="F1323" s="53"/>
      <c r="G1323" s="53"/>
      <c r="H1323" s="38">
        <f t="shared" si="12"/>
        <v>3</v>
      </c>
      <c r="I1323" s="38">
        <f t="shared" si="13"/>
        <v>4</v>
      </c>
      <c r="J1323" s="55"/>
    </row>
    <row r="1324" spans="1:10" ht="15" customHeight="1" x14ac:dyDescent="0.2">
      <c r="A1324" s="50">
        <f t="array" ref="A1324">+INDEX(Partidas!$A:$J,MATCH('Resultados dashboard'!$B1324,Partidas!$C:$C,0),2)</f>
        <v>45837</v>
      </c>
      <c r="B1324" s="56">
        <f>+IF(COUNTIF($B$2:B1323,B1323)=VLOOKUP(B1323,Partidas!$C:$J,8,0),B1323+1,B1323)</f>
        <v>292</v>
      </c>
      <c r="C1324" s="41" t="str">
        <f t="array" ref="C1324">+INDEX(Partidas!$A:$J,MATCH('Resultados dashboard'!$B1324,Partidas!$C:$C,0),3+COUNTIF($B$2:B1324,'Resultados dashboard'!$B1324))</f>
        <v>Max</v>
      </c>
      <c r="D1324" s="54">
        <v>8</v>
      </c>
      <c r="E1324" s="53"/>
      <c r="F1324" s="53"/>
      <c r="G1324" s="54">
        <v>1</v>
      </c>
      <c r="H1324" s="38">
        <f t="shared" si="12"/>
        <v>10</v>
      </c>
      <c r="I1324" s="38">
        <f t="shared" si="13"/>
        <v>1</v>
      </c>
      <c r="J1324" s="55"/>
    </row>
    <row r="1325" spans="1:10" ht="15" customHeight="1" x14ac:dyDescent="0.2">
      <c r="A1325" s="50">
        <f t="array" ref="A1325">+INDEX(Partidas!$A:$J,MATCH('Resultados dashboard'!$B1325,Partidas!$C:$C,0),2)</f>
        <v>45837</v>
      </c>
      <c r="B1325" s="56">
        <f>+IF(COUNTIF($B$2:B1324,B1324)=VLOOKUP(B1324,Partidas!$C:$J,8,0),B1324+1,B1324)</f>
        <v>292</v>
      </c>
      <c r="C1325" s="41" t="str">
        <f t="array" ref="C1325">+INDEX(Partidas!$A:$J,MATCH('Resultados dashboard'!$B1325,Partidas!$C:$C,0),3+COUNTIF($B$2:B1325,'Resultados dashboard'!$B1325))</f>
        <v>Hugo</v>
      </c>
      <c r="D1325" s="54">
        <v>5</v>
      </c>
      <c r="E1325" s="54">
        <v>1</v>
      </c>
      <c r="F1325" s="54">
        <v>1</v>
      </c>
      <c r="G1325" s="53"/>
      <c r="H1325" s="38">
        <f t="shared" si="12"/>
        <v>8</v>
      </c>
      <c r="I1325" s="38">
        <f t="shared" si="13"/>
        <v>2</v>
      </c>
      <c r="J1325" s="55"/>
    </row>
    <row r="1326" spans="1:10" ht="15" customHeight="1" x14ac:dyDescent="0.2">
      <c r="A1326" s="50">
        <f t="array" ref="A1326">+INDEX(Partidas!$A:$J,MATCH('Resultados dashboard'!$B1326,Partidas!$C:$C,0),2)</f>
        <v>45837</v>
      </c>
      <c r="B1326" s="56">
        <f>+IF(COUNTIF($B$2:B1325,B1325)=VLOOKUP(B1325,Partidas!$C:$J,8,0),B1325+1,B1325)</f>
        <v>292</v>
      </c>
      <c r="C1326" s="41" t="str">
        <f t="array" ref="C1326">+INDEX(Partidas!$A:$J,MATCH('Resultados dashboard'!$B1326,Partidas!$C:$C,0),3+COUNTIF($B$2:B1326,'Resultados dashboard'!$B1326))</f>
        <v>Moch</v>
      </c>
      <c r="D1326" s="54">
        <v>6</v>
      </c>
      <c r="E1326" s="54">
        <v>1</v>
      </c>
      <c r="F1326" s="53"/>
      <c r="G1326" s="53"/>
      <c r="H1326" s="38">
        <f t="shared" si="12"/>
        <v>7</v>
      </c>
      <c r="I1326" s="38">
        <f t="shared" si="13"/>
        <v>3</v>
      </c>
      <c r="J1326" s="55"/>
    </row>
    <row r="1327" spans="1:10" ht="15" customHeight="1" x14ac:dyDescent="0.2">
      <c r="A1327" s="50">
        <f t="array" ref="A1327">+INDEX(Partidas!$A:$J,MATCH('Resultados dashboard'!$B1327,Partidas!$C:$C,0),2)</f>
        <v>45843</v>
      </c>
      <c r="B1327" s="56">
        <f>+IF(COUNTIF($B$2:B1326,B1326)=VLOOKUP(B1326,Partidas!$C:$J,8,0),B1326+1,B1326)</f>
        <v>293</v>
      </c>
      <c r="C1327" s="41" t="str">
        <f t="array" ref="C1327">+INDEX(Partidas!$A:$J,MATCH('Resultados dashboard'!$B1327,Partidas!$C:$C,0),3+COUNTIF($B$2:B1327,'Resultados dashboard'!$B1327))</f>
        <v>Ivo</v>
      </c>
      <c r="D1327" s="54">
        <v>8</v>
      </c>
      <c r="E1327" s="53"/>
      <c r="F1327" s="53"/>
      <c r="G1327" s="53"/>
      <c r="H1327" s="38">
        <f t="shared" si="12"/>
        <v>8</v>
      </c>
      <c r="I1327" s="38">
        <f t="shared" si="13"/>
        <v>2</v>
      </c>
      <c r="J1327" s="55"/>
    </row>
    <row r="1328" spans="1:10" ht="15" customHeight="1" x14ac:dyDescent="0.2">
      <c r="A1328" s="50">
        <f t="array" ref="A1328">+INDEX(Partidas!$A:$J,MATCH('Resultados dashboard'!$B1328,Partidas!$C:$C,0),2)</f>
        <v>45843</v>
      </c>
      <c r="B1328" s="56">
        <f>+IF(COUNTIF($B$2:B1327,B1327)=VLOOKUP(B1327,Partidas!$C:$J,8,0),B1327+1,B1327)</f>
        <v>293</v>
      </c>
      <c r="C1328" s="41" t="str">
        <f t="array" ref="C1328">+INDEX(Partidas!$A:$J,MATCH('Resultados dashboard'!$B1328,Partidas!$C:$C,0),3+COUNTIF($B$2:B1328,'Resultados dashboard'!$B1328))</f>
        <v>Gaspa</v>
      </c>
      <c r="D1328" s="54">
        <v>6</v>
      </c>
      <c r="E1328" s="54">
        <v>2</v>
      </c>
      <c r="F1328" s="54">
        <v>1</v>
      </c>
      <c r="G1328" s="53"/>
      <c r="H1328" s="38">
        <f t="shared" si="12"/>
        <v>10</v>
      </c>
      <c r="I1328" s="38">
        <f t="shared" si="13"/>
        <v>1</v>
      </c>
      <c r="J1328" s="55"/>
    </row>
    <row r="1329" spans="1:10" ht="15" customHeight="1" x14ac:dyDescent="0.2">
      <c r="A1329" s="50">
        <f t="array" ref="A1329">+INDEX(Partidas!$A:$J,MATCH('Resultados dashboard'!$B1329,Partidas!$C:$C,0),2)</f>
        <v>45843</v>
      </c>
      <c r="B1329" s="56">
        <f>+IF(COUNTIF($B$2:B1328,B1328)=VLOOKUP(B1328,Partidas!$C:$J,8,0),B1328+1,B1328)</f>
        <v>293</v>
      </c>
      <c r="C1329" s="41" t="str">
        <f t="array" ref="C1329">+INDEX(Partidas!$A:$J,MATCH('Resultados dashboard'!$B1329,Partidas!$C:$C,0),3+COUNTIF($B$2:B1329,'Resultados dashboard'!$B1329))</f>
        <v>Moch</v>
      </c>
      <c r="D1329" s="54">
        <v>4</v>
      </c>
      <c r="E1329" s="53"/>
      <c r="F1329" s="53"/>
      <c r="G1329" s="54">
        <v>1</v>
      </c>
      <c r="H1329" s="38">
        <f t="shared" si="12"/>
        <v>6</v>
      </c>
      <c r="I1329" s="38">
        <f t="shared" si="13"/>
        <v>4</v>
      </c>
      <c r="J1329" s="55"/>
    </row>
    <row r="1330" spans="1:10" ht="15" customHeight="1" x14ac:dyDescent="0.2">
      <c r="A1330" s="50">
        <f t="array" ref="A1330">+INDEX(Partidas!$A:$J,MATCH('Resultados dashboard'!$B1330,Partidas!$C:$C,0),2)</f>
        <v>45843</v>
      </c>
      <c r="B1330" s="56">
        <f>+IF(COUNTIF($B$2:B1329,B1329)=VLOOKUP(B1329,Partidas!$C:$J,8,0),B1329+1,B1329)</f>
        <v>293</v>
      </c>
      <c r="C1330" s="41" t="str">
        <f t="array" ref="C1330">+INDEX(Partidas!$A:$J,MATCH('Resultados dashboard'!$B1330,Partidas!$C:$C,0),3+COUNTIF($B$2:B1330,'Resultados dashboard'!$B1330))</f>
        <v>Chino</v>
      </c>
      <c r="D1330" s="54">
        <v>5</v>
      </c>
      <c r="E1330" s="53"/>
      <c r="F1330" s="53"/>
      <c r="G1330" s="53"/>
      <c r="H1330" s="38">
        <f t="shared" si="12"/>
        <v>5</v>
      </c>
      <c r="I1330" s="38">
        <f t="shared" si="13"/>
        <v>6</v>
      </c>
      <c r="J1330" s="55"/>
    </row>
    <row r="1331" spans="1:10" ht="15" customHeight="1" x14ac:dyDescent="0.2">
      <c r="A1331" s="50">
        <f t="array" ref="A1331">+INDEX(Partidas!$A:$J,MATCH('Resultados dashboard'!$B1331,Partidas!$C:$C,0),2)</f>
        <v>45843</v>
      </c>
      <c r="B1331" s="56">
        <f>+IF(COUNTIF($B$2:B1330,B1330)=VLOOKUP(B1330,Partidas!$C:$J,8,0),B1330+1,B1330)</f>
        <v>293</v>
      </c>
      <c r="C1331" s="41" t="str">
        <f t="array" ref="C1331">+INDEX(Partidas!$A:$J,MATCH('Resultados dashboard'!$B1331,Partidas!$C:$C,0),3+COUNTIF($B$2:B1331,'Resultados dashboard'!$B1331))</f>
        <v>Abegol</v>
      </c>
      <c r="D1331" s="54">
        <v>6</v>
      </c>
      <c r="E1331" s="53"/>
      <c r="F1331" s="53"/>
      <c r="G1331" s="53"/>
      <c r="H1331" s="38">
        <f t="shared" si="12"/>
        <v>6</v>
      </c>
      <c r="I1331" s="38">
        <f t="shared" si="13"/>
        <v>4</v>
      </c>
      <c r="J1331" s="55"/>
    </row>
    <row r="1332" spans="1:10" ht="15" customHeight="1" x14ac:dyDescent="0.2">
      <c r="A1332" s="50">
        <f t="array" ref="A1332">+INDEX(Partidas!$A:$J,MATCH('Resultados dashboard'!$B1332,Partidas!$C:$C,0),2)</f>
        <v>45843</v>
      </c>
      <c r="B1332" s="56">
        <f>+IF(COUNTIF($B$2:B1331,B1331)=VLOOKUP(B1331,Partidas!$C:$J,8,0),B1331+1,B1331)</f>
        <v>293</v>
      </c>
      <c r="C1332" s="41" t="str">
        <f t="array" ref="C1332">+INDEX(Partidas!$A:$J,MATCH('Resultados dashboard'!$B1332,Partidas!$C:$C,0),3+COUNTIF($B$2:B1332,'Resultados dashboard'!$B1332))</f>
        <v>Jota</v>
      </c>
      <c r="D1332" s="54">
        <v>8</v>
      </c>
      <c r="E1332" s="53"/>
      <c r="F1332" s="53"/>
      <c r="G1332" s="53"/>
      <c r="H1332" s="38">
        <f t="shared" si="12"/>
        <v>8</v>
      </c>
      <c r="I1332" s="38">
        <f t="shared" si="13"/>
        <v>2</v>
      </c>
      <c r="J1332" s="55"/>
    </row>
    <row r="1333" spans="1:10" ht="15" customHeight="1" x14ac:dyDescent="0.2">
      <c r="A1333" s="50">
        <f t="array" ref="A1333">+INDEX(Partidas!$A:$J,MATCH('Resultados dashboard'!$B1333,Partidas!$C:$C,0),2)</f>
        <v>45843</v>
      </c>
      <c r="B1333" s="56">
        <f>+IF(COUNTIF($B$2:B1332,B1332)=VLOOKUP(B1332,Partidas!$C:$J,8,0),B1332+1,B1332)</f>
        <v>294</v>
      </c>
      <c r="C1333" s="41" t="str">
        <f t="array" ref="C1333">+INDEX(Partidas!$A:$J,MATCH('Resultados dashboard'!$B1333,Partidas!$C:$C,0),3+COUNTIF($B$2:B1333,'Resultados dashboard'!$B1333))</f>
        <v>Ivo</v>
      </c>
      <c r="D1333" s="54">
        <v>8</v>
      </c>
      <c r="E1333" s="53"/>
      <c r="F1333" s="53"/>
      <c r="G1333" s="54">
        <v>1</v>
      </c>
      <c r="H1333" s="38">
        <f t="shared" si="12"/>
        <v>10</v>
      </c>
      <c r="I1333" s="38">
        <f t="shared" si="13"/>
        <v>1</v>
      </c>
      <c r="J1333" s="55"/>
    </row>
    <row r="1334" spans="1:10" ht="15" customHeight="1" x14ac:dyDescent="0.2">
      <c r="A1334" s="50">
        <f t="array" ref="A1334">+INDEX(Partidas!$A:$J,MATCH('Resultados dashboard'!$B1334,Partidas!$C:$C,0),2)</f>
        <v>45843</v>
      </c>
      <c r="B1334" s="56">
        <f>+IF(COUNTIF($B$2:B1333,B1333)=VLOOKUP(B1333,Partidas!$C:$J,8,0),B1333+1,B1333)</f>
        <v>294</v>
      </c>
      <c r="C1334" s="41" t="str">
        <f t="array" ref="C1334">+INDEX(Partidas!$A:$J,MATCH('Resultados dashboard'!$B1334,Partidas!$C:$C,0),3+COUNTIF($B$2:B1334,'Resultados dashboard'!$B1334))</f>
        <v>Gaspa</v>
      </c>
      <c r="D1334" s="54">
        <v>5</v>
      </c>
      <c r="E1334" s="54">
        <v>2</v>
      </c>
      <c r="F1334" s="53"/>
      <c r="G1334" s="53"/>
      <c r="H1334" s="38">
        <f t="shared" si="12"/>
        <v>7</v>
      </c>
      <c r="I1334" s="38">
        <f t="shared" si="13"/>
        <v>3</v>
      </c>
      <c r="J1334" s="55"/>
    </row>
    <row r="1335" spans="1:10" ht="15" customHeight="1" x14ac:dyDescent="0.2">
      <c r="A1335" s="50">
        <f t="array" ref="A1335">+INDEX(Partidas!$A:$J,MATCH('Resultados dashboard'!$B1335,Partidas!$C:$C,0),2)</f>
        <v>45843</v>
      </c>
      <c r="B1335" s="56">
        <f>+IF(COUNTIF($B$2:B1334,B1334)=VLOOKUP(B1334,Partidas!$C:$J,8,0),B1334+1,B1334)</f>
        <v>294</v>
      </c>
      <c r="C1335" s="41" t="str">
        <f t="array" ref="C1335">+INDEX(Partidas!$A:$J,MATCH('Resultados dashboard'!$B1335,Partidas!$C:$C,0),3+COUNTIF($B$2:B1335,'Resultados dashboard'!$B1335))</f>
        <v>Moch</v>
      </c>
      <c r="D1335" s="54">
        <v>6</v>
      </c>
      <c r="E1335" s="54">
        <v>1</v>
      </c>
      <c r="F1335" s="53"/>
      <c r="G1335" s="53"/>
      <c r="H1335" s="38">
        <f t="shared" si="12"/>
        <v>7</v>
      </c>
      <c r="I1335" s="38">
        <f t="shared" si="13"/>
        <v>3</v>
      </c>
      <c r="J1335" s="55"/>
    </row>
    <row r="1336" spans="1:10" ht="15" customHeight="1" x14ac:dyDescent="0.2">
      <c r="A1336" s="50">
        <f t="array" ref="A1336">+INDEX(Partidas!$A:$J,MATCH('Resultados dashboard'!$B1336,Partidas!$C:$C,0),2)</f>
        <v>45843</v>
      </c>
      <c r="B1336" s="56">
        <f>+IF(COUNTIF($B$2:B1335,B1335)=VLOOKUP(B1335,Partidas!$C:$J,8,0),B1335+1,B1335)</f>
        <v>294</v>
      </c>
      <c r="C1336" s="41" t="str">
        <f t="array" ref="C1336">+INDEX(Partidas!$A:$J,MATCH('Resultados dashboard'!$B1336,Partidas!$C:$C,0),3+COUNTIF($B$2:B1336,'Resultados dashboard'!$B1336))</f>
        <v>Chino</v>
      </c>
      <c r="D1336" s="54">
        <v>3</v>
      </c>
      <c r="E1336" s="53"/>
      <c r="F1336" s="53"/>
      <c r="G1336" s="53"/>
      <c r="H1336" s="38">
        <f t="shared" si="12"/>
        <v>3</v>
      </c>
      <c r="I1336" s="38">
        <f t="shared" si="13"/>
        <v>5</v>
      </c>
      <c r="J1336" s="55"/>
    </row>
    <row r="1337" spans="1:10" ht="15" customHeight="1" x14ac:dyDescent="0.2">
      <c r="A1337" s="50">
        <f t="array" ref="A1337">+INDEX(Partidas!$A:$J,MATCH('Resultados dashboard'!$B1337,Partidas!$C:$C,0),2)</f>
        <v>45843</v>
      </c>
      <c r="B1337" s="56">
        <f>+IF(COUNTIF($B$2:B1336,B1336)=VLOOKUP(B1336,Partidas!$C:$J,8,0),B1336+1,B1336)</f>
        <v>294</v>
      </c>
      <c r="C1337" s="41" t="str">
        <f t="array" ref="C1337">+INDEX(Partidas!$A:$J,MATCH('Resultados dashboard'!$B1337,Partidas!$C:$C,0),3+COUNTIF($B$2:B1337,'Resultados dashboard'!$B1337))</f>
        <v>Abegol</v>
      </c>
      <c r="D1337" s="54">
        <v>8</v>
      </c>
      <c r="E1337" s="53"/>
      <c r="F1337" s="53"/>
      <c r="G1337" s="53"/>
      <c r="H1337" s="38">
        <f t="shared" si="12"/>
        <v>8</v>
      </c>
      <c r="I1337" s="38">
        <f t="shared" si="13"/>
        <v>2</v>
      </c>
      <c r="J1337" s="55"/>
    </row>
    <row r="1338" spans="1:10" ht="15" customHeight="1" x14ac:dyDescent="0.2">
      <c r="A1338" s="50">
        <f t="array" ref="A1338">+INDEX(Partidas!$A:$J,MATCH('Resultados dashboard'!$B1338,Partidas!$C:$C,0),2)</f>
        <v>45845</v>
      </c>
      <c r="B1338" s="56">
        <f>+IF(COUNTIF($B$2:B1337,B1337)=VLOOKUP(B1337,Partidas!$C:$J,8,0),B1337+1,B1337)</f>
        <v>295</v>
      </c>
      <c r="C1338" s="41" t="str">
        <f t="array" ref="C1338">+INDEX(Partidas!$A:$J,MATCH('Resultados dashboard'!$B1338,Partidas!$C:$C,0),3+COUNTIF($B$2:B1338,'Resultados dashboard'!$B1338))</f>
        <v>Gallo</v>
      </c>
      <c r="D1338" s="54">
        <v>6</v>
      </c>
      <c r="E1338" s="53"/>
      <c r="F1338" s="54">
        <v>1</v>
      </c>
      <c r="G1338" s="54">
        <v>1</v>
      </c>
      <c r="H1338" s="38">
        <f t="shared" si="12"/>
        <v>10</v>
      </c>
      <c r="I1338" s="38">
        <f t="shared" si="13"/>
        <v>1</v>
      </c>
      <c r="J1338" s="55"/>
    </row>
    <row r="1339" spans="1:10" ht="15" customHeight="1" x14ac:dyDescent="0.2">
      <c r="A1339" s="50">
        <f t="array" ref="A1339">+INDEX(Partidas!$A:$J,MATCH('Resultados dashboard'!$B1339,Partidas!$C:$C,0),2)</f>
        <v>45845</v>
      </c>
      <c r="B1339" s="56">
        <f>+IF(COUNTIF($B$2:B1338,B1338)=VLOOKUP(B1338,Partidas!$C:$J,8,0),B1338+1,B1338)</f>
        <v>295</v>
      </c>
      <c r="C1339" s="41" t="str">
        <f t="array" ref="C1339">+INDEX(Partidas!$A:$J,MATCH('Resultados dashboard'!$B1339,Partidas!$C:$C,0),3+COUNTIF($B$2:B1339,'Resultados dashboard'!$B1339))</f>
        <v>Ivo</v>
      </c>
      <c r="D1339" s="54">
        <v>6</v>
      </c>
      <c r="E1339" s="53"/>
      <c r="F1339" s="53"/>
      <c r="G1339" s="53"/>
      <c r="H1339" s="38">
        <f t="shared" si="12"/>
        <v>6</v>
      </c>
      <c r="I1339" s="38">
        <f t="shared" si="13"/>
        <v>3</v>
      </c>
      <c r="J1339" s="55"/>
    </row>
    <row r="1340" spans="1:10" ht="15" customHeight="1" x14ac:dyDescent="0.2">
      <c r="A1340" s="50">
        <f t="array" ref="A1340">+INDEX(Partidas!$A:$J,MATCH('Resultados dashboard'!$B1340,Partidas!$C:$C,0),2)</f>
        <v>45845</v>
      </c>
      <c r="B1340" s="56">
        <f>+IF(COUNTIF($B$2:B1339,B1339)=VLOOKUP(B1339,Partidas!$C:$J,8,0),B1339+1,B1339)</f>
        <v>295</v>
      </c>
      <c r="C1340" s="41" t="str">
        <f t="array" ref="C1340">+INDEX(Partidas!$A:$J,MATCH('Resultados dashboard'!$B1340,Partidas!$C:$C,0),3+COUNTIF($B$2:B1340,'Resultados dashboard'!$B1340))</f>
        <v>Hugo</v>
      </c>
      <c r="D1340" s="54">
        <v>5</v>
      </c>
      <c r="E1340" s="54">
        <v>1</v>
      </c>
      <c r="F1340" s="53"/>
      <c r="G1340" s="53"/>
      <c r="H1340" s="38">
        <f t="shared" si="12"/>
        <v>6</v>
      </c>
      <c r="I1340" s="38">
        <f t="shared" si="13"/>
        <v>3</v>
      </c>
      <c r="J1340" s="55"/>
    </row>
    <row r="1341" spans="1:10" ht="15" customHeight="1" x14ac:dyDescent="0.2">
      <c r="A1341" s="50">
        <f t="array" ref="A1341">+INDEX(Partidas!$A:$J,MATCH('Resultados dashboard'!$B1341,Partidas!$C:$C,0),2)</f>
        <v>45845</v>
      </c>
      <c r="B1341" s="56">
        <f>+IF(COUNTIF($B$2:B1340,B1340)=VLOOKUP(B1340,Partidas!$C:$J,8,0),B1340+1,B1340)</f>
        <v>295</v>
      </c>
      <c r="C1341" s="41" t="str">
        <f t="array" ref="C1341">+INDEX(Partidas!$A:$J,MATCH('Resultados dashboard'!$B1341,Partidas!$C:$C,0),3+COUNTIF($B$2:B1341,'Resultados dashboard'!$B1341))</f>
        <v>Sofi</v>
      </c>
      <c r="D1341" s="54">
        <v>5</v>
      </c>
      <c r="E1341" s="54">
        <v>2</v>
      </c>
      <c r="F1341" s="53"/>
      <c r="G1341" s="53"/>
      <c r="H1341" s="38">
        <f t="shared" si="12"/>
        <v>7</v>
      </c>
      <c r="I1341" s="38">
        <f t="shared" si="13"/>
        <v>2</v>
      </c>
      <c r="J1341" s="55"/>
    </row>
    <row r="1342" spans="1:10" ht="15" customHeight="1" x14ac:dyDescent="0.2">
      <c r="A1342" s="50">
        <f t="array" ref="A1342">+INDEX(Partidas!$A:$J,MATCH('Resultados dashboard'!$B1342,Partidas!$C:$C,0),2)</f>
        <v>45845</v>
      </c>
      <c r="B1342" s="56">
        <f>+IF(COUNTIF($B$2:B1341,B1341)=VLOOKUP(B1341,Partidas!$C:$J,8,0),B1341+1,B1341)</f>
        <v>296</v>
      </c>
      <c r="C1342" s="41" t="str">
        <f t="array" ref="C1342">+INDEX(Partidas!$A:$J,MATCH('Resultados dashboard'!$B1342,Partidas!$C:$C,0),3+COUNTIF($B$2:B1342,'Resultados dashboard'!$B1342))</f>
        <v>Gallo</v>
      </c>
      <c r="D1342" s="54">
        <v>7</v>
      </c>
      <c r="E1342" s="53"/>
      <c r="F1342" s="53"/>
      <c r="G1342" s="53"/>
      <c r="H1342" s="38">
        <f t="shared" si="12"/>
        <v>7</v>
      </c>
      <c r="I1342" s="38">
        <f t="shared" si="13"/>
        <v>2</v>
      </c>
      <c r="J1342" s="55"/>
    </row>
    <row r="1343" spans="1:10" ht="15" customHeight="1" x14ac:dyDescent="0.2">
      <c r="A1343" s="50">
        <f t="array" ref="A1343">+INDEX(Partidas!$A:$J,MATCH('Resultados dashboard'!$B1343,Partidas!$C:$C,0),2)</f>
        <v>45845</v>
      </c>
      <c r="B1343" s="56">
        <f>+IF(COUNTIF($B$2:B1342,B1342)=VLOOKUP(B1342,Partidas!$C:$J,8,0),B1342+1,B1342)</f>
        <v>296</v>
      </c>
      <c r="C1343" s="41" t="str">
        <f t="array" ref="C1343">+INDEX(Partidas!$A:$J,MATCH('Resultados dashboard'!$B1343,Partidas!$C:$C,0),3+COUNTIF($B$2:B1343,'Resultados dashboard'!$B1343))</f>
        <v>Ivo</v>
      </c>
      <c r="D1343" s="54">
        <v>7</v>
      </c>
      <c r="E1343" s="53"/>
      <c r="F1343" s="53"/>
      <c r="G1343" s="53"/>
      <c r="H1343" s="38">
        <f t="shared" si="12"/>
        <v>7</v>
      </c>
      <c r="I1343" s="38">
        <f t="shared" si="13"/>
        <v>2</v>
      </c>
      <c r="J1343" s="55"/>
    </row>
    <row r="1344" spans="1:10" ht="15" customHeight="1" x14ac:dyDescent="0.2">
      <c r="A1344" s="50">
        <f t="array" ref="A1344">+INDEX(Partidas!$A:$J,MATCH('Resultados dashboard'!$B1344,Partidas!$C:$C,0),2)</f>
        <v>45845</v>
      </c>
      <c r="B1344" s="56">
        <f>+IF(COUNTIF($B$2:B1343,B1343)=VLOOKUP(B1343,Partidas!$C:$J,8,0),B1343+1,B1343)</f>
        <v>296</v>
      </c>
      <c r="C1344" s="41" t="str">
        <f t="array" ref="C1344">+INDEX(Partidas!$A:$J,MATCH('Resultados dashboard'!$B1344,Partidas!$C:$C,0),3+COUNTIF($B$2:B1344,'Resultados dashboard'!$B1344))</f>
        <v>Hugo</v>
      </c>
      <c r="D1344" s="54">
        <v>5</v>
      </c>
      <c r="E1344" s="54">
        <v>1</v>
      </c>
      <c r="F1344" s="53"/>
      <c r="G1344" s="53"/>
      <c r="H1344" s="38">
        <f t="shared" si="12"/>
        <v>6</v>
      </c>
      <c r="I1344" s="38">
        <f t="shared" si="13"/>
        <v>4</v>
      </c>
      <c r="J1344" s="55"/>
    </row>
    <row r="1345" spans="1:10" ht="15" customHeight="1" x14ac:dyDescent="0.2">
      <c r="A1345" s="50">
        <f t="array" ref="A1345">+INDEX(Partidas!$A:$J,MATCH('Resultados dashboard'!$B1345,Partidas!$C:$C,0),2)</f>
        <v>45845</v>
      </c>
      <c r="B1345" s="56">
        <f>+IF(COUNTIF($B$2:B1344,B1344)=VLOOKUP(B1344,Partidas!$C:$J,8,0),B1344+1,B1344)</f>
        <v>296</v>
      </c>
      <c r="C1345" s="41" t="str">
        <f t="array" ref="C1345">+INDEX(Partidas!$A:$J,MATCH('Resultados dashboard'!$B1345,Partidas!$C:$C,0),3+COUNTIF($B$2:B1345,'Resultados dashboard'!$B1345))</f>
        <v>Sofi</v>
      </c>
      <c r="D1345" s="54">
        <v>7</v>
      </c>
      <c r="E1345" s="54">
        <v>1</v>
      </c>
      <c r="F1345" s="53"/>
      <c r="G1345" s="54">
        <v>1</v>
      </c>
      <c r="H1345" s="38">
        <f t="shared" si="12"/>
        <v>10</v>
      </c>
      <c r="I1345" s="38">
        <f t="shared" si="13"/>
        <v>1</v>
      </c>
      <c r="J1345" s="55"/>
    </row>
    <row r="1346" spans="1:10" ht="15" customHeight="1" x14ac:dyDescent="0.2">
      <c r="A1346" s="50">
        <f t="array" ref="A1346">+INDEX(Partidas!$A:$J,MATCH('Resultados dashboard'!$B1346,Partidas!$C:$C,0),2)</f>
        <v>45845</v>
      </c>
      <c r="B1346" s="56">
        <f>+IF(COUNTIF($B$2:B1345,B1345)=VLOOKUP(B1345,Partidas!$C:$J,8,0),B1345+1,B1345)</f>
        <v>297</v>
      </c>
      <c r="C1346" s="41" t="str">
        <f t="array" ref="C1346">+INDEX(Partidas!$A:$J,MATCH('Resultados dashboard'!$B1346,Partidas!$C:$C,0),3+COUNTIF($B$2:B1346,'Resultados dashboard'!$B1346))</f>
        <v>Gallo</v>
      </c>
      <c r="D1346" s="54">
        <v>8</v>
      </c>
      <c r="E1346" s="53"/>
      <c r="F1346" s="53"/>
      <c r="G1346" s="53"/>
      <c r="H1346" s="38">
        <f t="shared" si="12"/>
        <v>8</v>
      </c>
      <c r="I1346" s="38">
        <f t="shared" si="13"/>
        <v>2</v>
      </c>
      <c r="J1346" s="55"/>
    </row>
    <row r="1347" spans="1:10" ht="15" customHeight="1" x14ac:dyDescent="0.2">
      <c r="A1347" s="50">
        <f t="array" ref="A1347">+INDEX(Partidas!$A:$J,MATCH('Resultados dashboard'!$B1347,Partidas!$C:$C,0),2)</f>
        <v>45845</v>
      </c>
      <c r="B1347" s="56">
        <f>+IF(COUNTIF($B$2:B1346,B1346)=VLOOKUP(B1346,Partidas!$C:$J,8,0),B1346+1,B1346)</f>
        <v>297</v>
      </c>
      <c r="C1347" s="41" t="str">
        <f t="array" ref="C1347">+INDEX(Partidas!$A:$J,MATCH('Resultados dashboard'!$B1347,Partidas!$C:$C,0),3+COUNTIF($B$2:B1347,'Resultados dashboard'!$B1347))</f>
        <v>Ivo</v>
      </c>
      <c r="D1347" s="54">
        <v>4</v>
      </c>
      <c r="E1347" s="53"/>
      <c r="F1347" s="53"/>
      <c r="G1347" s="53"/>
      <c r="H1347" s="38">
        <f t="shared" si="12"/>
        <v>4</v>
      </c>
      <c r="I1347" s="38">
        <f t="shared" si="13"/>
        <v>4</v>
      </c>
      <c r="J1347" s="55"/>
    </row>
    <row r="1348" spans="1:10" ht="15" customHeight="1" x14ac:dyDescent="0.2">
      <c r="A1348" s="50">
        <f t="array" ref="A1348">+INDEX(Partidas!$A:$J,MATCH('Resultados dashboard'!$B1348,Partidas!$C:$C,0),2)</f>
        <v>45845</v>
      </c>
      <c r="B1348" s="56">
        <f>+IF(COUNTIF($B$2:B1347,B1347)=VLOOKUP(B1347,Partidas!$C:$J,8,0),B1347+1,B1347)</f>
        <v>297</v>
      </c>
      <c r="C1348" s="41" t="str">
        <f t="array" ref="C1348">+INDEX(Partidas!$A:$J,MATCH('Resultados dashboard'!$B1348,Partidas!$C:$C,0),3+COUNTIF($B$2:B1348,'Resultados dashboard'!$B1348))</f>
        <v>Hugo</v>
      </c>
      <c r="D1348" s="54">
        <v>6</v>
      </c>
      <c r="E1348" s="54">
        <v>1</v>
      </c>
      <c r="F1348" s="54">
        <v>1</v>
      </c>
      <c r="G1348" s="54">
        <v>1</v>
      </c>
      <c r="H1348" s="38">
        <f t="shared" si="12"/>
        <v>11</v>
      </c>
      <c r="I1348" s="38">
        <f t="shared" si="13"/>
        <v>1</v>
      </c>
      <c r="J1348" s="55"/>
    </row>
    <row r="1349" spans="1:10" ht="15" customHeight="1" x14ac:dyDescent="0.2">
      <c r="A1349" s="50">
        <f t="array" ref="A1349">+INDEX(Partidas!$A:$J,MATCH('Resultados dashboard'!$B1349,Partidas!$C:$C,0),2)</f>
        <v>45845</v>
      </c>
      <c r="B1349" s="56">
        <f>+IF(COUNTIF($B$2:B1348,B1348)=VLOOKUP(B1348,Partidas!$C:$J,8,0),B1348+1,B1348)</f>
        <v>297</v>
      </c>
      <c r="C1349" s="41" t="str">
        <f t="array" ref="C1349">+INDEX(Partidas!$A:$J,MATCH('Resultados dashboard'!$B1349,Partidas!$C:$C,0),3+COUNTIF($B$2:B1349,'Resultados dashboard'!$B1349))</f>
        <v>Sofi</v>
      </c>
      <c r="D1349" s="54">
        <v>7</v>
      </c>
      <c r="E1349" s="53"/>
      <c r="F1349" s="53"/>
      <c r="G1349" s="53"/>
      <c r="H1349" s="38">
        <f t="shared" si="12"/>
        <v>7</v>
      </c>
      <c r="I1349" s="38">
        <f t="shared" si="13"/>
        <v>3</v>
      </c>
      <c r="J1349" s="55"/>
    </row>
    <row r="1350" spans="1:10" ht="15" customHeight="1" x14ac:dyDescent="0.2">
      <c r="A1350" s="50">
        <f t="array" ref="A1350">+INDEX(Partidas!$A:$J,MATCH('Resultados dashboard'!$B1350,Partidas!$C:$C,0),2)</f>
        <v>45851</v>
      </c>
      <c r="B1350" s="56">
        <f>+IF(COUNTIF($B$2:B1349,B1349)=VLOOKUP(B1349,Partidas!$C:$J,8,0),B1349+1,B1349)</f>
        <v>298</v>
      </c>
      <c r="C1350" s="41" t="str">
        <f t="array" ref="C1350">+INDEX(Partidas!$A:$J,MATCH('Resultados dashboard'!$B1350,Partidas!$C:$C,0),3+COUNTIF($B$2:B1350,'Resultados dashboard'!$B1350))</f>
        <v>Max</v>
      </c>
      <c r="D1350" s="54">
        <v>7</v>
      </c>
      <c r="E1350" s="54">
        <v>1</v>
      </c>
      <c r="F1350" s="54">
        <v>1</v>
      </c>
      <c r="G1350" s="53"/>
      <c r="H1350" s="38">
        <f t="shared" si="12"/>
        <v>10</v>
      </c>
      <c r="I1350" s="38">
        <f t="shared" si="13"/>
        <v>1</v>
      </c>
      <c r="J1350" s="55"/>
    </row>
    <row r="1351" spans="1:10" ht="15" customHeight="1" x14ac:dyDescent="0.2">
      <c r="A1351" s="50">
        <f t="array" ref="A1351">+INDEX(Partidas!$A:$J,MATCH('Resultados dashboard'!$B1351,Partidas!$C:$C,0),2)</f>
        <v>45851</v>
      </c>
      <c r="B1351" s="56">
        <f>+IF(COUNTIF($B$2:B1350,B1350)=VLOOKUP(B1350,Partidas!$C:$J,8,0),B1350+1,B1350)</f>
        <v>298</v>
      </c>
      <c r="C1351" s="41" t="str">
        <f t="array" ref="C1351">+INDEX(Partidas!$A:$J,MATCH('Resultados dashboard'!$B1351,Partidas!$C:$C,0),3+COUNTIF($B$2:B1351,'Resultados dashboard'!$B1351))</f>
        <v>Hugo</v>
      </c>
      <c r="D1351" s="54">
        <v>7</v>
      </c>
      <c r="E1351" s="53"/>
      <c r="F1351" s="53"/>
      <c r="G1351" s="53"/>
      <c r="H1351" s="38">
        <f t="shared" si="12"/>
        <v>7</v>
      </c>
      <c r="I1351" s="38">
        <f t="shared" si="13"/>
        <v>2</v>
      </c>
      <c r="J1351" s="55"/>
    </row>
    <row r="1352" spans="1:10" ht="15" customHeight="1" x14ac:dyDescent="0.2">
      <c r="A1352" s="50">
        <f t="array" ref="A1352">+INDEX(Partidas!$A:$J,MATCH('Resultados dashboard'!$B1352,Partidas!$C:$C,0),2)</f>
        <v>45851</v>
      </c>
      <c r="B1352" s="56">
        <f>+IF(COUNTIF($B$2:B1351,B1351)=VLOOKUP(B1351,Partidas!$C:$J,8,0),B1351+1,B1351)</f>
        <v>298</v>
      </c>
      <c r="C1352" s="41" t="str">
        <f t="array" ref="C1352">+INDEX(Partidas!$A:$J,MATCH('Resultados dashboard'!$B1352,Partidas!$C:$C,0),3+COUNTIF($B$2:B1352,'Resultados dashboard'!$B1352))</f>
        <v>Moch</v>
      </c>
      <c r="D1352" s="54">
        <v>5</v>
      </c>
      <c r="E1352" s="53"/>
      <c r="F1352" s="53"/>
      <c r="G1352" s="53"/>
      <c r="H1352" s="38">
        <f t="shared" si="12"/>
        <v>5</v>
      </c>
      <c r="I1352" s="38">
        <f t="shared" si="13"/>
        <v>3</v>
      </c>
      <c r="J1352" s="55"/>
    </row>
    <row r="1353" spans="1:10" ht="15" customHeight="1" x14ac:dyDescent="0.2">
      <c r="A1353" s="50">
        <f t="array" ref="A1353">+INDEX(Partidas!$A:$J,MATCH('Resultados dashboard'!$B1353,Partidas!$C:$C,0),2)</f>
        <v>45851</v>
      </c>
      <c r="B1353" s="56">
        <f>+IF(COUNTIF($B$2:B1352,B1352)=VLOOKUP(B1352,Partidas!$C:$J,8,0),B1352+1,B1352)</f>
        <v>298</v>
      </c>
      <c r="C1353" s="41" t="str">
        <f t="array" ref="C1353">+INDEX(Partidas!$A:$J,MATCH('Resultados dashboard'!$B1353,Partidas!$C:$C,0),3+COUNTIF($B$2:B1353,'Resultados dashboard'!$B1353))</f>
        <v>Abegol</v>
      </c>
      <c r="D1353" s="54">
        <v>5</v>
      </c>
      <c r="E1353" s="53"/>
      <c r="F1353" s="53"/>
      <c r="G1353" s="53"/>
      <c r="H1353" s="38">
        <f t="shared" si="12"/>
        <v>5</v>
      </c>
      <c r="I1353" s="38">
        <f t="shared" si="13"/>
        <v>3</v>
      </c>
      <c r="J1353" s="55"/>
    </row>
    <row r="1354" spans="1:10" ht="15" customHeight="1" x14ac:dyDescent="0.2">
      <c r="A1354" s="50">
        <f t="array" ref="A1354">+INDEX(Partidas!$A:$J,MATCH('Resultados dashboard'!$B1354,Partidas!$C:$C,0),2)</f>
        <v>45851</v>
      </c>
      <c r="B1354" s="56">
        <f>+IF(COUNTIF($B$2:B1353,B1353)=VLOOKUP(B1353,Partidas!$C:$J,8,0),B1353+1,B1353)</f>
        <v>299</v>
      </c>
      <c r="C1354" s="41" t="str">
        <f t="array" ref="C1354">+INDEX(Partidas!$A:$J,MATCH('Resultados dashboard'!$B1354,Partidas!$C:$C,0),3+COUNTIF($B$2:B1354,'Resultados dashboard'!$B1354))</f>
        <v>Max</v>
      </c>
      <c r="D1354" s="54">
        <v>5</v>
      </c>
      <c r="E1354" s="54">
        <v>1</v>
      </c>
      <c r="F1354" s="53"/>
      <c r="G1354" s="53"/>
      <c r="H1354" s="38">
        <f t="shared" si="12"/>
        <v>6</v>
      </c>
      <c r="I1354" s="38">
        <f t="shared" si="13"/>
        <v>3</v>
      </c>
      <c r="J1354" s="55"/>
    </row>
    <row r="1355" spans="1:10" ht="15" customHeight="1" x14ac:dyDescent="0.2">
      <c r="A1355" s="50">
        <f t="array" ref="A1355">+INDEX(Partidas!$A:$J,MATCH('Resultados dashboard'!$B1355,Partidas!$C:$C,0),2)</f>
        <v>45851</v>
      </c>
      <c r="B1355" s="56">
        <f>+IF(COUNTIF($B$2:B1354,B1354)=VLOOKUP(B1354,Partidas!$C:$J,8,0),B1354+1,B1354)</f>
        <v>299</v>
      </c>
      <c r="C1355" s="41" t="str">
        <f t="array" ref="C1355">+INDEX(Partidas!$A:$J,MATCH('Resultados dashboard'!$B1355,Partidas!$C:$C,0),3+COUNTIF($B$2:B1355,'Resultados dashboard'!$B1355))</f>
        <v>Hugo</v>
      </c>
      <c r="D1355" s="54">
        <v>8</v>
      </c>
      <c r="E1355" s="53"/>
      <c r="F1355" s="54">
        <v>1</v>
      </c>
      <c r="G1355" s="53"/>
      <c r="H1355" s="38">
        <f t="shared" si="12"/>
        <v>10</v>
      </c>
      <c r="I1355" s="38">
        <f t="shared" si="13"/>
        <v>1</v>
      </c>
      <c r="J1355" s="55"/>
    </row>
    <row r="1356" spans="1:10" ht="15" customHeight="1" x14ac:dyDescent="0.2">
      <c r="A1356" s="50">
        <f t="array" ref="A1356">+INDEX(Partidas!$A:$J,MATCH('Resultados dashboard'!$B1356,Partidas!$C:$C,0),2)</f>
        <v>45851</v>
      </c>
      <c r="B1356" s="56">
        <f>+IF(COUNTIF($B$2:B1355,B1355)=VLOOKUP(B1355,Partidas!$C:$J,8,0),B1355+1,B1355)</f>
        <v>299</v>
      </c>
      <c r="C1356" s="41" t="str">
        <f t="array" ref="C1356">+INDEX(Partidas!$A:$J,MATCH('Resultados dashboard'!$B1356,Partidas!$C:$C,0),3+COUNTIF($B$2:B1356,'Resultados dashboard'!$B1356))</f>
        <v>Moch</v>
      </c>
      <c r="D1356" s="54">
        <v>4</v>
      </c>
      <c r="E1356" s="54">
        <v>1</v>
      </c>
      <c r="F1356" s="53"/>
      <c r="G1356" s="54">
        <v>1</v>
      </c>
      <c r="H1356" s="38">
        <f t="shared" si="12"/>
        <v>7</v>
      </c>
      <c r="I1356" s="38">
        <f t="shared" si="13"/>
        <v>2</v>
      </c>
      <c r="J1356" s="55"/>
    </row>
    <row r="1357" spans="1:10" ht="15" customHeight="1" x14ac:dyDescent="0.2">
      <c r="A1357" s="50">
        <f t="array" ref="A1357">+INDEX(Partidas!$A:$J,MATCH('Resultados dashboard'!$B1357,Partidas!$C:$C,0),2)</f>
        <v>45851</v>
      </c>
      <c r="B1357" s="56">
        <f>+IF(COUNTIF($B$2:B1356,B1356)=VLOOKUP(B1356,Partidas!$C:$J,8,0),B1356+1,B1356)</f>
        <v>299</v>
      </c>
      <c r="C1357" s="41" t="str">
        <f t="array" ref="C1357">+INDEX(Partidas!$A:$J,MATCH('Resultados dashboard'!$B1357,Partidas!$C:$C,0),3+COUNTIF($B$2:B1357,'Resultados dashboard'!$B1357))</f>
        <v>Abegol</v>
      </c>
      <c r="D1357" s="54">
        <v>4</v>
      </c>
      <c r="E1357" s="53"/>
      <c r="F1357" s="53"/>
      <c r="G1357" s="53"/>
      <c r="H1357" s="38">
        <f t="shared" si="12"/>
        <v>4</v>
      </c>
      <c r="I1357" s="38">
        <f t="shared" si="13"/>
        <v>4</v>
      </c>
      <c r="J1357" s="55"/>
    </row>
    <row r="1358" spans="1:10" ht="15" customHeight="1" x14ac:dyDescent="0.2">
      <c r="A1358" s="50">
        <f t="array" ref="A1358">+INDEX(Partidas!$A:$J,MATCH('Resultados dashboard'!$B1358,Partidas!$C:$C,0),2)</f>
        <v>45858</v>
      </c>
      <c r="B1358" s="56">
        <f>+IF(COUNTIF($B$2:B1357,B1357)=VLOOKUP(B1357,Partidas!$C:$J,8,0),B1357+1,B1357)</f>
        <v>300</v>
      </c>
      <c r="C1358" s="41" t="str">
        <f t="array" ref="C1358">+INDEX(Partidas!$A:$J,MATCH('Resultados dashboard'!$B1358,Partidas!$C:$C,0),3+COUNTIF($B$2:B1358,'Resultados dashboard'!$B1358))</f>
        <v>Gallo</v>
      </c>
      <c r="D1358" s="54">
        <v>6</v>
      </c>
      <c r="E1358" s="54">
        <v>1</v>
      </c>
      <c r="F1358" s="53"/>
      <c r="G1358" s="53"/>
      <c r="H1358" s="38">
        <f t="shared" si="12"/>
        <v>7</v>
      </c>
      <c r="I1358" s="38">
        <f t="shared" si="13"/>
        <v>5</v>
      </c>
      <c r="J1358" s="55"/>
    </row>
    <row r="1359" spans="1:10" ht="15" customHeight="1" x14ac:dyDescent="0.2">
      <c r="A1359" s="50">
        <f t="array" ref="A1359">+INDEX(Partidas!$A:$J,MATCH('Resultados dashboard'!$B1359,Partidas!$C:$C,0),2)</f>
        <v>45858</v>
      </c>
      <c r="B1359" s="56">
        <f>+IF(COUNTIF($B$2:B1358,B1358)=VLOOKUP(B1358,Partidas!$C:$J,8,0),B1358+1,B1358)</f>
        <v>300</v>
      </c>
      <c r="C1359" s="41" t="str">
        <f t="array" ref="C1359">+INDEX(Partidas!$A:$J,MATCH('Resultados dashboard'!$B1359,Partidas!$C:$C,0),3+COUNTIF($B$2:B1359,'Resultados dashboard'!$B1359))</f>
        <v>Ivo</v>
      </c>
      <c r="D1359" s="54">
        <v>9</v>
      </c>
      <c r="E1359" s="53"/>
      <c r="F1359" s="53"/>
      <c r="G1359" s="53"/>
      <c r="H1359" s="38">
        <f t="shared" si="12"/>
        <v>9</v>
      </c>
      <c r="I1359" s="38">
        <f t="shared" si="13"/>
        <v>2</v>
      </c>
      <c r="J1359" s="55"/>
    </row>
    <row r="1360" spans="1:10" ht="15" customHeight="1" x14ac:dyDescent="0.2">
      <c r="A1360" s="50">
        <f t="array" ref="A1360">+INDEX(Partidas!$A:$J,MATCH('Resultados dashboard'!$B1360,Partidas!$C:$C,0),2)</f>
        <v>45858</v>
      </c>
      <c r="B1360" s="56">
        <f>+IF(COUNTIF($B$2:B1359,B1359)=VLOOKUP(B1359,Partidas!$C:$J,8,0),B1359+1,B1359)</f>
        <v>300</v>
      </c>
      <c r="C1360" s="41" t="str">
        <f t="array" ref="C1360">+INDEX(Partidas!$A:$J,MATCH('Resultados dashboard'!$B1360,Partidas!$C:$C,0),3+COUNTIF($B$2:B1360,'Resultados dashboard'!$B1360))</f>
        <v>Max</v>
      </c>
      <c r="D1360" s="54">
        <v>7</v>
      </c>
      <c r="E1360" s="53"/>
      <c r="F1360" s="53"/>
      <c r="G1360" s="53"/>
      <c r="H1360" s="38">
        <f t="shared" si="12"/>
        <v>7</v>
      </c>
      <c r="I1360" s="38">
        <f t="shared" si="13"/>
        <v>5</v>
      </c>
      <c r="J1360" s="55"/>
    </row>
    <row r="1361" spans="1:10" ht="15" customHeight="1" x14ac:dyDescent="0.2">
      <c r="A1361" s="50">
        <f t="array" ref="A1361">+INDEX(Partidas!$A:$J,MATCH('Resultados dashboard'!$B1361,Partidas!$C:$C,0),2)</f>
        <v>45858</v>
      </c>
      <c r="B1361" s="56">
        <f>+IF(COUNTIF($B$2:B1360,B1360)=VLOOKUP(B1360,Partidas!$C:$J,8,0),B1360+1,B1360)</f>
        <v>300</v>
      </c>
      <c r="C1361" s="41" t="str">
        <f t="array" ref="C1361">+INDEX(Partidas!$A:$J,MATCH('Resultados dashboard'!$B1361,Partidas!$C:$C,0),3+COUNTIF($B$2:B1361,'Resultados dashboard'!$B1361))</f>
        <v>Gaspa</v>
      </c>
      <c r="D1361" s="54">
        <v>7</v>
      </c>
      <c r="E1361" s="54">
        <v>2</v>
      </c>
      <c r="F1361" s="54">
        <v>1</v>
      </c>
      <c r="G1361" s="53"/>
      <c r="H1361" s="38">
        <f t="shared" si="12"/>
        <v>11</v>
      </c>
      <c r="I1361" s="38">
        <f t="shared" si="13"/>
        <v>1</v>
      </c>
      <c r="J1361" s="55"/>
    </row>
    <row r="1362" spans="1:10" ht="15" customHeight="1" x14ac:dyDescent="0.2">
      <c r="A1362" s="50">
        <f t="array" ref="A1362">+INDEX(Partidas!$A:$J,MATCH('Resultados dashboard'!$B1362,Partidas!$C:$C,0),2)</f>
        <v>45858</v>
      </c>
      <c r="B1362" s="56">
        <f>+IF(COUNTIF($B$2:B1361,B1361)=VLOOKUP(B1361,Partidas!$C:$J,8,0),B1361+1,B1361)</f>
        <v>300</v>
      </c>
      <c r="C1362" s="41" t="str">
        <f t="array" ref="C1362">+INDEX(Partidas!$A:$J,MATCH('Resultados dashboard'!$B1362,Partidas!$C:$C,0),3+COUNTIF($B$2:B1362,'Resultados dashboard'!$B1362))</f>
        <v>Moch</v>
      </c>
      <c r="D1362" s="54">
        <v>7</v>
      </c>
      <c r="E1362" s="53"/>
      <c r="F1362" s="53"/>
      <c r="G1362" s="54">
        <v>1</v>
      </c>
      <c r="H1362" s="38">
        <f t="shared" si="12"/>
        <v>9</v>
      </c>
      <c r="I1362" s="38">
        <f t="shared" si="13"/>
        <v>2</v>
      </c>
      <c r="J1362" s="55"/>
    </row>
    <row r="1363" spans="1:10" ht="15" customHeight="1" x14ac:dyDescent="0.2">
      <c r="A1363" s="50">
        <f t="array" ref="A1363">+INDEX(Partidas!$A:$J,MATCH('Resultados dashboard'!$B1363,Partidas!$C:$C,0),2)</f>
        <v>45858</v>
      </c>
      <c r="B1363" s="56">
        <f>+IF(COUNTIF($B$2:B1362,B1362)=VLOOKUP(B1362,Partidas!$C:$J,8,0),B1362+1,B1362)</f>
        <v>300</v>
      </c>
      <c r="C1363" s="41" t="str">
        <f t="array" ref="C1363">+INDEX(Partidas!$A:$J,MATCH('Resultados dashboard'!$B1363,Partidas!$C:$C,0),3+COUNTIF($B$2:B1363,'Resultados dashboard'!$B1363))</f>
        <v>Abegol</v>
      </c>
      <c r="D1363" s="54">
        <v>8</v>
      </c>
      <c r="E1363" s="53"/>
      <c r="F1363" s="53"/>
      <c r="G1363" s="53"/>
      <c r="H1363" s="38">
        <f t="shared" si="12"/>
        <v>8</v>
      </c>
      <c r="I1363" s="38">
        <f t="shared" si="13"/>
        <v>4</v>
      </c>
      <c r="J1363" s="55"/>
    </row>
    <row r="1364" spans="1:10" ht="15" customHeight="1" x14ac:dyDescent="0.2">
      <c r="A1364" s="50">
        <f t="array" ref="A1364">+INDEX(Partidas!$A:$J,MATCH('Resultados dashboard'!$B1364,Partidas!$C:$C,0),2)</f>
        <v>45858</v>
      </c>
      <c r="B1364" s="56">
        <f>+IF(COUNTIF($B$2:B1363,B1363)=VLOOKUP(B1363,Partidas!$C:$J,8,0),B1363+1,B1363)</f>
        <v>301</v>
      </c>
      <c r="C1364" s="41" t="str">
        <f t="array" ref="C1364">+INDEX(Partidas!$A:$J,MATCH('Resultados dashboard'!$B1364,Partidas!$C:$C,0),3+COUNTIF($B$2:B1364,'Resultados dashboard'!$B1364))</f>
        <v>Gallo</v>
      </c>
      <c r="D1364" s="54">
        <v>7</v>
      </c>
      <c r="E1364" s="53"/>
      <c r="F1364" s="53"/>
      <c r="G1364" s="53"/>
      <c r="H1364" s="38">
        <f t="shared" si="12"/>
        <v>7</v>
      </c>
      <c r="I1364" s="38">
        <f t="shared" si="13"/>
        <v>3</v>
      </c>
      <c r="J1364" s="55"/>
    </row>
    <row r="1365" spans="1:10" ht="15" customHeight="1" x14ac:dyDescent="0.2">
      <c r="A1365" s="50">
        <f t="array" ref="A1365">+INDEX(Partidas!$A:$J,MATCH('Resultados dashboard'!$B1365,Partidas!$C:$C,0),2)</f>
        <v>45858</v>
      </c>
      <c r="B1365" s="56">
        <f>+IF(COUNTIF($B$2:B1364,B1364)=VLOOKUP(B1364,Partidas!$C:$J,8,0),B1364+1,B1364)</f>
        <v>301</v>
      </c>
      <c r="C1365" s="41" t="str">
        <f t="array" ref="C1365">+INDEX(Partidas!$A:$J,MATCH('Resultados dashboard'!$B1365,Partidas!$C:$C,0),3+COUNTIF($B$2:B1365,'Resultados dashboard'!$B1365))</f>
        <v>Ivo</v>
      </c>
      <c r="D1365" s="54">
        <v>4</v>
      </c>
      <c r="E1365" s="53"/>
      <c r="F1365" s="54">
        <v>1</v>
      </c>
      <c r="G1365" s="53"/>
      <c r="H1365" s="38">
        <f t="shared" si="12"/>
        <v>6</v>
      </c>
      <c r="I1365" s="38">
        <f t="shared" si="13"/>
        <v>5</v>
      </c>
      <c r="J1365" s="55"/>
    </row>
    <row r="1366" spans="1:10" ht="15" customHeight="1" x14ac:dyDescent="0.2">
      <c r="A1366" s="50">
        <f t="array" ref="A1366">+INDEX(Partidas!$A:$J,MATCH('Resultados dashboard'!$B1366,Partidas!$C:$C,0),2)</f>
        <v>45858</v>
      </c>
      <c r="B1366" s="56">
        <f>+IF(COUNTIF($B$2:B1365,B1365)=VLOOKUP(B1365,Partidas!$C:$J,8,0),B1365+1,B1365)</f>
        <v>301</v>
      </c>
      <c r="C1366" s="41" t="str">
        <f t="array" ref="C1366">+INDEX(Partidas!$A:$J,MATCH('Resultados dashboard'!$B1366,Partidas!$C:$C,0),3+COUNTIF($B$2:B1366,'Resultados dashboard'!$B1366))</f>
        <v>Max</v>
      </c>
      <c r="D1366" s="54">
        <v>6</v>
      </c>
      <c r="E1366" s="53"/>
      <c r="F1366" s="53"/>
      <c r="G1366" s="54">
        <v>1</v>
      </c>
      <c r="H1366" s="38">
        <f t="shared" si="12"/>
        <v>8</v>
      </c>
      <c r="I1366" s="38">
        <f t="shared" si="13"/>
        <v>2</v>
      </c>
      <c r="J1366" s="55"/>
    </row>
    <row r="1367" spans="1:10" ht="15" customHeight="1" x14ac:dyDescent="0.2">
      <c r="A1367" s="50">
        <f t="array" ref="A1367">+INDEX(Partidas!$A:$J,MATCH('Resultados dashboard'!$B1367,Partidas!$C:$C,0),2)</f>
        <v>45858</v>
      </c>
      <c r="B1367" s="56">
        <f>+IF(COUNTIF($B$2:B1366,B1366)=VLOOKUP(B1366,Partidas!$C:$J,8,0),B1366+1,B1366)</f>
        <v>301</v>
      </c>
      <c r="C1367" s="41" t="str">
        <f t="array" ref="C1367">+INDEX(Partidas!$A:$J,MATCH('Resultados dashboard'!$B1367,Partidas!$C:$C,0),3+COUNTIF($B$2:B1367,'Resultados dashboard'!$B1367))</f>
        <v>Gaspa</v>
      </c>
      <c r="D1367" s="54">
        <v>7</v>
      </c>
      <c r="E1367" s="53"/>
      <c r="F1367" s="53"/>
      <c r="G1367" s="53"/>
      <c r="H1367" s="38">
        <f t="shared" si="12"/>
        <v>7</v>
      </c>
      <c r="I1367" s="38">
        <f t="shared" si="13"/>
        <v>3</v>
      </c>
      <c r="J1367" s="55"/>
    </row>
    <row r="1368" spans="1:10" ht="15" customHeight="1" x14ac:dyDescent="0.2">
      <c r="A1368" s="50">
        <f t="array" ref="A1368">+INDEX(Partidas!$A:$J,MATCH('Resultados dashboard'!$B1368,Partidas!$C:$C,0),2)</f>
        <v>45858</v>
      </c>
      <c r="B1368" s="56">
        <f>+IF(COUNTIF($B$2:B1367,B1367)=VLOOKUP(B1367,Partidas!$C:$J,8,0),B1367+1,B1367)</f>
        <v>301</v>
      </c>
      <c r="C1368" s="41" t="str">
        <f t="array" ref="C1368">+INDEX(Partidas!$A:$J,MATCH('Resultados dashboard'!$B1368,Partidas!$C:$C,0),3+COUNTIF($B$2:B1368,'Resultados dashboard'!$B1368))</f>
        <v>Moch</v>
      </c>
      <c r="D1368" s="54">
        <v>9</v>
      </c>
      <c r="E1368" s="54">
        <v>1</v>
      </c>
      <c r="F1368" s="53"/>
      <c r="G1368" s="53"/>
      <c r="H1368" s="38">
        <f t="shared" si="12"/>
        <v>10</v>
      </c>
      <c r="I1368" s="38">
        <f t="shared" si="13"/>
        <v>1</v>
      </c>
      <c r="J1368" s="55"/>
    </row>
    <row r="1369" spans="1:10" ht="15" customHeight="1" x14ac:dyDescent="0.2">
      <c r="A1369" s="50">
        <f t="array" ref="A1369">+INDEX(Partidas!$A:$J,MATCH('Resultados dashboard'!$B1369,Partidas!$C:$C,0),2)</f>
        <v>45858</v>
      </c>
      <c r="B1369" s="56">
        <f>+IF(COUNTIF($B$2:B1368,B1368)=VLOOKUP(B1368,Partidas!$C:$J,8,0),B1368+1,B1368)</f>
        <v>301</v>
      </c>
      <c r="C1369" s="41" t="str">
        <f t="array" ref="C1369">+INDEX(Partidas!$A:$J,MATCH('Resultados dashboard'!$B1369,Partidas!$C:$C,0),3+COUNTIF($B$2:B1369,'Resultados dashboard'!$B1369))</f>
        <v>Abegol</v>
      </c>
      <c r="D1369" s="54">
        <v>6</v>
      </c>
      <c r="E1369" s="53"/>
      <c r="F1369" s="53"/>
      <c r="G1369" s="53"/>
      <c r="H1369" s="38">
        <f t="shared" si="12"/>
        <v>6</v>
      </c>
      <c r="I1369" s="38">
        <f t="shared" si="13"/>
        <v>5</v>
      </c>
      <c r="J1369" s="55"/>
    </row>
    <row r="1370" spans="1:10" ht="15" customHeight="1" x14ac:dyDescent="0.2">
      <c r="A1370" s="50">
        <f t="array" ref="A1370">+INDEX(Partidas!$A:$J,MATCH('Resultados dashboard'!$B1370,Partidas!$C:$C,0),2)</f>
        <v>45858</v>
      </c>
      <c r="B1370" s="56">
        <f>+IF(COUNTIF($B$2:B1369,B1369)=VLOOKUP(B1369,Partidas!$C:$J,8,0),B1369+1,B1369)</f>
        <v>302</v>
      </c>
      <c r="C1370" s="41" t="str">
        <f t="array" ref="C1370">+INDEX(Partidas!$A:$J,MATCH('Resultados dashboard'!$B1370,Partidas!$C:$C,0),3+COUNTIF($B$2:B1370,'Resultados dashboard'!$B1370))</f>
        <v>Gallo</v>
      </c>
      <c r="D1370" s="54">
        <v>5</v>
      </c>
      <c r="E1370" s="53"/>
      <c r="F1370" s="53"/>
      <c r="G1370" s="53"/>
      <c r="H1370" s="38">
        <f t="shared" si="12"/>
        <v>5</v>
      </c>
      <c r="I1370" s="38">
        <f t="shared" si="13"/>
        <v>4</v>
      </c>
      <c r="J1370" s="55"/>
    </row>
    <row r="1371" spans="1:10" ht="15" customHeight="1" x14ac:dyDescent="0.2">
      <c r="A1371" s="50">
        <f t="array" ref="A1371">+INDEX(Partidas!$A:$J,MATCH('Resultados dashboard'!$B1371,Partidas!$C:$C,0),2)</f>
        <v>45858</v>
      </c>
      <c r="B1371" s="56">
        <f>+IF(COUNTIF($B$2:B1370,B1370)=VLOOKUP(B1370,Partidas!$C:$J,8,0),B1370+1,B1370)</f>
        <v>302</v>
      </c>
      <c r="C1371" s="41" t="str">
        <f t="array" ref="C1371">+INDEX(Partidas!$A:$J,MATCH('Resultados dashboard'!$B1371,Partidas!$C:$C,0),3+COUNTIF($B$2:B1371,'Resultados dashboard'!$B1371))</f>
        <v>Ivo</v>
      </c>
      <c r="D1371" s="54">
        <v>6</v>
      </c>
      <c r="E1371" s="53"/>
      <c r="F1371" s="53"/>
      <c r="G1371" s="53"/>
      <c r="H1371" s="38">
        <f t="shared" si="12"/>
        <v>6</v>
      </c>
      <c r="I1371" s="38">
        <f t="shared" si="13"/>
        <v>3</v>
      </c>
      <c r="J1371" s="55"/>
    </row>
    <row r="1372" spans="1:10" ht="15" customHeight="1" x14ac:dyDescent="0.2">
      <c r="A1372" s="50">
        <f t="array" ref="A1372">+INDEX(Partidas!$A:$J,MATCH('Resultados dashboard'!$B1372,Partidas!$C:$C,0),2)</f>
        <v>45858</v>
      </c>
      <c r="B1372" s="56">
        <f>+IF(COUNTIF($B$2:B1371,B1371)=VLOOKUP(B1371,Partidas!$C:$J,8,0),B1371+1,B1371)</f>
        <v>302</v>
      </c>
      <c r="C1372" s="41" t="str">
        <f t="array" ref="C1372">+INDEX(Partidas!$A:$J,MATCH('Resultados dashboard'!$B1372,Partidas!$C:$C,0),3+COUNTIF($B$2:B1372,'Resultados dashboard'!$B1372))</f>
        <v>Max</v>
      </c>
      <c r="D1372" s="54">
        <v>5</v>
      </c>
      <c r="E1372" s="53"/>
      <c r="F1372" s="53"/>
      <c r="G1372" s="53"/>
      <c r="H1372" s="38">
        <f t="shared" si="12"/>
        <v>5</v>
      </c>
      <c r="I1372" s="38">
        <f t="shared" si="13"/>
        <v>4</v>
      </c>
      <c r="J1372" s="55"/>
    </row>
    <row r="1373" spans="1:10" ht="15" customHeight="1" x14ac:dyDescent="0.2">
      <c r="A1373" s="50">
        <f t="array" ref="A1373">+INDEX(Partidas!$A:$J,MATCH('Resultados dashboard'!$B1373,Partidas!$C:$C,0),2)</f>
        <v>45858</v>
      </c>
      <c r="B1373" s="56">
        <f>+IF(COUNTIF($B$2:B1372,B1372)=VLOOKUP(B1372,Partidas!$C:$J,8,0),B1372+1,B1372)</f>
        <v>302</v>
      </c>
      <c r="C1373" s="41" t="str">
        <f t="array" ref="C1373">+INDEX(Partidas!$A:$J,MATCH('Resultados dashboard'!$B1373,Partidas!$C:$C,0),3+COUNTIF($B$2:B1373,'Resultados dashboard'!$B1373))</f>
        <v>Gaspa</v>
      </c>
      <c r="D1373" s="54">
        <v>10</v>
      </c>
      <c r="E1373" s="53"/>
      <c r="F1373" s="53"/>
      <c r="G1373" s="53"/>
      <c r="H1373" s="38">
        <f t="shared" si="12"/>
        <v>10</v>
      </c>
      <c r="I1373" s="38">
        <f t="shared" si="13"/>
        <v>1</v>
      </c>
      <c r="J1373" s="55"/>
    </row>
    <row r="1374" spans="1:10" ht="15" customHeight="1" x14ac:dyDescent="0.2">
      <c r="A1374" s="50">
        <f t="array" ref="A1374">+INDEX(Partidas!$A:$J,MATCH('Resultados dashboard'!$B1374,Partidas!$C:$C,0),2)</f>
        <v>45858</v>
      </c>
      <c r="B1374" s="56">
        <f>+IF(COUNTIF($B$2:B1373,B1373)=VLOOKUP(B1373,Partidas!$C:$J,8,0),B1373+1,B1373)</f>
        <v>302</v>
      </c>
      <c r="C1374" s="41" t="str">
        <f t="array" ref="C1374">+INDEX(Partidas!$A:$J,MATCH('Resultados dashboard'!$B1374,Partidas!$C:$C,0),3+COUNTIF($B$2:B1374,'Resultados dashboard'!$B1374))</f>
        <v>Moch</v>
      </c>
      <c r="D1374" s="54">
        <v>4</v>
      </c>
      <c r="E1374" s="54">
        <v>2</v>
      </c>
      <c r="F1374" s="53"/>
      <c r="G1374" s="54">
        <v>1</v>
      </c>
      <c r="H1374" s="38">
        <f t="shared" si="12"/>
        <v>8</v>
      </c>
      <c r="I1374" s="38">
        <f t="shared" si="13"/>
        <v>2</v>
      </c>
      <c r="J1374" s="55"/>
    </row>
    <row r="1375" spans="1:10" ht="15" customHeight="1" x14ac:dyDescent="0.2">
      <c r="A1375" s="50">
        <f t="array" ref="A1375">+INDEX(Partidas!$A:$J,MATCH('Resultados dashboard'!$B1375,Partidas!$C:$C,0),2)</f>
        <v>45858</v>
      </c>
      <c r="B1375" s="56">
        <f>+IF(COUNTIF($B$2:B1374,B1374)=VLOOKUP(B1374,Partidas!$C:$J,8,0),B1374+1,B1374)</f>
        <v>302</v>
      </c>
      <c r="C1375" s="41" t="str">
        <f t="array" ref="C1375">+INDEX(Partidas!$A:$J,MATCH('Resultados dashboard'!$B1375,Partidas!$C:$C,0),3+COUNTIF($B$2:B1375,'Resultados dashboard'!$B1375))</f>
        <v>Abegol</v>
      </c>
      <c r="D1375" s="54">
        <v>4</v>
      </c>
      <c r="E1375" s="54">
        <v>1</v>
      </c>
      <c r="F1375" s="53"/>
      <c r="G1375" s="53"/>
      <c r="H1375" s="38">
        <f t="shared" si="12"/>
        <v>5</v>
      </c>
      <c r="I1375" s="38">
        <f t="shared" si="13"/>
        <v>4</v>
      </c>
      <c r="J1375" s="55"/>
    </row>
    <row r="1376" spans="1:10" ht="15" customHeight="1" x14ac:dyDescent="0.2">
      <c r="A1376" s="50">
        <f t="array" ref="A1376">+INDEX(Partidas!$A:$J,MATCH('Resultados dashboard'!$B1376,Partidas!$C:$C,0),2)</f>
        <v>45858</v>
      </c>
      <c r="B1376" s="56">
        <f>+IF(COUNTIF($B$2:B1375,B1375)=VLOOKUP(B1375,Partidas!$C:$J,8,0),B1375+1,B1375)</f>
        <v>303</v>
      </c>
      <c r="C1376" s="41" t="str">
        <f t="array" ref="C1376">+INDEX(Partidas!$A:$J,MATCH('Resultados dashboard'!$B1376,Partidas!$C:$C,0),3+COUNTIF($B$2:B1376,'Resultados dashboard'!$B1376))</f>
        <v>Gallo</v>
      </c>
      <c r="D1376" s="54">
        <v>5</v>
      </c>
      <c r="E1376" s="53"/>
      <c r="F1376" s="53"/>
      <c r="G1376" s="53"/>
      <c r="H1376" s="38">
        <f t="shared" si="12"/>
        <v>5</v>
      </c>
      <c r="I1376" s="38">
        <f t="shared" si="13"/>
        <v>3</v>
      </c>
      <c r="J1376" s="55"/>
    </row>
    <row r="1377" spans="1:10" ht="15" customHeight="1" x14ac:dyDescent="0.2">
      <c r="A1377" s="50">
        <f t="array" ref="A1377">+INDEX(Partidas!$A:$J,MATCH('Resultados dashboard'!$B1377,Partidas!$C:$C,0),2)</f>
        <v>45858</v>
      </c>
      <c r="B1377" s="56">
        <f>+IF(COUNTIF($B$2:B1376,B1376)=VLOOKUP(B1376,Partidas!$C:$J,8,0),B1376+1,B1376)</f>
        <v>303</v>
      </c>
      <c r="C1377" s="41" t="str">
        <f t="array" ref="C1377">+INDEX(Partidas!$A:$J,MATCH('Resultados dashboard'!$B1377,Partidas!$C:$C,0),3+COUNTIF($B$2:B1377,'Resultados dashboard'!$B1377))</f>
        <v>Ivo</v>
      </c>
      <c r="D1377" s="54">
        <v>6</v>
      </c>
      <c r="E1377" s="54">
        <v>2</v>
      </c>
      <c r="F1377" s="54">
        <v>1</v>
      </c>
      <c r="G1377" s="53"/>
      <c r="H1377" s="38">
        <f t="shared" si="12"/>
        <v>10</v>
      </c>
      <c r="I1377" s="38">
        <f t="shared" si="13"/>
        <v>1</v>
      </c>
      <c r="J1377" s="55"/>
    </row>
    <row r="1378" spans="1:10" ht="15" customHeight="1" x14ac:dyDescent="0.2">
      <c r="A1378" s="50">
        <f t="array" ref="A1378">+INDEX(Partidas!$A:$J,MATCH('Resultados dashboard'!$B1378,Partidas!$C:$C,0),2)</f>
        <v>45858</v>
      </c>
      <c r="B1378" s="56">
        <f>+IF(COUNTIF($B$2:B1377,B1377)=VLOOKUP(B1377,Partidas!$C:$J,8,0),B1377+1,B1377)</f>
        <v>303</v>
      </c>
      <c r="C1378" s="41" t="str">
        <f t="array" ref="C1378">+INDEX(Partidas!$A:$J,MATCH('Resultados dashboard'!$B1378,Partidas!$C:$C,0),3+COUNTIF($B$2:B1378,'Resultados dashboard'!$B1378))</f>
        <v>Max</v>
      </c>
      <c r="D1378" s="54">
        <v>4</v>
      </c>
      <c r="E1378" s="54">
        <v>1</v>
      </c>
      <c r="F1378" s="53"/>
      <c r="G1378" s="53"/>
      <c r="H1378" s="38">
        <f t="shared" si="12"/>
        <v>5</v>
      </c>
      <c r="I1378" s="38">
        <f t="shared" si="13"/>
        <v>3</v>
      </c>
      <c r="J1378" s="55"/>
    </row>
    <row r="1379" spans="1:10" ht="15" customHeight="1" x14ac:dyDescent="0.2">
      <c r="A1379" s="50">
        <f t="array" ref="A1379">+INDEX(Partidas!$A:$J,MATCH('Resultados dashboard'!$B1379,Partidas!$C:$C,0),2)</f>
        <v>45858</v>
      </c>
      <c r="B1379" s="56">
        <f>+IF(COUNTIF($B$2:B1378,B1378)=VLOOKUP(B1378,Partidas!$C:$J,8,0),B1378+1,B1378)</f>
        <v>303</v>
      </c>
      <c r="C1379" s="41" t="str">
        <f t="array" ref="C1379">+INDEX(Partidas!$A:$J,MATCH('Resultados dashboard'!$B1379,Partidas!$C:$C,0),3+COUNTIF($B$2:B1379,'Resultados dashboard'!$B1379))</f>
        <v>Moch</v>
      </c>
      <c r="D1379" s="54">
        <v>6</v>
      </c>
      <c r="E1379" s="54">
        <v>1</v>
      </c>
      <c r="F1379" s="53"/>
      <c r="G1379" s="54">
        <v>1</v>
      </c>
      <c r="H1379" s="38">
        <f t="shared" si="12"/>
        <v>9</v>
      </c>
      <c r="I1379" s="38">
        <f t="shared" si="13"/>
        <v>2</v>
      </c>
      <c r="J1379" s="55"/>
    </row>
    <row r="1380" spans="1:10" ht="15" customHeight="1" x14ac:dyDescent="0.2">
      <c r="A1380" s="50">
        <f t="array" ref="A1380">+INDEX(Partidas!$A:$J,MATCH('Resultados dashboard'!$B1380,Partidas!$C:$C,0),2)</f>
        <v>45858</v>
      </c>
      <c r="B1380" s="56">
        <f>+IF(COUNTIF($B$2:B1379,B1379)=VLOOKUP(B1379,Partidas!$C:$J,8,0),B1379+1,B1379)</f>
        <v>303</v>
      </c>
      <c r="C1380" s="41" t="str">
        <f t="array" ref="C1380">+INDEX(Partidas!$A:$J,MATCH('Resultados dashboard'!$B1380,Partidas!$C:$C,0),3+COUNTIF($B$2:B1380,'Resultados dashboard'!$B1380))</f>
        <v>Abegol</v>
      </c>
      <c r="D1380" s="54">
        <v>5</v>
      </c>
      <c r="E1380" s="53"/>
      <c r="F1380" s="53"/>
      <c r="G1380" s="53"/>
      <c r="H1380" s="38">
        <f t="shared" si="12"/>
        <v>5</v>
      </c>
      <c r="I1380" s="38">
        <f t="shared" si="13"/>
        <v>3</v>
      </c>
      <c r="J1380" s="55"/>
    </row>
    <row r="1381" spans="1:10" ht="15" customHeight="1" x14ac:dyDescent="0.2">
      <c r="A1381" s="50">
        <f t="array" ref="A1381">+INDEX(Partidas!$A:$J,MATCH('Resultados dashboard'!$B1381,Partidas!$C:$C,0),2)</f>
        <v>45858</v>
      </c>
      <c r="B1381" s="56">
        <f>+IF(COUNTIF($B$2:B1380,B1380)=VLOOKUP(B1380,Partidas!$C:$J,8,0),B1380+1,B1380)</f>
        <v>304</v>
      </c>
      <c r="C1381" s="41" t="str">
        <f t="array" ref="C1381">+INDEX(Partidas!$A:$J,MATCH('Resultados dashboard'!$B1381,Partidas!$C:$C,0),3+COUNTIF($B$2:B1381,'Resultados dashboard'!$B1381))</f>
        <v>Gallo</v>
      </c>
      <c r="D1381" s="54">
        <v>5</v>
      </c>
      <c r="E1381" s="53"/>
      <c r="F1381" s="53"/>
      <c r="G1381" s="53"/>
      <c r="H1381" s="38">
        <f t="shared" si="12"/>
        <v>5</v>
      </c>
      <c r="I1381" s="38">
        <f t="shared" si="13"/>
        <v>3</v>
      </c>
      <c r="J1381" s="55"/>
    </row>
    <row r="1382" spans="1:10" ht="15" customHeight="1" x14ac:dyDescent="0.2">
      <c r="A1382" s="50">
        <f t="array" ref="A1382">+INDEX(Partidas!$A:$J,MATCH('Resultados dashboard'!$B1382,Partidas!$C:$C,0),2)</f>
        <v>45858</v>
      </c>
      <c r="B1382" s="56">
        <f>+IF(COUNTIF($B$2:B1381,B1381)=VLOOKUP(B1381,Partidas!$C:$J,8,0),B1381+1,B1381)</f>
        <v>304</v>
      </c>
      <c r="C1382" s="41" t="str">
        <f t="array" ref="C1382">+INDEX(Partidas!$A:$J,MATCH('Resultados dashboard'!$B1382,Partidas!$C:$C,0),3+COUNTIF($B$2:B1382,'Resultados dashboard'!$B1382))</f>
        <v>Ivo</v>
      </c>
      <c r="D1382" s="54">
        <v>3</v>
      </c>
      <c r="E1382" s="53"/>
      <c r="F1382" s="53"/>
      <c r="G1382" s="54">
        <v>1</v>
      </c>
      <c r="H1382" s="38">
        <f t="shared" si="12"/>
        <v>5</v>
      </c>
      <c r="I1382" s="38">
        <f t="shared" si="13"/>
        <v>3</v>
      </c>
      <c r="J1382" s="55"/>
    </row>
    <row r="1383" spans="1:10" ht="15" customHeight="1" x14ac:dyDescent="0.2">
      <c r="A1383" s="50">
        <f t="array" ref="A1383">+INDEX(Partidas!$A:$J,MATCH('Resultados dashboard'!$B1383,Partidas!$C:$C,0),2)</f>
        <v>45858</v>
      </c>
      <c r="B1383" s="56">
        <f>+IF(COUNTIF($B$2:B1382,B1382)=VLOOKUP(B1382,Partidas!$C:$J,8,0),B1382+1,B1382)</f>
        <v>304</v>
      </c>
      <c r="C1383" s="41" t="str">
        <f t="array" ref="C1383">+INDEX(Partidas!$A:$J,MATCH('Resultados dashboard'!$B1383,Partidas!$C:$C,0),3+COUNTIF($B$2:B1383,'Resultados dashboard'!$B1383))</f>
        <v>Max</v>
      </c>
      <c r="D1383" s="54">
        <v>6</v>
      </c>
      <c r="E1383" s="54">
        <v>2</v>
      </c>
      <c r="F1383" s="54">
        <v>1</v>
      </c>
      <c r="G1383" s="53"/>
      <c r="H1383" s="38">
        <f t="shared" si="12"/>
        <v>10</v>
      </c>
      <c r="I1383" s="38">
        <f t="shared" si="13"/>
        <v>1</v>
      </c>
      <c r="J1383" s="55"/>
    </row>
    <row r="1384" spans="1:10" ht="15" customHeight="1" x14ac:dyDescent="0.2">
      <c r="A1384" s="50">
        <f t="array" ref="A1384">+INDEX(Partidas!$A:$J,MATCH('Resultados dashboard'!$B1384,Partidas!$C:$C,0),2)</f>
        <v>45858</v>
      </c>
      <c r="B1384" s="56">
        <f>+IF(COUNTIF($B$2:B1383,B1383)=VLOOKUP(B1383,Partidas!$C:$J,8,0),B1383+1,B1383)</f>
        <v>304</v>
      </c>
      <c r="C1384" s="41" t="str">
        <f t="array" ref="C1384">+INDEX(Partidas!$A:$J,MATCH('Resultados dashboard'!$B1384,Partidas!$C:$C,0),3+COUNTIF($B$2:B1384,'Resultados dashboard'!$B1384))</f>
        <v>Moch</v>
      </c>
      <c r="D1384" s="54">
        <v>6</v>
      </c>
      <c r="E1384" s="53"/>
      <c r="F1384" s="53"/>
      <c r="G1384" s="53"/>
      <c r="H1384" s="38">
        <f t="shared" si="12"/>
        <v>6</v>
      </c>
      <c r="I1384" s="38">
        <f t="shared" si="13"/>
        <v>2</v>
      </c>
      <c r="J1384" s="55"/>
    </row>
    <row r="1385" spans="1:10" ht="15" customHeight="1" x14ac:dyDescent="0.2">
      <c r="A1385" s="50">
        <f t="array" ref="A1385">+INDEX(Partidas!$A:$J,MATCH('Resultados dashboard'!$B1385,Partidas!$C:$C,0),2)</f>
        <v>45858</v>
      </c>
      <c r="B1385" s="56">
        <f>+IF(COUNTIF($B$2:B1384,B1384)=VLOOKUP(B1384,Partidas!$C:$J,8,0),B1384+1,B1384)</f>
        <v>305</v>
      </c>
      <c r="C1385" s="41" t="str">
        <f t="array" ref="C1385">+INDEX(Partidas!$A:$J,MATCH('Resultados dashboard'!$B1385,Partidas!$C:$C,0),3+COUNTIF($B$2:B1385,'Resultados dashboard'!$B1385))</f>
        <v>Gallo</v>
      </c>
      <c r="D1385" s="54">
        <v>7</v>
      </c>
      <c r="E1385" s="53"/>
      <c r="F1385" s="53"/>
      <c r="G1385" s="53"/>
      <c r="H1385" s="38">
        <f t="shared" si="12"/>
        <v>7</v>
      </c>
      <c r="I1385" s="38">
        <f t="shared" si="13"/>
        <v>3</v>
      </c>
      <c r="J1385" s="55"/>
    </row>
    <row r="1386" spans="1:10" ht="15" customHeight="1" x14ac:dyDescent="0.2">
      <c r="A1386" s="50">
        <f t="array" ref="A1386">+INDEX(Partidas!$A:$J,MATCH('Resultados dashboard'!$B1386,Partidas!$C:$C,0),2)</f>
        <v>45858</v>
      </c>
      <c r="B1386" s="56">
        <f>+IF(COUNTIF($B$2:B1385,B1385)=VLOOKUP(B1385,Partidas!$C:$J,8,0),B1385+1,B1385)</f>
        <v>305</v>
      </c>
      <c r="C1386" s="41" t="str">
        <f t="array" ref="C1386">+INDEX(Partidas!$A:$J,MATCH('Resultados dashboard'!$B1386,Partidas!$C:$C,0),3+COUNTIF($B$2:B1386,'Resultados dashboard'!$B1386))</f>
        <v>Ivo</v>
      </c>
      <c r="D1386" s="54">
        <v>5</v>
      </c>
      <c r="E1386" s="54">
        <v>1</v>
      </c>
      <c r="F1386" s="53"/>
      <c r="G1386" s="54">
        <v>1</v>
      </c>
      <c r="H1386" s="38">
        <f t="shared" si="12"/>
        <v>8</v>
      </c>
      <c r="I1386" s="38">
        <f t="shared" si="13"/>
        <v>2</v>
      </c>
      <c r="J1386" s="55"/>
    </row>
    <row r="1387" spans="1:10" ht="15" customHeight="1" x14ac:dyDescent="0.2">
      <c r="A1387" s="50">
        <f t="array" ref="A1387">+INDEX(Partidas!$A:$J,MATCH('Resultados dashboard'!$B1387,Partidas!$C:$C,0),2)</f>
        <v>45858</v>
      </c>
      <c r="B1387" s="56">
        <f>+IF(COUNTIF($B$2:B1386,B1386)=VLOOKUP(B1386,Partidas!$C:$J,8,0),B1386+1,B1386)</f>
        <v>305</v>
      </c>
      <c r="C1387" s="41" t="str">
        <f t="array" ref="C1387">+INDEX(Partidas!$A:$J,MATCH('Resultados dashboard'!$B1387,Partidas!$C:$C,0),3+COUNTIF($B$2:B1387,'Resultados dashboard'!$B1387))</f>
        <v>Max</v>
      </c>
      <c r="D1387" s="54">
        <v>5</v>
      </c>
      <c r="E1387" s="53"/>
      <c r="F1387" s="53"/>
      <c r="G1387" s="53"/>
      <c r="H1387" s="38">
        <f t="shared" si="12"/>
        <v>5</v>
      </c>
      <c r="I1387" s="38">
        <f t="shared" si="13"/>
        <v>4</v>
      </c>
      <c r="J1387" s="55"/>
    </row>
    <row r="1388" spans="1:10" ht="15" customHeight="1" x14ac:dyDescent="0.2">
      <c r="A1388" s="50">
        <f t="array" ref="A1388">+INDEX(Partidas!$A:$J,MATCH('Resultados dashboard'!$B1388,Partidas!$C:$C,0),2)</f>
        <v>45858</v>
      </c>
      <c r="B1388" s="56">
        <f>+IF(COUNTIF($B$2:B1387,B1387)=VLOOKUP(B1387,Partidas!$C:$J,8,0),B1387+1,B1387)</f>
        <v>305</v>
      </c>
      <c r="C1388" s="41" t="str">
        <f t="array" ref="C1388">+INDEX(Partidas!$A:$J,MATCH('Resultados dashboard'!$B1388,Partidas!$C:$C,0),3+COUNTIF($B$2:B1388,'Resultados dashboard'!$B1388))</f>
        <v>Moch</v>
      </c>
      <c r="D1388" s="54">
        <v>7</v>
      </c>
      <c r="E1388" s="54">
        <v>1</v>
      </c>
      <c r="F1388" s="54">
        <v>1</v>
      </c>
      <c r="G1388" s="53"/>
      <c r="H1388" s="38">
        <f t="shared" si="12"/>
        <v>10</v>
      </c>
      <c r="I1388" s="38">
        <f t="shared" si="13"/>
        <v>1</v>
      </c>
      <c r="J1388" s="55"/>
    </row>
    <row r="1389" spans="1:10" ht="15" customHeight="1" x14ac:dyDescent="0.2">
      <c r="A1389" s="50">
        <f t="array" ref="A1389">+INDEX(Partidas!$A:$J,MATCH('Resultados dashboard'!$B1389,Partidas!$C:$C,0),2)</f>
        <v>45858</v>
      </c>
      <c r="B1389" s="56">
        <f>+IF(COUNTIF($B$2:B1388,B1388)=VLOOKUP(B1388,Partidas!$C:$J,8,0),B1388+1,B1388)</f>
        <v>306</v>
      </c>
      <c r="C1389" s="41" t="str">
        <f t="array" ref="C1389">+INDEX(Partidas!$A:$J,MATCH('Resultados dashboard'!$B1389,Partidas!$C:$C,0),3+COUNTIF($B$2:B1389,'Resultados dashboard'!$B1389))</f>
        <v>Gallo</v>
      </c>
      <c r="D1389" s="54">
        <v>9</v>
      </c>
      <c r="E1389" s="54">
        <v>1</v>
      </c>
      <c r="F1389" s="53"/>
      <c r="G1389" s="53"/>
      <c r="H1389" s="38">
        <f t="shared" si="12"/>
        <v>10</v>
      </c>
      <c r="I1389" s="38">
        <f t="shared" si="13"/>
        <v>1</v>
      </c>
      <c r="J1389" s="55"/>
    </row>
    <row r="1390" spans="1:10" ht="15" customHeight="1" x14ac:dyDescent="0.2">
      <c r="A1390" s="50">
        <f t="array" ref="A1390">+INDEX(Partidas!$A:$J,MATCH('Resultados dashboard'!$B1390,Partidas!$C:$C,0),2)</f>
        <v>45858</v>
      </c>
      <c r="B1390" s="56">
        <f>+IF(COUNTIF($B$2:B1389,B1389)=VLOOKUP(B1389,Partidas!$C:$J,8,0),B1389+1,B1389)</f>
        <v>306</v>
      </c>
      <c r="C1390" s="41" t="str">
        <f t="array" ref="C1390">+INDEX(Partidas!$A:$J,MATCH('Resultados dashboard'!$B1390,Partidas!$C:$C,0),3+COUNTIF($B$2:B1390,'Resultados dashboard'!$B1390))</f>
        <v>Ivo</v>
      </c>
      <c r="D1390" s="54">
        <v>4</v>
      </c>
      <c r="E1390" s="54">
        <v>3</v>
      </c>
      <c r="F1390" s="53"/>
      <c r="G1390" s="53"/>
      <c r="H1390" s="38">
        <f t="shared" si="12"/>
        <v>7</v>
      </c>
      <c r="I1390" s="38">
        <f t="shared" si="13"/>
        <v>3</v>
      </c>
      <c r="J1390" s="55"/>
    </row>
    <row r="1391" spans="1:10" ht="15" customHeight="1" x14ac:dyDescent="0.2">
      <c r="A1391" s="50">
        <f t="array" ref="A1391">+INDEX(Partidas!$A:$J,MATCH('Resultados dashboard'!$B1391,Partidas!$C:$C,0),2)</f>
        <v>45858</v>
      </c>
      <c r="B1391" s="56">
        <f>+IF(COUNTIF($B$2:B1390,B1390)=VLOOKUP(B1390,Partidas!$C:$J,8,0),B1390+1,B1390)</f>
        <v>306</v>
      </c>
      <c r="C1391" s="41" t="str">
        <f t="array" ref="C1391">+INDEX(Partidas!$A:$J,MATCH('Resultados dashboard'!$B1391,Partidas!$C:$C,0),3+COUNTIF($B$2:B1391,'Resultados dashboard'!$B1391))</f>
        <v>Max</v>
      </c>
      <c r="D1391" s="54">
        <v>6</v>
      </c>
      <c r="E1391" s="53"/>
      <c r="F1391" s="53"/>
      <c r="G1391" s="54">
        <v>1</v>
      </c>
      <c r="H1391" s="38">
        <f t="shared" si="12"/>
        <v>8</v>
      </c>
      <c r="I1391" s="38">
        <f t="shared" si="13"/>
        <v>2</v>
      </c>
      <c r="J1391" s="55"/>
    </row>
    <row r="1392" spans="1:10" ht="15" customHeight="1" x14ac:dyDescent="0.2">
      <c r="A1392" s="50">
        <f t="array" ref="A1392">+INDEX(Partidas!$A:$J,MATCH('Resultados dashboard'!$B1392,Partidas!$C:$C,0),2)</f>
        <v>45858</v>
      </c>
      <c r="B1392" s="56">
        <f>+IF(COUNTIF($B$2:B1391,B1391)=VLOOKUP(B1391,Partidas!$C:$J,8,0),B1391+1,B1391)</f>
        <v>306</v>
      </c>
      <c r="C1392" s="41" t="str">
        <f t="array" ref="C1392">+INDEX(Partidas!$A:$J,MATCH('Resultados dashboard'!$B1392,Partidas!$C:$C,0),3+COUNTIF($B$2:B1392,'Resultados dashboard'!$B1392))</f>
        <v>Moch</v>
      </c>
      <c r="D1392" s="54">
        <v>5</v>
      </c>
      <c r="E1392" s="53"/>
      <c r="F1392" s="54">
        <v>1</v>
      </c>
      <c r="G1392" s="53"/>
      <c r="H1392" s="38">
        <f t="shared" si="12"/>
        <v>7</v>
      </c>
      <c r="I1392" s="38">
        <f t="shared" si="13"/>
        <v>3</v>
      </c>
      <c r="J1392" s="55"/>
    </row>
    <row r="1393" spans="1:10" ht="15" customHeight="1" x14ac:dyDescent="0.2">
      <c r="A1393" s="50">
        <f t="array" ref="A1393">+INDEX(Partidas!$A:$J,MATCH('Resultados dashboard'!$B1393,Partidas!$C:$C,0),2)</f>
        <v>45860</v>
      </c>
      <c r="B1393" s="56">
        <f>+IF(COUNTIF($B$2:B1392,B1392)=VLOOKUP(B1392,Partidas!$C:$J,8,0),B1392+1,B1392)</f>
        <v>307</v>
      </c>
      <c r="C1393" s="41" t="str">
        <f t="array" ref="C1393">+INDEX(Partidas!$A:$J,MATCH('Resultados dashboard'!$B1393,Partidas!$C:$C,0),3+COUNTIF($B$2:B1393,'Resultados dashboard'!$B1393))</f>
        <v>Gallo</v>
      </c>
      <c r="D1393" s="54">
        <v>5</v>
      </c>
      <c r="E1393" s="53"/>
      <c r="F1393" s="53"/>
      <c r="G1393" s="53"/>
      <c r="H1393" s="38">
        <f t="shared" si="12"/>
        <v>5</v>
      </c>
      <c r="I1393" s="38">
        <f t="shared" si="13"/>
        <v>4</v>
      </c>
      <c r="J1393" s="55"/>
    </row>
    <row r="1394" spans="1:10" ht="15" customHeight="1" x14ac:dyDescent="0.2">
      <c r="A1394" s="50">
        <f t="array" ref="A1394">+INDEX(Partidas!$A:$J,MATCH('Resultados dashboard'!$B1394,Partidas!$C:$C,0),2)</f>
        <v>45860</v>
      </c>
      <c r="B1394" s="56">
        <f>+IF(COUNTIF($B$2:B1393,B1393)=VLOOKUP(B1393,Partidas!$C:$J,8,0),B1393+1,B1393)</f>
        <v>307</v>
      </c>
      <c r="C1394" s="41" t="str">
        <f t="array" ref="C1394">+INDEX(Partidas!$A:$J,MATCH('Resultados dashboard'!$B1394,Partidas!$C:$C,0),3+COUNTIF($B$2:B1394,'Resultados dashboard'!$B1394))</f>
        <v>Ivo</v>
      </c>
      <c r="D1394" s="54">
        <v>5</v>
      </c>
      <c r="E1394" s="54">
        <v>2</v>
      </c>
      <c r="F1394" s="53"/>
      <c r="G1394" s="53"/>
      <c r="H1394" s="38">
        <f t="shared" si="12"/>
        <v>7</v>
      </c>
      <c r="I1394" s="38">
        <f t="shared" si="13"/>
        <v>2</v>
      </c>
      <c r="J1394" s="55"/>
    </row>
    <row r="1395" spans="1:10" ht="15" customHeight="1" x14ac:dyDescent="0.2">
      <c r="A1395" s="50">
        <f t="array" ref="A1395">+INDEX(Partidas!$A:$J,MATCH('Resultados dashboard'!$B1395,Partidas!$C:$C,0),2)</f>
        <v>45860</v>
      </c>
      <c r="B1395" s="56">
        <f>+IF(COUNTIF($B$2:B1394,B1394)=VLOOKUP(B1394,Partidas!$C:$J,8,0),B1394+1,B1394)</f>
        <v>307</v>
      </c>
      <c r="C1395" s="41" t="str">
        <f t="array" ref="C1395">+INDEX(Partidas!$A:$J,MATCH('Resultados dashboard'!$B1395,Partidas!$C:$C,0),3+COUNTIF($B$2:B1395,'Resultados dashboard'!$B1395))</f>
        <v>Max</v>
      </c>
      <c r="D1395" s="54">
        <v>4</v>
      </c>
      <c r="E1395" s="54">
        <v>2</v>
      </c>
      <c r="F1395" s="54">
        <v>1</v>
      </c>
      <c r="G1395" s="54">
        <v>1</v>
      </c>
      <c r="H1395" s="38">
        <f t="shared" si="12"/>
        <v>10</v>
      </c>
      <c r="I1395" s="38">
        <f t="shared" si="13"/>
        <v>1</v>
      </c>
      <c r="J1395" s="55"/>
    </row>
    <row r="1396" spans="1:10" ht="15" customHeight="1" x14ac:dyDescent="0.2">
      <c r="A1396" s="50">
        <f t="array" ref="A1396">+INDEX(Partidas!$A:$J,MATCH('Resultados dashboard'!$B1396,Partidas!$C:$C,0),2)</f>
        <v>45860</v>
      </c>
      <c r="B1396" s="56">
        <f>+IF(COUNTIF($B$2:B1395,B1395)=VLOOKUP(B1395,Partidas!$C:$J,8,0),B1395+1,B1395)</f>
        <v>307</v>
      </c>
      <c r="C1396" s="41" t="str">
        <f t="array" ref="C1396">+INDEX(Partidas!$A:$J,MATCH('Resultados dashboard'!$B1396,Partidas!$C:$C,0),3+COUNTIF($B$2:B1396,'Resultados dashboard'!$B1396))</f>
        <v>Hugo</v>
      </c>
      <c r="D1396" s="54">
        <v>6</v>
      </c>
      <c r="E1396" s="53"/>
      <c r="F1396" s="53"/>
      <c r="G1396" s="53"/>
      <c r="H1396" s="38">
        <f t="shared" si="12"/>
        <v>6</v>
      </c>
      <c r="I1396" s="38">
        <f t="shared" si="13"/>
        <v>3</v>
      </c>
      <c r="J1396" s="55"/>
    </row>
    <row r="1397" spans="1:10" ht="15" customHeight="1" x14ac:dyDescent="0.2">
      <c r="A1397" s="50">
        <f t="array" ref="A1397">+INDEX(Partidas!$A:$J,MATCH('Resultados dashboard'!$B1397,Partidas!$C:$C,0),2)</f>
        <v>45860</v>
      </c>
      <c r="B1397" s="56">
        <f>+IF(COUNTIF($B$2:B1396,B1396)=VLOOKUP(B1396,Partidas!$C:$J,8,0),B1396+1,B1396)</f>
        <v>308</v>
      </c>
      <c r="C1397" s="41" t="str">
        <f t="array" ref="C1397">+INDEX(Partidas!$A:$J,MATCH('Resultados dashboard'!$B1397,Partidas!$C:$C,0),3+COUNTIF($B$2:B1397,'Resultados dashboard'!$B1397))</f>
        <v>Gallo</v>
      </c>
      <c r="D1397" s="54">
        <v>6</v>
      </c>
      <c r="E1397" s="54">
        <v>1</v>
      </c>
      <c r="F1397" s="54">
        <v>1</v>
      </c>
      <c r="G1397" s="53"/>
      <c r="H1397" s="38">
        <f t="shared" si="12"/>
        <v>9</v>
      </c>
      <c r="I1397" s="38">
        <f t="shared" si="13"/>
        <v>2</v>
      </c>
      <c r="J1397" s="55"/>
    </row>
    <row r="1398" spans="1:10" ht="15" customHeight="1" x14ac:dyDescent="0.2">
      <c r="A1398" s="50">
        <f t="array" ref="A1398">+INDEX(Partidas!$A:$J,MATCH('Resultados dashboard'!$B1398,Partidas!$C:$C,0),2)</f>
        <v>45860</v>
      </c>
      <c r="B1398" s="56">
        <f>+IF(COUNTIF($B$2:B1397,B1397)=VLOOKUP(B1397,Partidas!$C:$J,8,0),B1397+1,B1397)</f>
        <v>308</v>
      </c>
      <c r="C1398" s="41" t="str">
        <f t="array" ref="C1398">+INDEX(Partidas!$A:$J,MATCH('Resultados dashboard'!$B1398,Partidas!$C:$C,0),3+COUNTIF($B$2:B1398,'Resultados dashboard'!$B1398))</f>
        <v>Ivo</v>
      </c>
      <c r="D1398" s="54">
        <v>6</v>
      </c>
      <c r="E1398" s="54">
        <v>1</v>
      </c>
      <c r="F1398" s="53"/>
      <c r="G1398" s="53"/>
      <c r="H1398" s="38">
        <f t="shared" si="12"/>
        <v>7</v>
      </c>
      <c r="I1398" s="38">
        <f t="shared" si="13"/>
        <v>3</v>
      </c>
      <c r="J1398" s="55"/>
    </row>
    <row r="1399" spans="1:10" ht="15" customHeight="1" x14ac:dyDescent="0.2">
      <c r="A1399" s="50">
        <f t="array" ref="A1399">+INDEX(Partidas!$A:$J,MATCH('Resultados dashboard'!$B1399,Partidas!$C:$C,0),2)</f>
        <v>45860</v>
      </c>
      <c r="B1399" s="56">
        <f>+IF(COUNTIF($B$2:B1398,B1398)=VLOOKUP(B1398,Partidas!$C:$J,8,0),B1398+1,B1398)</f>
        <v>308</v>
      </c>
      <c r="C1399" s="41" t="str">
        <f t="array" ref="C1399">+INDEX(Partidas!$A:$J,MATCH('Resultados dashboard'!$B1399,Partidas!$C:$C,0),3+COUNTIF($B$2:B1399,'Resultados dashboard'!$B1399))</f>
        <v>Max</v>
      </c>
      <c r="D1399" s="54">
        <v>7</v>
      </c>
      <c r="E1399" s="54">
        <v>3</v>
      </c>
      <c r="F1399" s="53"/>
      <c r="G1399" s="53"/>
      <c r="H1399" s="38">
        <f t="shared" si="12"/>
        <v>10</v>
      </c>
      <c r="I1399" s="38">
        <f t="shared" si="13"/>
        <v>1</v>
      </c>
      <c r="J1399" s="55"/>
    </row>
    <row r="1400" spans="1:10" ht="15" customHeight="1" x14ac:dyDescent="0.2">
      <c r="A1400" s="50">
        <f t="array" ref="A1400">+INDEX(Partidas!$A:$J,MATCH('Resultados dashboard'!$B1400,Partidas!$C:$C,0),2)</f>
        <v>45860</v>
      </c>
      <c r="B1400" s="56">
        <f>+IF(COUNTIF($B$2:B1399,B1399)=VLOOKUP(B1399,Partidas!$C:$J,8,0),B1399+1,B1399)</f>
        <v>308</v>
      </c>
      <c r="C1400" s="41" t="str">
        <f t="array" ref="C1400">+INDEX(Partidas!$A:$J,MATCH('Resultados dashboard'!$B1400,Partidas!$C:$C,0),3+COUNTIF($B$2:B1400,'Resultados dashboard'!$B1400))</f>
        <v>Hugo</v>
      </c>
      <c r="D1400" s="54">
        <v>5</v>
      </c>
      <c r="E1400" s="53"/>
      <c r="F1400" s="53"/>
      <c r="G1400" s="54">
        <v>1</v>
      </c>
      <c r="H1400" s="38">
        <f t="shared" si="12"/>
        <v>7</v>
      </c>
      <c r="I1400" s="38">
        <f t="shared" si="13"/>
        <v>3</v>
      </c>
      <c r="J1400" s="55"/>
    </row>
    <row r="1401" spans="1:10" ht="15" customHeight="1" x14ac:dyDescent="0.2">
      <c r="A1401" s="50">
        <f t="array" ref="A1401">+INDEX(Partidas!$A:$J,MATCH('Resultados dashboard'!$B1401,Partidas!$C:$C,0),2)</f>
        <v>45860</v>
      </c>
      <c r="B1401" s="56">
        <f>+IF(COUNTIF($B$2:B1400,B1400)=VLOOKUP(B1400,Partidas!$C:$J,8,0),B1400+1,B1400)</f>
        <v>309</v>
      </c>
      <c r="C1401" s="41" t="str">
        <f t="array" ref="C1401">+INDEX(Partidas!$A:$J,MATCH('Resultados dashboard'!$B1401,Partidas!$C:$C,0),3+COUNTIF($B$2:B1401,'Resultados dashboard'!$B1401))</f>
        <v>Gallo</v>
      </c>
      <c r="D1401" s="54">
        <v>8</v>
      </c>
      <c r="E1401" s="54">
        <v>1</v>
      </c>
      <c r="F1401" s="53"/>
      <c r="G1401" s="53"/>
      <c r="H1401" s="38">
        <f t="shared" si="12"/>
        <v>9</v>
      </c>
      <c r="I1401" s="38">
        <f t="shared" si="13"/>
        <v>2</v>
      </c>
      <c r="J1401" s="55"/>
    </row>
    <row r="1402" spans="1:10" ht="15" customHeight="1" x14ac:dyDescent="0.2">
      <c r="A1402" s="50">
        <f t="array" ref="A1402">+INDEX(Partidas!$A:$J,MATCH('Resultados dashboard'!$B1402,Partidas!$C:$C,0),2)</f>
        <v>45860</v>
      </c>
      <c r="B1402" s="56">
        <f>+IF(COUNTIF($B$2:B1401,B1401)=VLOOKUP(B1401,Partidas!$C:$J,8,0),B1401+1,B1401)</f>
        <v>309</v>
      </c>
      <c r="C1402" s="41" t="str">
        <f t="array" ref="C1402">+INDEX(Partidas!$A:$J,MATCH('Resultados dashboard'!$B1402,Partidas!$C:$C,0),3+COUNTIF($B$2:B1402,'Resultados dashboard'!$B1402))</f>
        <v>Ivo</v>
      </c>
      <c r="D1402" s="54">
        <v>7</v>
      </c>
      <c r="E1402" s="54">
        <v>1</v>
      </c>
      <c r="F1402" s="54">
        <v>1</v>
      </c>
      <c r="G1402" s="53"/>
      <c r="H1402" s="38">
        <f t="shared" si="12"/>
        <v>10</v>
      </c>
      <c r="I1402" s="38">
        <f t="shared" si="13"/>
        <v>1</v>
      </c>
      <c r="J1402" s="55"/>
    </row>
    <row r="1403" spans="1:10" ht="15" customHeight="1" x14ac:dyDescent="0.2">
      <c r="A1403" s="50">
        <f t="array" ref="A1403">+INDEX(Partidas!$A:$J,MATCH('Resultados dashboard'!$B1403,Partidas!$C:$C,0),2)</f>
        <v>45860</v>
      </c>
      <c r="B1403" s="56">
        <f>+IF(COUNTIF($B$2:B1402,B1402)=VLOOKUP(B1402,Partidas!$C:$J,8,0),B1402+1,B1402)</f>
        <v>309</v>
      </c>
      <c r="C1403" s="41" t="str">
        <f t="array" ref="C1403">+INDEX(Partidas!$A:$J,MATCH('Resultados dashboard'!$B1403,Partidas!$C:$C,0),3+COUNTIF($B$2:B1403,'Resultados dashboard'!$B1403))</f>
        <v>Max</v>
      </c>
      <c r="D1403" s="54">
        <v>6</v>
      </c>
      <c r="E1403" s="54">
        <v>1</v>
      </c>
      <c r="F1403" s="53"/>
      <c r="G1403" s="54">
        <v>1</v>
      </c>
      <c r="H1403" s="38">
        <f t="shared" si="12"/>
        <v>9</v>
      </c>
      <c r="I1403" s="38">
        <f t="shared" si="13"/>
        <v>2</v>
      </c>
      <c r="J1403" s="55"/>
    </row>
    <row r="1404" spans="1:10" ht="15" customHeight="1" x14ac:dyDescent="0.2">
      <c r="A1404" s="50">
        <f t="array" ref="A1404">+INDEX(Partidas!$A:$J,MATCH('Resultados dashboard'!$B1404,Partidas!$C:$C,0),2)</f>
        <v>45860</v>
      </c>
      <c r="B1404" s="56">
        <f>+IF(COUNTIF($B$2:B1403,B1403)=VLOOKUP(B1403,Partidas!$C:$J,8,0),B1403+1,B1403)</f>
        <v>309</v>
      </c>
      <c r="C1404" s="41" t="str">
        <f t="array" ref="C1404">+INDEX(Partidas!$A:$J,MATCH('Resultados dashboard'!$B1404,Partidas!$C:$C,0),3+COUNTIF($B$2:B1404,'Resultados dashboard'!$B1404))</f>
        <v>Hugo</v>
      </c>
      <c r="D1404" s="54">
        <v>9</v>
      </c>
      <c r="E1404" s="53"/>
      <c r="F1404" s="53"/>
      <c r="G1404" s="53"/>
      <c r="H1404" s="38">
        <f t="shared" si="12"/>
        <v>9</v>
      </c>
      <c r="I1404" s="38">
        <f t="shared" si="13"/>
        <v>2</v>
      </c>
      <c r="J1404" s="55"/>
    </row>
    <row r="1405" spans="1:10" ht="15" customHeight="1" x14ac:dyDescent="0.2">
      <c r="A1405" s="50">
        <f t="array" ref="A1405">+INDEX(Partidas!$A:$J,MATCH('Resultados dashboard'!$B1405,Partidas!$C:$C,0),2)</f>
        <v>45865</v>
      </c>
      <c r="B1405" s="56">
        <f>+IF(COUNTIF($B$2:B1404,B1404)=VLOOKUP(B1404,Partidas!$C:$J,8,0),B1404+1,B1404)</f>
        <v>310</v>
      </c>
      <c r="C1405" s="41" t="str">
        <f t="array" ref="C1405">+INDEX(Partidas!$A:$J,MATCH('Resultados dashboard'!$B1405,Partidas!$C:$C,0),3+COUNTIF($B$2:B1405,'Resultados dashboard'!$B1405))</f>
        <v>Ivo</v>
      </c>
      <c r="D1405" s="54">
        <v>5</v>
      </c>
      <c r="E1405" s="53"/>
      <c r="F1405" s="53"/>
      <c r="G1405" s="54">
        <v>1</v>
      </c>
      <c r="H1405" s="38">
        <f t="shared" si="12"/>
        <v>7</v>
      </c>
      <c r="I1405" s="38">
        <f t="shared" si="13"/>
        <v>2</v>
      </c>
      <c r="J1405" s="55"/>
    </row>
    <row r="1406" spans="1:10" ht="15" customHeight="1" x14ac:dyDescent="0.2">
      <c r="A1406" s="50">
        <f t="array" ref="A1406">+INDEX(Partidas!$A:$J,MATCH('Resultados dashboard'!$B1406,Partidas!$C:$C,0),2)</f>
        <v>45865</v>
      </c>
      <c r="B1406" s="56">
        <f>+IF(COUNTIF($B$2:B1405,B1405)=VLOOKUP(B1405,Partidas!$C:$J,8,0),B1405+1,B1405)</f>
        <v>310</v>
      </c>
      <c r="C1406" s="41" t="str">
        <f t="array" ref="C1406">+INDEX(Partidas!$A:$J,MATCH('Resultados dashboard'!$B1406,Partidas!$C:$C,0),3+COUNTIF($B$2:B1406,'Resultados dashboard'!$B1406))</f>
        <v>Max</v>
      </c>
      <c r="D1406" s="54">
        <v>7</v>
      </c>
      <c r="E1406" s="53"/>
      <c r="F1406" s="53"/>
      <c r="G1406" s="53"/>
      <c r="H1406" s="38">
        <f t="shared" si="12"/>
        <v>7</v>
      </c>
      <c r="I1406" s="38">
        <f t="shared" si="13"/>
        <v>2</v>
      </c>
      <c r="J1406" s="55"/>
    </row>
    <row r="1407" spans="1:10" ht="15" customHeight="1" x14ac:dyDescent="0.2">
      <c r="A1407" s="50">
        <f t="array" ref="A1407">+INDEX(Partidas!$A:$J,MATCH('Resultados dashboard'!$B1407,Partidas!$C:$C,0),2)</f>
        <v>45865</v>
      </c>
      <c r="B1407" s="56">
        <f>+IF(COUNTIF($B$2:B1406,B1406)=VLOOKUP(B1406,Partidas!$C:$J,8,0),B1406+1,B1406)</f>
        <v>310</v>
      </c>
      <c r="C1407" s="41" t="str">
        <f t="array" ref="C1407">+INDEX(Partidas!$A:$J,MATCH('Resultados dashboard'!$B1407,Partidas!$C:$C,0),3+COUNTIF($B$2:B1407,'Resultados dashboard'!$B1407))</f>
        <v>Moch</v>
      </c>
      <c r="D1407" s="54">
        <v>4</v>
      </c>
      <c r="E1407" s="54">
        <v>1</v>
      </c>
      <c r="F1407" s="53"/>
      <c r="G1407" s="53"/>
      <c r="H1407" s="38">
        <f t="shared" si="12"/>
        <v>5</v>
      </c>
      <c r="I1407" s="38">
        <f t="shared" si="13"/>
        <v>4</v>
      </c>
      <c r="J1407" s="55"/>
    </row>
    <row r="1408" spans="1:10" ht="15" customHeight="1" x14ac:dyDescent="0.2">
      <c r="A1408" s="50">
        <f t="array" ref="A1408">+INDEX(Partidas!$A:$J,MATCH('Resultados dashboard'!$B1408,Partidas!$C:$C,0),2)</f>
        <v>45865</v>
      </c>
      <c r="B1408" s="56">
        <f>+IF(COUNTIF($B$2:B1407,B1407)=VLOOKUP(B1407,Partidas!$C:$J,8,0),B1407+1,B1407)</f>
        <v>310</v>
      </c>
      <c r="C1408" s="41" t="str">
        <f t="array" ref="C1408">+INDEX(Partidas!$A:$J,MATCH('Resultados dashboard'!$B1408,Partidas!$C:$C,0),3+COUNTIF($B$2:B1408,'Resultados dashboard'!$B1408))</f>
        <v>Abegol</v>
      </c>
      <c r="D1408" s="54">
        <v>7</v>
      </c>
      <c r="E1408" s="54">
        <v>3</v>
      </c>
      <c r="F1408" s="53"/>
      <c r="G1408" s="53"/>
      <c r="H1408" s="38">
        <f t="shared" si="12"/>
        <v>10</v>
      </c>
      <c r="I1408" s="38">
        <f t="shared" si="13"/>
        <v>1</v>
      </c>
      <c r="J1408" s="55"/>
    </row>
    <row r="1409" spans="1:10" ht="15" customHeight="1" x14ac:dyDescent="0.2">
      <c r="A1409" s="50">
        <f t="array" ref="A1409">+INDEX(Partidas!$A:$J,MATCH('Resultados dashboard'!$B1409,Partidas!$C:$C,0),2)</f>
        <v>45865</v>
      </c>
      <c r="B1409" s="56">
        <f>+IF(COUNTIF($B$2:B1408,B1408)=VLOOKUP(B1408,Partidas!$C:$J,8,0),B1408+1,B1408)</f>
        <v>311</v>
      </c>
      <c r="C1409" s="41" t="str">
        <f t="array" ref="C1409">+INDEX(Partidas!$A:$J,MATCH('Resultados dashboard'!$B1409,Partidas!$C:$C,0),3+COUNTIF($B$2:B1409,'Resultados dashboard'!$B1409))</f>
        <v>Ivo</v>
      </c>
      <c r="D1409" s="54">
        <v>4</v>
      </c>
      <c r="E1409" s="54">
        <v>3</v>
      </c>
      <c r="F1409" s="53"/>
      <c r="G1409" s="53"/>
      <c r="H1409" s="38">
        <f t="shared" si="12"/>
        <v>7</v>
      </c>
      <c r="I1409" s="38">
        <f t="shared" si="13"/>
        <v>2</v>
      </c>
      <c r="J1409" s="55"/>
    </row>
    <row r="1410" spans="1:10" ht="15" customHeight="1" x14ac:dyDescent="0.2">
      <c r="A1410" s="50">
        <f t="array" ref="A1410">+INDEX(Partidas!$A:$J,MATCH('Resultados dashboard'!$B1410,Partidas!$C:$C,0),2)</f>
        <v>45865</v>
      </c>
      <c r="B1410" s="56">
        <f>+IF(COUNTIF($B$2:B1409,B1409)=VLOOKUP(B1409,Partidas!$C:$J,8,0),B1409+1,B1409)</f>
        <v>311</v>
      </c>
      <c r="C1410" s="41" t="str">
        <f t="array" ref="C1410">+INDEX(Partidas!$A:$J,MATCH('Resultados dashboard'!$B1410,Partidas!$C:$C,0),3+COUNTIF($B$2:B1410,'Resultados dashboard'!$B1410))</f>
        <v>Max</v>
      </c>
      <c r="D1410" s="54">
        <v>8</v>
      </c>
      <c r="E1410" s="53"/>
      <c r="F1410" s="53"/>
      <c r="G1410" s="54">
        <v>1</v>
      </c>
      <c r="H1410" s="38">
        <f t="shared" si="12"/>
        <v>10</v>
      </c>
      <c r="I1410" s="38">
        <f t="shared" si="13"/>
        <v>1</v>
      </c>
      <c r="J1410" s="55"/>
    </row>
    <row r="1411" spans="1:10" ht="15" customHeight="1" x14ac:dyDescent="0.2">
      <c r="A1411" s="50">
        <f t="array" ref="A1411">+INDEX(Partidas!$A:$J,MATCH('Resultados dashboard'!$B1411,Partidas!$C:$C,0),2)</f>
        <v>45865</v>
      </c>
      <c r="B1411" s="56">
        <f>+IF(COUNTIF($B$2:B1410,B1410)=VLOOKUP(B1410,Partidas!$C:$J,8,0),B1410+1,B1410)</f>
        <v>311</v>
      </c>
      <c r="C1411" s="41" t="str">
        <f t="array" ref="C1411">+INDEX(Partidas!$A:$J,MATCH('Resultados dashboard'!$B1411,Partidas!$C:$C,0),3+COUNTIF($B$2:B1411,'Resultados dashboard'!$B1411))</f>
        <v>Moch</v>
      </c>
      <c r="D1411" s="54">
        <v>5</v>
      </c>
      <c r="E1411" s="53"/>
      <c r="F1411" s="53"/>
      <c r="G1411" s="53"/>
      <c r="H1411" s="38">
        <f t="shared" si="12"/>
        <v>5</v>
      </c>
      <c r="I1411" s="38">
        <f t="shared" si="13"/>
        <v>4</v>
      </c>
      <c r="J1411" s="55"/>
    </row>
    <row r="1412" spans="1:10" ht="15" customHeight="1" x14ac:dyDescent="0.2">
      <c r="A1412" s="50">
        <f t="array" ref="A1412">+INDEX(Partidas!$A:$J,MATCH('Resultados dashboard'!$B1412,Partidas!$C:$C,0),2)</f>
        <v>45865</v>
      </c>
      <c r="B1412" s="56">
        <f>+IF(COUNTIF($B$2:B1411,B1411)=VLOOKUP(B1411,Partidas!$C:$J,8,0),B1411+1,B1411)</f>
        <v>311</v>
      </c>
      <c r="C1412" s="41" t="str">
        <f t="array" ref="C1412">+INDEX(Partidas!$A:$J,MATCH('Resultados dashboard'!$B1412,Partidas!$C:$C,0),3+COUNTIF($B$2:B1412,'Resultados dashboard'!$B1412))</f>
        <v>Abegol</v>
      </c>
      <c r="D1412" s="54">
        <v>5</v>
      </c>
      <c r="E1412" s="53"/>
      <c r="F1412" s="54">
        <v>1</v>
      </c>
      <c r="G1412" s="53"/>
      <c r="H1412" s="38">
        <f t="shared" si="12"/>
        <v>7</v>
      </c>
      <c r="I1412" s="38">
        <f t="shared" si="13"/>
        <v>2</v>
      </c>
      <c r="J1412" s="55"/>
    </row>
    <row r="1413" spans="1:10" ht="15" customHeight="1" x14ac:dyDescent="0.2">
      <c r="A1413" s="50">
        <f t="array" ref="A1413">+INDEX(Partidas!$A:$J,MATCH('Resultados dashboard'!$B1413,Partidas!$C:$C,0),2)</f>
        <v>45865</v>
      </c>
      <c r="B1413" s="56">
        <f>+IF(COUNTIF($B$2:B1412,B1412)=VLOOKUP(B1412,Partidas!$C:$J,8,0),B1412+1,B1412)</f>
        <v>312</v>
      </c>
      <c r="C1413" s="41" t="str">
        <f t="array" ref="C1413">+INDEX(Partidas!$A:$J,MATCH('Resultados dashboard'!$B1413,Partidas!$C:$C,0),3+COUNTIF($B$2:B1413,'Resultados dashboard'!$B1413))</f>
        <v>Ivo</v>
      </c>
      <c r="D1413" s="54">
        <v>7</v>
      </c>
      <c r="E1413" s="54">
        <v>1</v>
      </c>
      <c r="F1413" s="53"/>
      <c r="G1413" s="53"/>
      <c r="H1413" s="38">
        <f t="shared" si="12"/>
        <v>8</v>
      </c>
      <c r="I1413" s="38">
        <f t="shared" si="13"/>
        <v>2</v>
      </c>
      <c r="J1413" s="55"/>
    </row>
    <row r="1414" spans="1:10" ht="15" customHeight="1" x14ac:dyDescent="0.2">
      <c r="A1414" s="50">
        <f t="array" ref="A1414">+INDEX(Partidas!$A:$J,MATCH('Resultados dashboard'!$B1414,Partidas!$C:$C,0),2)</f>
        <v>45865</v>
      </c>
      <c r="B1414" s="56">
        <f>+IF(COUNTIF($B$2:B1413,B1413)=VLOOKUP(B1413,Partidas!$C:$J,8,0),B1413+1,B1413)</f>
        <v>312</v>
      </c>
      <c r="C1414" s="41" t="str">
        <f t="array" ref="C1414">+INDEX(Partidas!$A:$J,MATCH('Resultados dashboard'!$B1414,Partidas!$C:$C,0),3+COUNTIF($B$2:B1414,'Resultados dashboard'!$B1414))</f>
        <v>Max</v>
      </c>
      <c r="D1414" s="54">
        <v>8</v>
      </c>
      <c r="E1414" s="53"/>
      <c r="F1414" s="53"/>
      <c r="G1414" s="53"/>
      <c r="H1414" s="38">
        <f t="shared" si="12"/>
        <v>8</v>
      </c>
      <c r="I1414" s="38">
        <f t="shared" si="13"/>
        <v>2</v>
      </c>
      <c r="J1414" s="55"/>
    </row>
    <row r="1415" spans="1:10" ht="15" customHeight="1" x14ac:dyDescent="0.2">
      <c r="A1415" s="50">
        <f t="array" ref="A1415">+INDEX(Partidas!$A:$J,MATCH('Resultados dashboard'!$B1415,Partidas!$C:$C,0),2)</f>
        <v>45865</v>
      </c>
      <c r="B1415" s="56">
        <f>+IF(COUNTIF($B$2:B1414,B1414)=VLOOKUP(B1414,Partidas!$C:$J,8,0),B1414+1,B1414)</f>
        <v>312</v>
      </c>
      <c r="C1415" s="41" t="str">
        <f t="array" ref="C1415">+INDEX(Partidas!$A:$J,MATCH('Resultados dashboard'!$B1415,Partidas!$C:$C,0),3+COUNTIF($B$2:B1415,'Resultados dashboard'!$B1415))</f>
        <v>Moch</v>
      </c>
      <c r="D1415" s="54">
        <v>5</v>
      </c>
      <c r="E1415" s="54">
        <v>1</v>
      </c>
      <c r="F1415" s="54">
        <v>1</v>
      </c>
      <c r="G1415" s="54">
        <v>1</v>
      </c>
      <c r="H1415" s="38">
        <f t="shared" si="12"/>
        <v>10</v>
      </c>
      <c r="I1415" s="38">
        <f t="shared" si="13"/>
        <v>1</v>
      </c>
      <c r="J1415" s="55"/>
    </row>
    <row r="1416" spans="1:10" ht="15" customHeight="1" x14ac:dyDescent="0.2">
      <c r="A1416" s="50">
        <f t="array" ref="A1416">+INDEX(Partidas!$A:$J,MATCH('Resultados dashboard'!$B1416,Partidas!$C:$C,0),2)</f>
        <v>45865</v>
      </c>
      <c r="B1416" s="56">
        <f>+IF(COUNTIF($B$2:B1415,B1415)=VLOOKUP(B1415,Partidas!$C:$J,8,0),B1415+1,B1415)</f>
        <v>312</v>
      </c>
      <c r="C1416" s="41" t="str">
        <f t="array" ref="C1416">+INDEX(Partidas!$A:$J,MATCH('Resultados dashboard'!$B1416,Partidas!$C:$C,0),3+COUNTIF($B$2:B1416,'Resultados dashboard'!$B1416))</f>
        <v>Abegol</v>
      </c>
      <c r="D1416" s="54">
        <v>3</v>
      </c>
      <c r="E1416" s="53"/>
      <c r="F1416" s="53"/>
      <c r="G1416" s="53"/>
      <c r="H1416" s="38">
        <f t="shared" si="12"/>
        <v>3</v>
      </c>
      <c r="I1416" s="38">
        <f t="shared" si="13"/>
        <v>4</v>
      </c>
      <c r="J1416" s="55"/>
    </row>
    <row r="1417" spans="1:10" ht="15" customHeight="1" x14ac:dyDescent="0.2">
      <c r="A1417" s="50">
        <f t="array" ref="A1417">+INDEX(Partidas!$A:$J,MATCH('Resultados dashboard'!$B1417,Partidas!$C:$C,0),2)</f>
        <v>45867</v>
      </c>
      <c r="B1417" s="56">
        <f>+IF(COUNTIF($B$2:B1416,B1416)=VLOOKUP(B1416,Partidas!$C:$J,8,0),B1416+1,B1416)</f>
        <v>313</v>
      </c>
      <c r="C1417" s="41" t="str">
        <f t="array" ref="C1417">+INDEX(Partidas!$A:$J,MATCH('Resultados dashboard'!$B1417,Partidas!$C:$C,0),3+COUNTIF($B$2:B1417,'Resultados dashboard'!$B1417))</f>
        <v>Ivo</v>
      </c>
      <c r="D1417" s="54">
        <v>4</v>
      </c>
      <c r="E1417" s="53"/>
      <c r="F1417" s="53"/>
      <c r="G1417" s="53"/>
      <c r="H1417" s="38">
        <f t="shared" si="12"/>
        <v>4</v>
      </c>
      <c r="I1417" s="38">
        <f t="shared" si="13"/>
        <v>4</v>
      </c>
      <c r="J1417" s="55"/>
    </row>
    <row r="1418" spans="1:10" ht="15" customHeight="1" x14ac:dyDescent="0.2">
      <c r="A1418" s="50">
        <f t="array" ref="A1418">+INDEX(Partidas!$A:$J,MATCH('Resultados dashboard'!$B1418,Partidas!$C:$C,0),2)</f>
        <v>45867</v>
      </c>
      <c r="B1418" s="56">
        <f>+IF(COUNTIF($B$2:B1417,B1417)=VLOOKUP(B1417,Partidas!$C:$J,8,0),B1417+1,B1417)</f>
        <v>313</v>
      </c>
      <c r="C1418" s="41" t="str">
        <f t="array" ref="C1418">+INDEX(Partidas!$A:$J,MATCH('Resultados dashboard'!$B1418,Partidas!$C:$C,0),3+COUNTIF($B$2:B1418,'Resultados dashboard'!$B1418))</f>
        <v>Max</v>
      </c>
      <c r="D1418" s="54">
        <v>4</v>
      </c>
      <c r="E1418" s="53"/>
      <c r="F1418" s="54">
        <v>1</v>
      </c>
      <c r="G1418" s="53"/>
      <c r="H1418" s="38">
        <f t="shared" si="12"/>
        <v>6</v>
      </c>
      <c r="I1418" s="38">
        <f t="shared" si="13"/>
        <v>3</v>
      </c>
      <c r="J1418" s="55"/>
    </row>
    <row r="1419" spans="1:10" ht="15" customHeight="1" x14ac:dyDescent="0.2">
      <c r="A1419" s="50">
        <f t="array" ref="A1419">+INDEX(Partidas!$A:$J,MATCH('Resultados dashboard'!$B1419,Partidas!$C:$C,0),2)</f>
        <v>45867</v>
      </c>
      <c r="B1419" s="56">
        <f>+IF(COUNTIF($B$2:B1418,B1418)=VLOOKUP(B1418,Partidas!$C:$J,8,0),B1418+1,B1418)</f>
        <v>313</v>
      </c>
      <c r="C1419" s="41" t="str">
        <f t="array" ref="C1419">+INDEX(Partidas!$A:$J,MATCH('Resultados dashboard'!$B1419,Partidas!$C:$C,0),3+COUNTIF($B$2:B1419,'Resultados dashboard'!$B1419))</f>
        <v>Moch</v>
      </c>
      <c r="D1419" s="54">
        <v>7</v>
      </c>
      <c r="E1419" s="54">
        <v>1</v>
      </c>
      <c r="F1419" s="53"/>
      <c r="G1419" s="53"/>
      <c r="H1419" s="38">
        <f t="shared" si="12"/>
        <v>8</v>
      </c>
      <c r="I1419" s="38">
        <f t="shared" si="13"/>
        <v>2</v>
      </c>
      <c r="J1419" s="55"/>
    </row>
    <row r="1420" spans="1:10" ht="15" customHeight="1" x14ac:dyDescent="0.2">
      <c r="A1420" s="50">
        <f t="array" ref="A1420">+INDEX(Partidas!$A:$J,MATCH('Resultados dashboard'!$B1420,Partidas!$C:$C,0),2)</f>
        <v>45867</v>
      </c>
      <c r="B1420" s="56">
        <f>+IF(COUNTIF($B$2:B1419,B1419)=VLOOKUP(B1419,Partidas!$C:$J,8,0),B1419+1,B1419)</f>
        <v>313</v>
      </c>
      <c r="C1420" s="41" t="str">
        <f t="array" ref="C1420">+INDEX(Partidas!$A:$J,MATCH('Resultados dashboard'!$B1420,Partidas!$C:$C,0),3+COUNTIF($B$2:B1420,'Resultados dashboard'!$B1420))</f>
        <v>Hugo</v>
      </c>
      <c r="D1420" s="54">
        <v>8</v>
      </c>
      <c r="E1420" s="54">
        <v>1</v>
      </c>
      <c r="F1420" s="53"/>
      <c r="G1420" s="54">
        <v>1</v>
      </c>
      <c r="H1420" s="38">
        <f t="shared" si="12"/>
        <v>11</v>
      </c>
      <c r="I1420" s="38">
        <f t="shared" si="13"/>
        <v>1</v>
      </c>
      <c r="J1420" s="55"/>
    </row>
    <row r="1421" spans="1:10" ht="15" customHeight="1" x14ac:dyDescent="0.2">
      <c r="A1421" s="50">
        <f t="array" ref="A1421">+INDEX(Partidas!$A:$J,MATCH('Resultados dashboard'!$B1421,Partidas!$C:$C,0),2)</f>
        <v>45867</v>
      </c>
      <c r="B1421" s="56">
        <f>+IF(COUNTIF($B$2:B1420,B1420)=VLOOKUP(B1420,Partidas!$C:$J,8,0),B1420+1,B1420)</f>
        <v>314</v>
      </c>
      <c r="C1421" s="41" t="str">
        <f t="array" ref="C1421">+INDEX(Partidas!$A:$J,MATCH('Resultados dashboard'!$B1421,Partidas!$C:$C,0),3+COUNTIF($B$2:B1421,'Resultados dashboard'!$B1421))</f>
        <v>Ivo</v>
      </c>
      <c r="D1421" s="54">
        <v>6</v>
      </c>
      <c r="E1421" s="54">
        <v>2</v>
      </c>
      <c r="F1421" s="53"/>
      <c r="G1421" s="54">
        <v>1</v>
      </c>
      <c r="H1421" s="38">
        <f t="shared" si="12"/>
        <v>10</v>
      </c>
      <c r="I1421" s="38">
        <f t="shared" si="13"/>
        <v>1</v>
      </c>
      <c r="J1421" s="55"/>
    </row>
    <row r="1422" spans="1:10" ht="15" customHeight="1" x14ac:dyDescent="0.2">
      <c r="A1422" s="50">
        <f t="array" ref="A1422">+INDEX(Partidas!$A:$J,MATCH('Resultados dashboard'!$B1422,Partidas!$C:$C,0),2)</f>
        <v>45867</v>
      </c>
      <c r="B1422" s="56">
        <f>+IF(COUNTIF($B$2:B1421,B1421)=VLOOKUP(B1421,Partidas!$C:$J,8,0),B1421+1,B1421)</f>
        <v>314</v>
      </c>
      <c r="C1422" s="41" t="str">
        <f t="array" ref="C1422">+INDEX(Partidas!$A:$J,MATCH('Resultados dashboard'!$B1422,Partidas!$C:$C,0),3+COUNTIF($B$2:B1422,'Resultados dashboard'!$B1422))</f>
        <v>Max</v>
      </c>
      <c r="D1422" s="54">
        <v>6</v>
      </c>
      <c r="E1422" s="53"/>
      <c r="F1422" s="53"/>
      <c r="G1422" s="53"/>
      <c r="H1422" s="38">
        <f t="shared" si="12"/>
        <v>6</v>
      </c>
      <c r="I1422" s="38">
        <f t="shared" si="13"/>
        <v>4</v>
      </c>
      <c r="J1422" s="55"/>
    </row>
    <row r="1423" spans="1:10" ht="15" customHeight="1" x14ac:dyDescent="0.2">
      <c r="A1423" s="50">
        <f t="array" ref="A1423">+INDEX(Partidas!$A:$J,MATCH('Resultados dashboard'!$B1423,Partidas!$C:$C,0),2)</f>
        <v>45867</v>
      </c>
      <c r="B1423" s="56">
        <f>+IF(COUNTIF($B$2:B1422,B1422)=VLOOKUP(B1422,Partidas!$C:$J,8,0),B1422+1,B1422)</f>
        <v>314</v>
      </c>
      <c r="C1423" s="41" t="str">
        <f t="array" ref="C1423">+INDEX(Partidas!$A:$J,MATCH('Resultados dashboard'!$B1423,Partidas!$C:$C,0),3+COUNTIF($B$2:B1423,'Resultados dashboard'!$B1423))</f>
        <v>Moch</v>
      </c>
      <c r="D1423" s="54">
        <v>7</v>
      </c>
      <c r="E1423" s="54">
        <v>1</v>
      </c>
      <c r="F1423" s="53"/>
      <c r="G1423" s="53"/>
      <c r="H1423" s="38">
        <f t="shared" si="12"/>
        <v>8</v>
      </c>
      <c r="I1423" s="38">
        <f t="shared" si="13"/>
        <v>2</v>
      </c>
      <c r="J1423" s="55"/>
    </row>
    <row r="1424" spans="1:10" ht="15" customHeight="1" x14ac:dyDescent="0.2">
      <c r="A1424" s="50">
        <f t="array" ref="A1424">+INDEX(Partidas!$A:$J,MATCH('Resultados dashboard'!$B1424,Partidas!$C:$C,0),2)</f>
        <v>45867</v>
      </c>
      <c r="B1424" s="56">
        <f>+IF(COUNTIF($B$2:B1423,B1423)=VLOOKUP(B1423,Partidas!$C:$J,8,0),B1423+1,B1423)</f>
        <v>314</v>
      </c>
      <c r="C1424" s="41" t="str">
        <f t="array" ref="C1424">+INDEX(Partidas!$A:$J,MATCH('Resultados dashboard'!$B1424,Partidas!$C:$C,0),3+COUNTIF($B$2:B1424,'Resultados dashboard'!$B1424))</f>
        <v>Hugo</v>
      </c>
      <c r="D1424" s="54">
        <v>6</v>
      </c>
      <c r="E1424" s="53"/>
      <c r="F1424" s="54">
        <v>1</v>
      </c>
      <c r="G1424" s="53"/>
      <c r="H1424" s="38">
        <f t="shared" si="12"/>
        <v>8</v>
      </c>
      <c r="I1424" s="38">
        <f t="shared" si="13"/>
        <v>2</v>
      </c>
      <c r="J1424" s="55"/>
    </row>
    <row r="1425" spans="1:10" ht="15" customHeight="1" x14ac:dyDescent="0.2">
      <c r="A1425" s="50">
        <f t="array" ref="A1425">+INDEX(Partidas!$A:$J,MATCH('Resultados dashboard'!$B1425,Partidas!$C:$C,0),2)</f>
        <v>45867</v>
      </c>
      <c r="B1425" s="56">
        <f>+IF(COUNTIF($B$2:B1424,B1424)=VLOOKUP(B1424,Partidas!$C:$J,8,0),B1424+1,B1424)</f>
        <v>315</v>
      </c>
      <c r="C1425" s="41" t="str">
        <f t="array" ref="C1425">+INDEX(Partidas!$A:$J,MATCH('Resultados dashboard'!$B1425,Partidas!$C:$C,0),3+COUNTIF($B$2:B1425,'Resultados dashboard'!$B1425))</f>
        <v>Ivo</v>
      </c>
      <c r="D1425" s="54">
        <v>6</v>
      </c>
      <c r="E1425" s="54">
        <v>1</v>
      </c>
      <c r="F1425" s="53"/>
      <c r="G1425" s="53"/>
      <c r="H1425" s="38">
        <f t="shared" si="12"/>
        <v>7</v>
      </c>
      <c r="I1425" s="38">
        <f t="shared" si="13"/>
        <v>4</v>
      </c>
      <c r="J1425" s="55"/>
    </row>
    <row r="1426" spans="1:10" ht="15" customHeight="1" x14ac:dyDescent="0.2">
      <c r="A1426" s="50">
        <f t="array" ref="A1426">+INDEX(Partidas!$A:$J,MATCH('Resultados dashboard'!$B1426,Partidas!$C:$C,0),2)</f>
        <v>45867</v>
      </c>
      <c r="B1426" s="56">
        <f>+IF(COUNTIF($B$2:B1425,B1425)=VLOOKUP(B1425,Partidas!$C:$J,8,0),B1425+1,B1425)</f>
        <v>315</v>
      </c>
      <c r="C1426" s="41" t="str">
        <f t="array" ref="C1426">+INDEX(Partidas!$A:$J,MATCH('Resultados dashboard'!$B1426,Partidas!$C:$C,0),3+COUNTIF($B$2:B1426,'Resultados dashboard'!$B1426))</f>
        <v>Max</v>
      </c>
      <c r="D1426" s="54">
        <v>9</v>
      </c>
      <c r="E1426" s="53"/>
      <c r="F1426" s="53"/>
      <c r="G1426" s="53"/>
      <c r="H1426" s="38">
        <f t="shared" si="12"/>
        <v>9</v>
      </c>
      <c r="I1426" s="38">
        <f t="shared" si="13"/>
        <v>2</v>
      </c>
      <c r="J1426" s="55"/>
    </row>
    <row r="1427" spans="1:10" ht="15" customHeight="1" x14ac:dyDescent="0.2">
      <c r="A1427" s="50">
        <f t="array" ref="A1427">+INDEX(Partidas!$A:$J,MATCH('Resultados dashboard'!$B1427,Partidas!$C:$C,0),2)</f>
        <v>45867</v>
      </c>
      <c r="B1427" s="56">
        <f>+IF(COUNTIF($B$2:B1426,B1426)=VLOOKUP(B1426,Partidas!$C:$J,8,0),B1426+1,B1426)</f>
        <v>315</v>
      </c>
      <c r="C1427" s="41" t="str">
        <f t="array" ref="C1427">+INDEX(Partidas!$A:$J,MATCH('Resultados dashboard'!$B1427,Partidas!$C:$C,0),3+COUNTIF($B$2:B1427,'Resultados dashboard'!$B1427))</f>
        <v>Moch</v>
      </c>
      <c r="D1427" s="54">
        <v>7</v>
      </c>
      <c r="E1427" s="54">
        <v>1</v>
      </c>
      <c r="F1427" s="53"/>
      <c r="G1427" s="54">
        <v>1</v>
      </c>
      <c r="H1427" s="38">
        <f t="shared" si="12"/>
        <v>10</v>
      </c>
      <c r="I1427" s="38">
        <f t="shared" si="13"/>
        <v>1</v>
      </c>
      <c r="J1427" s="55"/>
    </row>
    <row r="1428" spans="1:10" ht="15" customHeight="1" x14ac:dyDescent="0.2">
      <c r="A1428" s="50">
        <f t="array" ref="A1428">+INDEX(Partidas!$A:$J,MATCH('Resultados dashboard'!$B1428,Partidas!$C:$C,0),2)</f>
        <v>45867</v>
      </c>
      <c r="B1428" s="56">
        <f>+IF(COUNTIF($B$2:B1427,B1427)=VLOOKUP(B1427,Partidas!$C:$J,8,0),B1427+1,B1427)</f>
        <v>315</v>
      </c>
      <c r="C1428" s="41" t="str">
        <f t="array" ref="C1428">+INDEX(Partidas!$A:$J,MATCH('Resultados dashboard'!$B1428,Partidas!$C:$C,0),3+COUNTIF($B$2:B1428,'Resultados dashboard'!$B1428))</f>
        <v>Hugo</v>
      </c>
      <c r="D1428" s="54">
        <v>5</v>
      </c>
      <c r="E1428" s="54">
        <v>1</v>
      </c>
      <c r="F1428" s="54">
        <v>1</v>
      </c>
      <c r="G1428" s="53"/>
      <c r="H1428" s="38">
        <f t="shared" si="12"/>
        <v>8</v>
      </c>
      <c r="I1428" s="38">
        <f t="shared" si="13"/>
        <v>3</v>
      </c>
      <c r="J1428" s="55"/>
    </row>
    <row r="1429" spans="1:10" ht="15" customHeight="1" x14ac:dyDescent="0.2">
      <c r="A1429" s="50">
        <f t="array" ref="A1429">+INDEX(Partidas!$A:$J,MATCH('Resultados dashboard'!$B1429,Partidas!$C:$C,0),2)</f>
        <v>45871</v>
      </c>
      <c r="B1429" s="56">
        <f>+IF(COUNTIF($B$2:B1428,B1428)=VLOOKUP(B1428,Partidas!$C:$J,8,0),B1428+1,B1428)</f>
        <v>316</v>
      </c>
      <c r="C1429" s="41" t="str">
        <f t="array" ref="C1429">+INDEX(Partidas!$A:$J,MATCH('Resultados dashboard'!$B1429,Partidas!$C:$C,0),3+COUNTIF($B$2:B1429,'Resultados dashboard'!$B1429))</f>
        <v>Gallo</v>
      </c>
      <c r="D1429" s="54">
        <v>8</v>
      </c>
      <c r="E1429" s="53"/>
      <c r="F1429" s="53"/>
      <c r="G1429" s="54">
        <v>1</v>
      </c>
      <c r="H1429" s="38">
        <f t="shared" si="12"/>
        <v>10</v>
      </c>
      <c r="I1429" s="38">
        <f t="shared" si="13"/>
        <v>1</v>
      </c>
      <c r="J1429" s="55"/>
    </row>
    <row r="1430" spans="1:10" ht="15" customHeight="1" x14ac:dyDescent="0.2">
      <c r="A1430" s="50">
        <f t="array" ref="A1430">+INDEX(Partidas!$A:$J,MATCH('Resultados dashboard'!$B1430,Partidas!$C:$C,0),2)</f>
        <v>45871</v>
      </c>
      <c r="B1430" s="56">
        <f>+IF(COUNTIF($B$2:B1429,B1429)=VLOOKUP(B1429,Partidas!$C:$J,8,0),B1429+1,B1429)</f>
        <v>316</v>
      </c>
      <c r="C1430" s="41" t="str">
        <f t="array" ref="C1430">+INDEX(Partidas!$A:$J,MATCH('Resultados dashboard'!$B1430,Partidas!$C:$C,0),3+COUNTIF($B$2:B1430,'Resultados dashboard'!$B1430))</f>
        <v>Ivo</v>
      </c>
      <c r="D1430" s="54">
        <v>6</v>
      </c>
      <c r="E1430" s="54">
        <v>2</v>
      </c>
      <c r="F1430" s="53"/>
      <c r="G1430" s="53"/>
      <c r="H1430" s="38">
        <f t="shared" si="12"/>
        <v>8</v>
      </c>
      <c r="I1430" s="38">
        <f t="shared" si="13"/>
        <v>2</v>
      </c>
      <c r="J1430" s="55"/>
    </row>
    <row r="1431" spans="1:10" ht="15" customHeight="1" x14ac:dyDescent="0.2">
      <c r="A1431" s="50">
        <f t="array" ref="A1431">+INDEX(Partidas!$A:$J,MATCH('Resultados dashboard'!$B1431,Partidas!$C:$C,0),2)</f>
        <v>45871</v>
      </c>
      <c r="B1431" s="56">
        <f>+IF(COUNTIF($B$2:B1430,B1430)=VLOOKUP(B1430,Partidas!$C:$J,8,0),B1430+1,B1430)</f>
        <v>316</v>
      </c>
      <c r="C1431" s="41" t="str">
        <f t="array" ref="C1431">+INDEX(Partidas!$A:$J,MATCH('Resultados dashboard'!$B1431,Partidas!$C:$C,0),3+COUNTIF($B$2:B1431,'Resultados dashboard'!$B1431))</f>
        <v>Moch</v>
      </c>
      <c r="D1431" s="54">
        <v>5</v>
      </c>
      <c r="E1431" s="53"/>
      <c r="F1431" s="54">
        <v>1</v>
      </c>
      <c r="G1431" s="53"/>
      <c r="H1431" s="38">
        <f t="shared" si="12"/>
        <v>7</v>
      </c>
      <c r="I1431" s="38">
        <f t="shared" si="13"/>
        <v>4</v>
      </c>
      <c r="J1431" s="55"/>
    </row>
    <row r="1432" spans="1:10" ht="15" customHeight="1" x14ac:dyDescent="0.2">
      <c r="A1432" s="50">
        <f t="array" ref="A1432">+INDEX(Partidas!$A:$J,MATCH('Resultados dashboard'!$B1432,Partidas!$C:$C,0),2)</f>
        <v>45871</v>
      </c>
      <c r="B1432" s="56">
        <f>+IF(COUNTIF($B$2:B1431,B1431)=VLOOKUP(B1431,Partidas!$C:$J,8,0),B1431+1,B1431)</f>
        <v>316</v>
      </c>
      <c r="C1432" s="41" t="str">
        <f t="array" ref="C1432">+INDEX(Partidas!$A:$J,MATCH('Resultados dashboard'!$B1432,Partidas!$C:$C,0),3+COUNTIF($B$2:B1432,'Resultados dashboard'!$B1432))</f>
        <v>Abegol</v>
      </c>
      <c r="D1432" s="54">
        <v>6</v>
      </c>
      <c r="E1432" s="54">
        <v>2</v>
      </c>
      <c r="F1432" s="53"/>
      <c r="G1432" s="53"/>
      <c r="H1432" s="38">
        <f t="shared" si="12"/>
        <v>8</v>
      </c>
      <c r="I1432" s="38">
        <f t="shared" si="13"/>
        <v>2</v>
      </c>
      <c r="J1432" s="55"/>
    </row>
    <row r="1433" spans="1:10" ht="15" customHeight="1" x14ac:dyDescent="0.2">
      <c r="A1433" s="50">
        <f t="array" ref="A1433">+INDEX(Partidas!$A:$J,MATCH('Resultados dashboard'!$B1433,Partidas!$C:$C,0),2)</f>
        <v>45871</v>
      </c>
      <c r="B1433" s="56">
        <f>+IF(COUNTIF($B$2:B1432,B1432)=VLOOKUP(B1432,Partidas!$C:$J,8,0),B1432+1,B1432)</f>
        <v>317</v>
      </c>
      <c r="C1433" s="41" t="str">
        <f t="array" ref="C1433">+INDEX(Partidas!$A:$J,MATCH('Resultados dashboard'!$B1433,Partidas!$C:$C,0),3+COUNTIF($B$2:B1433,'Resultados dashboard'!$B1433))</f>
        <v>Gallo</v>
      </c>
      <c r="D1433" s="54">
        <v>5</v>
      </c>
      <c r="E1433" s="54">
        <v>1</v>
      </c>
      <c r="F1433" s="53"/>
      <c r="G1433" s="54">
        <v>1</v>
      </c>
      <c r="H1433" s="38">
        <f t="shared" si="12"/>
        <v>8</v>
      </c>
      <c r="I1433" s="38">
        <f t="shared" si="13"/>
        <v>3</v>
      </c>
      <c r="J1433" s="55"/>
    </row>
    <row r="1434" spans="1:10" ht="15" customHeight="1" x14ac:dyDescent="0.2">
      <c r="A1434" s="50">
        <f t="array" ref="A1434">+INDEX(Partidas!$A:$J,MATCH('Resultados dashboard'!$B1434,Partidas!$C:$C,0),2)</f>
        <v>45871</v>
      </c>
      <c r="B1434" s="56">
        <f>+IF(COUNTIF($B$2:B1433,B1433)=VLOOKUP(B1433,Partidas!$C:$J,8,0),B1433+1,B1433)</f>
        <v>317</v>
      </c>
      <c r="C1434" s="41" t="str">
        <f t="array" ref="C1434">+INDEX(Partidas!$A:$J,MATCH('Resultados dashboard'!$B1434,Partidas!$C:$C,0),3+COUNTIF($B$2:B1434,'Resultados dashboard'!$B1434))</f>
        <v>Ivo</v>
      </c>
      <c r="D1434" s="54">
        <v>8</v>
      </c>
      <c r="E1434" s="53"/>
      <c r="F1434" s="54">
        <v>1</v>
      </c>
      <c r="G1434" s="53"/>
      <c r="H1434" s="38">
        <f t="shared" si="12"/>
        <v>10</v>
      </c>
      <c r="I1434" s="38">
        <f t="shared" si="13"/>
        <v>1</v>
      </c>
      <c r="J1434" s="55"/>
    </row>
    <row r="1435" spans="1:10" ht="15" customHeight="1" x14ac:dyDescent="0.2">
      <c r="A1435" s="50">
        <f t="array" ref="A1435">+INDEX(Partidas!$A:$J,MATCH('Resultados dashboard'!$B1435,Partidas!$C:$C,0),2)</f>
        <v>45871</v>
      </c>
      <c r="B1435" s="56">
        <f>+IF(COUNTIF($B$2:B1434,B1434)=VLOOKUP(B1434,Partidas!$C:$J,8,0),B1434+1,B1434)</f>
        <v>317</v>
      </c>
      <c r="C1435" s="41" t="str">
        <f t="array" ref="C1435">+INDEX(Partidas!$A:$J,MATCH('Resultados dashboard'!$B1435,Partidas!$C:$C,0),3+COUNTIF($B$2:B1435,'Resultados dashboard'!$B1435))</f>
        <v>Moch</v>
      </c>
      <c r="D1435" s="54">
        <v>7</v>
      </c>
      <c r="E1435" s="54">
        <v>1</v>
      </c>
      <c r="F1435" s="53"/>
      <c r="G1435" s="53"/>
      <c r="H1435" s="38">
        <f t="shared" si="12"/>
        <v>8</v>
      </c>
      <c r="I1435" s="38">
        <f t="shared" si="13"/>
        <v>3</v>
      </c>
      <c r="J1435" s="55"/>
    </row>
    <row r="1436" spans="1:10" ht="15" customHeight="1" x14ac:dyDescent="0.2">
      <c r="A1436" s="50">
        <f t="array" ref="A1436">+INDEX(Partidas!$A:$J,MATCH('Resultados dashboard'!$B1436,Partidas!$C:$C,0),2)</f>
        <v>45871</v>
      </c>
      <c r="B1436" s="56">
        <f>+IF(COUNTIF($B$2:B1435,B1435)=VLOOKUP(B1435,Partidas!$C:$J,8,0),B1435+1,B1435)</f>
        <v>317</v>
      </c>
      <c r="C1436" s="41" t="str">
        <f t="array" ref="C1436">+INDEX(Partidas!$A:$J,MATCH('Resultados dashboard'!$B1436,Partidas!$C:$C,0),3+COUNTIF($B$2:B1436,'Resultados dashboard'!$B1436))</f>
        <v>Abegol</v>
      </c>
      <c r="D1436" s="54">
        <v>5</v>
      </c>
      <c r="E1436" s="54">
        <v>2</v>
      </c>
      <c r="F1436" s="53"/>
      <c r="G1436" s="53"/>
      <c r="H1436" s="38">
        <f t="shared" si="12"/>
        <v>7</v>
      </c>
      <c r="I1436" s="38">
        <f t="shared" si="13"/>
        <v>5</v>
      </c>
      <c r="J1436" s="55"/>
    </row>
    <row r="1437" spans="1:10" ht="15" customHeight="1" x14ac:dyDescent="0.2">
      <c r="A1437" s="50">
        <f t="array" ref="A1437">+INDEX(Partidas!$A:$J,MATCH('Resultados dashboard'!$B1437,Partidas!$C:$C,0),2)</f>
        <v>45871</v>
      </c>
      <c r="B1437" s="56">
        <f>+IF(COUNTIF($B$2:B1436,B1436)=VLOOKUP(B1436,Partidas!$C:$J,8,0),B1436+1,B1436)</f>
        <v>317</v>
      </c>
      <c r="C1437" s="41" t="str">
        <f t="array" ref="C1437">+INDEX(Partidas!$A:$J,MATCH('Resultados dashboard'!$B1437,Partidas!$C:$C,0),3+COUNTIF($B$2:B1437,'Resultados dashboard'!$B1437))</f>
        <v>Max</v>
      </c>
      <c r="D1437" s="54">
        <v>8</v>
      </c>
      <c r="E1437" s="54">
        <v>1</v>
      </c>
      <c r="F1437" s="53"/>
      <c r="G1437" s="53"/>
      <c r="H1437" s="38">
        <f t="shared" si="12"/>
        <v>9</v>
      </c>
      <c r="I1437" s="38">
        <f t="shared" si="13"/>
        <v>2</v>
      </c>
      <c r="J1437" s="55"/>
    </row>
    <row r="1438" spans="1:10" ht="15" customHeight="1" x14ac:dyDescent="0.2">
      <c r="A1438" s="50">
        <f t="array" ref="A1438">+INDEX(Partidas!$A:$J,MATCH('Resultados dashboard'!$B1438,Partidas!$C:$C,0),2)</f>
        <v>45871</v>
      </c>
      <c r="B1438" s="56">
        <f>+IF(COUNTIF($B$2:B1437,B1437)=VLOOKUP(B1437,Partidas!$C:$J,8,0),B1437+1,B1437)</f>
        <v>318</v>
      </c>
      <c r="C1438" s="41" t="str">
        <f t="array" ref="C1438">+INDEX(Partidas!$A:$J,MATCH('Resultados dashboard'!$B1438,Partidas!$C:$C,0),3+COUNTIF($B$2:B1438,'Resultados dashboard'!$B1438))</f>
        <v>Gallo</v>
      </c>
      <c r="D1438" s="54">
        <v>10</v>
      </c>
      <c r="E1438" s="53"/>
      <c r="F1438" s="53"/>
      <c r="G1438" s="53"/>
      <c r="H1438" s="38">
        <f t="shared" si="12"/>
        <v>10</v>
      </c>
      <c r="I1438" s="38">
        <f t="shared" si="13"/>
        <v>1</v>
      </c>
      <c r="J1438" s="55"/>
    </row>
    <row r="1439" spans="1:10" ht="15" customHeight="1" x14ac:dyDescent="0.2">
      <c r="A1439" s="50">
        <f t="array" ref="A1439">+INDEX(Partidas!$A:$J,MATCH('Resultados dashboard'!$B1439,Partidas!$C:$C,0),2)</f>
        <v>45871</v>
      </c>
      <c r="B1439" s="56">
        <f>+IF(COUNTIF($B$2:B1438,B1438)=VLOOKUP(B1438,Partidas!$C:$J,8,0),B1438+1,B1438)</f>
        <v>318</v>
      </c>
      <c r="C1439" s="41" t="str">
        <f t="array" ref="C1439">+INDEX(Partidas!$A:$J,MATCH('Resultados dashboard'!$B1439,Partidas!$C:$C,0),3+COUNTIF($B$2:B1439,'Resultados dashboard'!$B1439))</f>
        <v>Ivo</v>
      </c>
      <c r="D1439" s="54">
        <v>6</v>
      </c>
      <c r="E1439" s="54">
        <v>1</v>
      </c>
      <c r="F1439" s="53"/>
      <c r="G1439" s="53"/>
      <c r="H1439" s="38">
        <f t="shared" si="12"/>
        <v>7</v>
      </c>
      <c r="I1439" s="38">
        <f t="shared" si="13"/>
        <v>5</v>
      </c>
      <c r="J1439" s="55"/>
    </row>
    <row r="1440" spans="1:10" ht="15" customHeight="1" x14ac:dyDescent="0.2">
      <c r="A1440" s="50">
        <f t="array" ref="A1440">+INDEX(Partidas!$A:$J,MATCH('Resultados dashboard'!$B1440,Partidas!$C:$C,0),2)</f>
        <v>45871</v>
      </c>
      <c r="B1440" s="56">
        <f>+IF(COUNTIF($B$2:B1439,B1439)=VLOOKUP(B1439,Partidas!$C:$J,8,0),B1439+1,B1439)</f>
        <v>318</v>
      </c>
      <c r="C1440" s="41" t="str">
        <f t="array" ref="C1440">+INDEX(Partidas!$A:$J,MATCH('Resultados dashboard'!$B1440,Partidas!$C:$C,0),3+COUNTIF($B$2:B1440,'Resultados dashboard'!$B1440))</f>
        <v>Moch</v>
      </c>
      <c r="D1440" s="54">
        <v>8</v>
      </c>
      <c r="E1440" s="53"/>
      <c r="F1440" s="53"/>
      <c r="G1440" s="53"/>
      <c r="H1440" s="38">
        <f t="shared" si="12"/>
        <v>8</v>
      </c>
      <c r="I1440" s="38">
        <f t="shared" si="13"/>
        <v>3</v>
      </c>
      <c r="J1440" s="55"/>
    </row>
    <row r="1441" spans="1:10" ht="15" customHeight="1" x14ac:dyDescent="0.2">
      <c r="A1441" s="50">
        <f t="array" ref="A1441">+INDEX(Partidas!$A:$J,MATCH('Resultados dashboard'!$B1441,Partidas!$C:$C,0),2)</f>
        <v>45871</v>
      </c>
      <c r="B1441" s="56">
        <f>+IF(COUNTIF($B$2:B1440,B1440)=VLOOKUP(B1440,Partidas!$C:$J,8,0),B1440+1,B1440)</f>
        <v>318</v>
      </c>
      <c r="C1441" s="41" t="str">
        <f t="array" ref="C1441">+INDEX(Partidas!$A:$J,MATCH('Resultados dashboard'!$B1441,Partidas!$C:$C,0),3+COUNTIF($B$2:B1441,'Resultados dashboard'!$B1441))</f>
        <v>Abegol</v>
      </c>
      <c r="D1441" s="54">
        <v>7</v>
      </c>
      <c r="E1441" s="53"/>
      <c r="F1441" s="53"/>
      <c r="G1441" s="54">
        <v>1</v>
      </c>
      <c r="H1441" s="38">
        <f t="shared" si="12"/>
        <v>9</v>
      </c>
      <c r="I1441" s="38">
        <f t="shared" si="13"/>
        <v>2</v>
      </c>
      <c r="J1441" s="55"/>
    </row>
    <row r="1442" spans="1:10" ht="15" customHeight="1" x14ac:dyDescent="0.2">
      <c r="A1442" s="50">
        <f t="array" ref="A1442">+INDEX(Partidas!$A:$J,MATCH('Resultados dashboard'!$B1442,Partidas!$C:$C,0),2)</f>
        <v>45871</v>
      </c>
      <c r="B1442" s="56">
        <f>+IF(COUNTIF($B$2:B1441,B1441)=VLOOKUP(B1441,Partidas!$C:$J,8,0),B1441+1,B1441)</f>
        <v>318</v>
      </c>
      <c r="C1442" s="41" t="str">
        <f t="array" ref="C1442">+INDEX(Partidas!$A:$J,MATCH('Resultados dashboard'!$B1442,Partidas!$C:$C,0),3+COUNTIF($B$2:B1442,'Resultados dashboard'!$B1442))</f>
        <v>Max</v>
      </c>
      <c r="D1442" s="54">
        <v>8</v>
      </c>
      <c r="E1442" s="53"/>
      <c r="F1442" s="53"/>
      <c r="G1442" s="53"/>
      <c r="H1442" s="38">
        <f t="shared" si="12"/>
        <v>8</v>
      </c>
      <c r="I1442" s="38">
        <f t="shared" si="13"/>
        <v>3</v>
      </c>
      <c r="J1442" s="55"/>
    </row>
    <row r="1443" spans="1:10" ht="15" customHeight="1" x14ac:dyDescent="0.2">
      <c r="A1443" s="50">
        <f t="array" ref="A1443">+INDEX(Partidas!$A:$J,MATCH('Resultados dashboard'!$B1443,Partidas!$C:$C,0),2)</f>
        <v>45871</v>
      </c>
      <c r="B1443" s="56">
        <f>+IF(COUNTIF($B$2:B1442,B1442)=VLOOKUP(B1442,Partidas!$C:$J,8,0),B1442+1,B1442)</f>
        <v>319</v>
      </c>
      <c r="C1443" s="41" t="str">
        <f t="array" ref="C1443">+INDEX(Partidas!$A:$J,MATCH('Resultados dashboard'!$B1443,Partidas!$C:$C,0),3+COUNTIF($B$2:B1443,'Resultados dashboard'!$B1443))</f>
        <v>Gallo</v>
      </c>
      <c r="D1443" s="54">
        <v>8</v>
      </c>
      <c r="E1443" s="53"/>
      <c r="F1443" s="53"/>
      <c r="G1443" s="54">
        <v>1</v>
      </c>
      <c r="H1443" s="38">
        <f t="shared" si="12"/>
        <v>10</v>
      </c>
      <c r="I1443" s="38">
        <f t="shared" si="13"/>
        <v>1</v>
      </c>
      <c r="J1443" s="55"/>
    </row>
    <row r="1444" spans="1:10" ht="15" customHeight="1" x14ac:dyDescent="0.2">
      <c r="A1444" s="50">
        <f t="array" ref="A1444">+INDEX(Partidas!$A:$J,MATCH('Resultados dashboard'!$B1444,Partidas!$C:$C,0),2)</f>
        <v>45871</v>
      </c>
      <c r="B1444" s="56">
        <f>+IF(COUNTIF($B$2:B1443,B1443)=VLOOKUP(B1443,Partidas!$C:$J,8,0),B1443+1,B1443)</f>
        <v>319</v>
      </c>
      <c r="C1444" s="41" t="str">
        <f t="array" ref="C1444">+INDEX(Partidas!$A:$J,MATCH('Resultados dashboard'!$B1444,Partidas!$C:$C,0),3+COUNTIF($B$2:B1444,'Resultados dashboard'!$B1444))</f>
        <v>Ivo</v>
      </c>
      <c r="D1444" s="54">
        <v>4</v>
      </c>
      <c r="E1444" s="54">
        <v>2</v>
      </c>
      <c r="F1444" s="53"/>
      <c r="G1444" s="53"/>
      <c r="H1444" s="38">
        <f t="shared" si="12"/>
        <v>6</v>
      </c>
      <c r="I1444" s="38">
        <f t="shared" si="13"/>
        <v>2</v>
      </c>
      <c r="J1444" s="55"/>
    </row>
    <row r="1445" spans="1:10" ht="15" customHeight="1" x14ac:dyDescent="0.2">
      <c r="A1445" s="50">
        <f t="array" ref="A1445">+INDEX(Partidas!$A:$J,MATCH('Resultados dashboard'!$B1445,Partidas!$C:$C,0),2)</f>
        <v>45871</v>
      </c>
      <c r="B1445" s="56">
        <f>+IF(COUNTIF($B$2:B1444,B1444)=VLOOKUP(B1444,Partidas!$C:$J,8,0),B1444+1,B1444)</f>
        <v>319</v>
      </c>
      <c r="C1445" s="41" t="str">
        <f t="array" ref="C1445">+INDEX(Partidas!$A:$J,MATCH('Resultados dashboard'!$B1445,Partidas!$C:$C,0),3+COUNTIF($B$2:B1445,'Resultados dashboard'!$B1445))</f>
        <v>Moch</v>
      </c>
      <c r="D1445" s="54">
        <v>3</v>
      </c>
      <c r="E1445" s="54">
        <v>1</v>
      </c>
      <c r="F1445" s="54">
        <v>1</v>
      </c>
      <c r="G1445" s="53"/>
      <c r="H1445" s="38">
        <f t="shared" si="12"/>
        <v>6</v>
      </c>
      <c r="I1445" s="38">
        <f t="shared" si="13"/>
        <v>2</v>
      </c>
      <c r="J1445" s="55"/>
    </row>
    <row r="1446" spans="1:10" ht="15" customHeight="1" x14ac:dyDescent="0.2">
      <c r="A1446" s="50">
        <f t="array" ref="A1446">+INDEX(Partidas!$A:$J,MATCH('Resultados dashboard'!$B1446,Partidas!$C:$C,0),2)</f>
        <v>45871</v>
      </c>
      <c r="B1446" s="56">
        <f>+IF(COUNTIF($B$2:B1445,B1445)=VLOOKUP(B1445,Partidas!$C:$J,8,0),B1445+1,B1445)</f>
        <v>319</v>
      </c>
      <c r="C1446" s="41" t="str">
        <f t="array" ref="C1446">+INDEX(Partidas!$A:$J,MATCH('Resultados dashboard'!$B1446,Partidas!$C:$C,0),3+COUNTIF($B$2:B1446,'Resultados dashboard'!$B1446))</f>
        <v>Abegol</v>
      </c>
      <c r="D1446" s="54">
        <v>5</v>
      </c>
      <c r="E1446" s="53"/>
      <c r="F1446" s="53"/>
      <c r="G1446" s="53"/>
      <c r="H1446" s="38">
        <f t="shared" si="12"/>
        <v>5</v>
      </c>
      <c r="I1446" s="38">
        <f t="shared" si="13"/>
        <v>5</v>
      </c>
      <c r="J1446" s="55"/>
    </row>
    <row r="1447" spans="1:10" ht="15" customHeight="1" x14ac:dyDescent="0.2">
      <c r="A1447" s="50">
        <f t="array" ref="A1447">+INDEX(Partidas!$A:$J,MATCH('Resultados dashboard'!$B1447,Partidas!$C:$C,0),2)</f>
        <v>45871</v>
      </c>
      <c r="B1447" s="56">
        <f>+IF(COUNTIF($B$2:B1446,B1446)=VLOOKUP(B1446,Partidas!$C:$J,8,0),B1446+1,B1446)</f>
        <v>319</v>
      </c>
      <c r="C1447" s="41" t="str">
        <f t="array" ref="C1447">+INDEX(Partidas!$A:$J,MATCH('Resultados dashboard'!$B1447,Partidas!$C:$C,0),3+COUNTIF($B$2:B1447,'Resultados dashboard'!$B1447))</f>
        <v>Max</v>
      </c>
      <c r="D1447" s="54">
        <v>6</v>
      </c>
      <c r="E1447" s="53"/>
      <c r="F1447" s="53"/>
      <c r="G1447" s="53"/>
      <c r="H1447" s="38">
        <f t="shared" si="12"/>
        <v>6</v>
      </c>
      <c r="I1447" s="38">
        <f t="shared" si="13"/>
        <v>2</v>
      </c>
      <c r="J1447" s="55"/>
    </row>
    <row r="1448" spans="1:10" ht="15" customHeight="1" x14ac:dyDescent="0.2">
      <c r="A1448" s="50">
        <f t="array" ref="A1448">+INDEX(Partidas!$A:$J,MATCH('Resultados dashboard'!$B1448,Partidas!$C:$C,0),2)</f>
        <v>45871</v>
      </c>
      <c r="B1448" s="56">
        <f>+IF(COUNTIF($B$2:B1447,B1447)=VLOOKUP(B1447,Partidas!$C:$J,8,0),B1447+1,B1447)</f>
        <v>320</v>
      </c>
      <c r="C1448" s="41" t="str">
        <f t="array" ref="C1448">+INDEX(Partidas!$A:$J,MATCH('Resultados dashboard'!$B1448,Partidas!$C:$C,0),3+COUNTIF($B$2:B1448,'Resultados dashboard'!$B1448))</f>
        <v>Gallo</v>
      </c>
      <c r="D1448" s="54">
        <v>8</v>
      </c>
      <c r="E1448" s="53"/>
      <c r="F1448" s="53"/>
      <c r="G1448" s="54">
        <v>1</v>
      </c>
      <c r="H1448" s="38">
        <f t="shared" si="12"/>
        <v>10</v>
      </c>
      <c r="I1448" s="38">
        <f t="shared" si="13"/>
        <v>1</v>
      </c>
      <c r="J1448" s="55"/>
    </row>
    <row r="1449" spans="1:10" ht="15" customHeight="1" x14ac:dyDescent="0.2">
      <c r="A1449" s="50">
        <f t="array" ref="A1449">+INDEX(Partidas!$A:$J,MATCH('Resultados dashboard'!$B1449,Partidas!$C:$C,0),2)</f>
        <v>45871</v>
      </c>
      <c r="B1449" s="56">
        <f>+IF(COUNTIF($B$2:B1448,B1448)=VLOOKUP(B1448,Partidas!$C:$J,8,0),B1448+1,B1448)</f>
        <v>320</v>
      </c>
      <c r="C1449" s="41" t="str">
        <f t="array" ref="C1449">+INDEX(Partidas!$A:$J,MATCH('Resultados dashboard'!$B1449,Partidas!$C:$C,0),3+COUNTIF($B$2:B1449,'Resultados dashboard'!$B1449))</f>
        <v>Ivo</v>
      </c>
      <c r="D1449" s="54">
        <v>5</v>
      </c>
      <c r="E1449" s="54">
        <v>1</v>
      </c>
      <c r="F1449" s="53"/>
      <c r="G1449" s="53"/>
      <c r="H1449" s="38">
        <f t="shared" si="12"/>
        <v>6</v>
      </c>
      <c r="I1449" s="38">
        <f t="shared" si="13"/>
        <v>2</v>
      </c>
      <c r="J1449" s="55"/>
    </row>
    <row r="1450" spans="1:10" ht="15" customHeight="1" x14ac:dyDescent="0.2">
      <c r="A1450" s="50">
        <f t="array" ref="A1450">+INDEX(Partidas!$A:$J,MATCH('Resultados dashboard'!$B1450,Partidas!$C:$C,0),2)</f>
        <v>45871</v>
      </c>
      <c r="B1450" s="56">
        <f>+IF(COUNTIF($B$2:B1449,B1449)=VLOOKUP(B1449,Partidas!$C:$J,8,0),B1449+1,B1449)</f>
        <v>320</v>
      </c>
      <c r="C1450" s="41" t="str">
        <f t="array" ref="C1450">+INDEX(Partidas!$A:$J,MATCH('Resultados dashboard'!$B1450,Partidas!$C:$C,0),3+COUNTIF($B$2:B1450,'Resultados dashboard'!$B1450))</f>
        <v>Moch</v>
      </c>
      <c r="D1450" s="54">
        <v>5</v>
      </c>
      <c r="E1450" s="53"/>
      <c r="F1450" s="53"/>
      <c r="G1450" s="53"/>
      <c r="H1450" s="38">
        <f t="shared" si="12"/>
        <v>5</v>
      </c>
      <c r="I1450" s="38">
        <f t="shared" si="13"/>
        <v>4</v>
      </c>
      <c r="J1450" s="55"/>
    </row>
    <row r="1451" spans="1:10" ht="15" customHeight="1" x14ac:dyDescent="0.2">
      <c r="A1451" s="50">
        <f t="array" ref="A1451">+INDEX(Partidas!$A:$J,MATCH('Resultados dashboard'!$B1451,Partidas!$C:$C,0),2)</f>
        <v>45871</v>
      </c>
      <c r="B1451" s="56">
        <f>+IF(COUNTIF($B$2:B1450,B1450)=VLOOKUP(B1450,Partidas!$C:$J,8,0),B1450+1,B1450)</f>
        <v>320</v>
      </c>
      <c r="C1451" s="41" t="str">
        <f t="array" ref="C1451">+INDEX(Partidas!$A:$J,MATCH('Resultados dashboard'!$B1451,Partidas!$C:$C,0),3+COUNTIF($B$2:B1451,'Resultados dashboard'!$B1451))</f>
        <v>Abegol</v>
      </c>
      <c r="D1451" s="54">
        <v>4</v>
      </c>
      <c r="E1451" s="53"/>
      <c r="F1451" s="53"/>
      <c r="G1451" s="53"/>
      <c r="H1451" s="38">
        <f t="shared" si="12"/>
        <v>4</v>
      </c>
      <c r="I1451" s="38">
        <f t="shared" si="13"/>
        <v>5</v>
      </c>
      <c r="J1451" s="55"/>
    </row>
    <row r="1452" spans="1:10" ht="15" customHeight="1" x14ac:dyDescent="0.2">
      <c r="A1452" s="50">
        <f t="array" ref="A1452">+INDEX(Partidas!$A:$J,MATCH('Resultados dashboard'!$B1452,Partidas!$C:$C,0),2)</f>
        <v>45871</v>
      </c>
      <c r="B1452" s="56">
        <f>+IF(COUNTIF($B$2:B1451,B1451)=VLOOKUP(B1451,Partidas!$C:$J,8,0),B1451+1,B1451)</f>
        <v>320</v>
      </c>
      <c r="C1452" s="41" t="str">
        <f t="array" ref="C1452">+INDEX(Partidas!$A:$J,MATCH('Resultados dashboard'!$B1452,Partidas!$C:$C,0),3+COUNTIF($B$2:B1452,'Resultados dashboard'!$B1452))</f>
        <v>Max</v>
      </c>
      <c r="D1452" s="54">
        <v>4</v>
      </c>
      <c r="E1452" s="54">
        <v>2</v>
      </c>
      <c r="F1452" s="53"/>
      <c r="G1452" s="53"/>
      <c r="H1452" s="38">
        <f t="shared" si="12"/>
        <v>6</v>
      </c>
      <c r="I1452" s="38">
        <f t="shared" si="13"/>
        <v>2</v>
      </c>
      <c r="J1452" s="55"/>
    </row>
    <row r="1453" spans="1:10" ht="15" customHeight="1" x14ac:dyDescent="0.2">
      <c r="A1453" s="50">
        <f t="array" ref="A1453">+INDEX(Partidas!$A:$J,MATCH('Resultados dashboard'!$B1453,Partidas!$C:$C,0),2)</f>
        <v>45871</v>
      </c>
      <c r="B1453" s="56">
        <f>+IF(COUNTIF($B$2:B1452,B1452)=VLOOKUP(B1452,Partidas!$C:$J,8,0),B1452+1,B1452)</f>
        <v>321</v>
      </c>
      <c r="C1453" s="41" t="str">
        <f t="array" ref="C1453">+INDEX(Partidas!$A:$J,MATCH('Resultados dashboard'!$B1453,Partidas!$C:$C,0),3+COUNTIF($B$2:B1453,'Resultados dashboard'!$B1453))</f>
        <v>Gallo</v>
      </c>
      <c r="D1453" s="54">
        <v>8</v>
      </c>
      <c r="E1453" s="54">
        <v>1</v>
      </c>
      <c r="F1453" s="53"/>
      <c r="G1453" s="53"/>
      <c r="H1453" s="38">
        <f t="shared" si="12"/>
        <v>9</v>
      </c>
      <c r="I1453" s="38">
        <f t="shared" si="13"/>
        <v>2</v>
      </c>
      <c r="J1453" s="55"/>
    </row>
    <row r="1454" spans="1:10" ht="15" customHeight="1" x14ac:dyDescent="0.2">
      <c r="A1454" s="50">
        <f t="array" ref="A1454">+INDEX(Partidas!$A:$J,MATCH('Resultados dashboard'!$B1454,Partidas!$C:$C,0),2)</f>
        <v>45871</v>
      </c>
      <c r="B1454" s="56">
        <f>+IF(COUNTIF($B$2:B1453,B1453)=VLOOKUP(B1453,Partidas!$C:$J,8,0),B1453+1,B1453)</f>
        <v>321</v>
      </c>
      <c r="C1454" s="41" t="str">
        <f t="array" ref="C1454">+INDEX(Partidas!$A:$J,MATCH('Resultados dashboard'!$B1454,Partidas!$C:$C,0),3+COUNTIF($B$2:B1454,'Resultados dashboard'!$B1454))</f>
        <v>Ivo</v>
      </c>
      <c r="D1454" s="54">
        <v>4</v>
      </c>
      <c r="E1454" s="54">
        <v>1</v>
      </c>
      <c r="F1454" s="54">
        <v>1</v>
      </c>
      <c r="G1454" s="54">
        <v>1</v>
      </c>
      <c r="H1454" s="38">
        <f t="shared" si="12"/>
        <v>9</v>
      </c>
      <c r="I1454" s="38">
        <f t="shared" si="13"/>
        <v>2</v>
      </c>
      <c r="J1454" s="55"/>
    </row>
    <row r="1455" spans="1:10" ht="15" customHeight="1" x14ac:dyDescent="0.2">
      <c r="A1455" s="50">
        <f t="array" ref="A1455">+INDEX(Partidas!$A:$J,MATCH('Resultados dashboard'!$B1455,Partidas!$C:$C,0),2)</f>
        <v>45871</v>
      </c>
      <c r="B1455" s="56">
        <f>+IF(COUNTIF($B$2:B1454,B1454)=VLOOKUP(B1454,Partidas!$C:$J,8,0),B1454+1,B1454)</f>
        <v>321</v>
      </c>
      <c r="C1455" s="41" t="str">
        <f t="array" ref="C1455">+INDEX(Partidas!$A:$J,MATCH('Resultados dashboard'!$B1455,Partidas!$C:$C,0),3+COUNTIF($B$2:B1455,'Resultados dashboard'!$B1455))</f>
        <v>Moch</v>
      </c>
      <c r="D1455" s="54">
        <v>8</v>
      </c>
      <c r="E1455" s="54">
        <v>2</v>
      </c>
      <c r="F1455" s="53"/>
      <c r="G1455" s="53"/>
      <c r="H1455" s="38">
        <f t="shared" si="12"/>
        <v>10</v>
      </c>
      <c r="I1455" s="38">
        <f t="shared" si="13"/>
        <v>1</v>
      </c>
      <c r="J1455" s="55"/>
    </row>
    <row r="1456" spans="1:10" ht="15" customHeight="1" x14ac:dyDescent="0.2">
      <c r="A1456" s="50">
        <f t="array" ref="A1456">+INDEX(Partidas!$A:$J,MATCH('Resultados dashboard'!$B1456,Partidas!$C:$C,0),2)</f>
        <v>45871</v>
      </c>
      <c r="B1456" s="56">
        <f>+IF(COUNTIF($B$2:B1455,B1455)=VLOOKUP(B1455,Partidas!$C:$J,8,0),B1455+1,B1455)</f>
        <v>321</v>
      </c>
      <c r="C1456" s="41" t="str">
        <f t="array" ref="C1456">+INDEX(Partidas!$A:$J,MATCH('Resultados dashboard'!$B1456,Partidas!$C:$C,0),3+COUNTIF($B$2:B1456,'Resultados dashboard'!$B1456))</f>
        <v>Abegol</v>
      </c>
      <c r="D1456" s="54">
        <v>7</v>
      </c>
      <c r="E1456" s="53"/>
      <c r="F1456" s="53"/>
      <c r="G1456" s="53"/>
      <c r="H1456" s="38">
        <f t="shared" si="12"/>
        <v>7</v>
      </c>
      <c r="I1456" s="38">
        <f t="shared" si="13"/>
        <v>5</v>
      </c>
      <c r="J1456" s="55"/>
    </row>
    <row r="1457" spans="1:10" ht="15" customHeight="1" x14ac:dyDescent="0.2">
      <c r="A1457" s="50">
        <f t="array" ref="A1457">+INDEX(Partidas!$A:$J,MATCH('Resultados dashboard'!$B1457,Partidas!$C:$C,0),2)</f>
        <v>45871</v>
      </c>
      <c r="B1457" s="56">
        <f>+IF(COUNTIF($B$2:B1456,B1456)=VLOOKUP(B1456,Partidas!$C:$J,8,0),B1456+1,B1456)</f>
        <v>321</v>
      </c>
      <c r="C1457" s="41" t="str">
        <f t="array" ref="C1457">+INDEX(Partidas!$A:$J,MATCH('Resultados dashboard'!$B1457,Partidas!$C:$C,0),3+COUNTIF($B$2:B1457,'Resultados dashboard'!$B1457))</f>
        <v>Max</v>
      </c>
      <c r="D1457" s="54">
        <v>9</v>
      </c>
      <c r="E1457" s="53"/>
      <c r="F1457" s="53"/>
      <c r="G1457" s="53"/>
      <c r="H1457" s="38">
        <f t="shared" si="12"/>
        <v>9</v>
      </c>
      <c r="I1457" s="38">
        <f t="shared" si="13"/>
        <v>2</v>
      </c>
      <c r="J1457" s="55"/>
    </row>
    <row r="1458" spans="1:10" ht="15" customHeight="1" x14ac:dyDescent="0.2">
      <c r="A1458" s="50">
        <f t="array" ref="A1458">+INDEX(Partidas!$A:$J,MATCH('Resultados dashboard'!$B1458,Partidas!$C:$C,0),2)</f>
        <v>45871</v>
      </c>
      <c r="B1458" s="56">
        <f>+IF(COUNTIF($B$2:B1457,B1457)=VLOOKUP(B1457,Partidas!$C:$J,8,0),B1457+1,B1457)</f>
        <v>322</v>
      </c>
      <c r="C1458" s="41" t="str">
        <f t="array" ref="C1458">+INDEX(Partidas!$A:$J,MATCH('Resultados dashboard'!$B1458,Partidas!$C:$C,0),3+COUNTIF($B$2:B1458,'Resultados dashboard'!$B1458))</f>
        <v>Gallo</v>
      </c>
      <c r="D1458" s="54">
        <v>5</v>
      </c>
      <c r="E1458" s="53"/>
      <c r="F1458" s="53"/>
      <c r="G1458" s="53"/>
      <c r="H1458" s="38">
        <f t="shared" si="12"/>
        <v>5</v>
      </c>
      <c r="I1458" s="38">
        <f t="shared" si="13"/>
        <v>3</v>
      </c>
      <c r="J1458" s="55"/>
    </row>
    <row r="1459" spans="1:10" ht="15" customHeight="1" x14ac:dyDescent="0.2">
      <c r="A1459" s="50">
        <f t="array" ref="A1459">+INDEX(Partidas!$A:$J,MATCH('Resultados dashboard'!$B1459,Partidas!$C:$C,0),2)</f>
        <v>45871</v>
      </c>
      <c r="B1459" s="56">
        <f>+IF(COUNTIF($B$2:B1458,B1458)=VLOOKUP(B1458,Partidas!$C:$J,8,0),B1458+1,B1458)</f>
        <v>322</v>
      </c>
      <c r="C1459" s="41" t="str">
        <f t="array" ref="C1459">+INDEX(Partidas!$A:$J,MATCH('Resultados dashboard'!$B1459,Partidas!$C:$C,0),3+COUNTIF($B$2:B1459,'Resultados dashboard'!$B1459))</f>
        <v>Ivo</v>
      </c>
      <c r="D1459" s="54">
        <v>3</v>
      </c>
      <c r="E1459" s="53"/>
      <c r="F1459" s="53"/>
      <c r="G1459" s="53"/>
      <c r="H1459" s="38">
        <f t="shared" si="12"/>
        <v>3</v>
      </c>
      <c r="I1459" s="38">
        <f t="shared" si="13"/>
        <v>4</v>
      </c>
      <c r="J1459" s="55"/>
    </row>
    <row r="1460" spans="1:10" ht="15" customHeight="1" x14ac:dyDescent="0.2">
      <c r="A1460" s="50">
        <f t="array" ref="A1460">+INDEX(Partidas!$A:$J,MATCH('Resultados dashboard'!$B1460,Partidas!$C:$C,0),2)</f>
        <v>45871</v>
      </c>
      <c r="B1460" s="56">
        <f>+IF(COUNTIF($B$2:B1459,B1459)=VLOOKUP(B1459,Partidas!$C:$J,8,0),B1459+1,B1459)</f>
        <v>322</v>
      </c>
      <c r="C1460" s="41" t="str">
        <f t="array" ref="C1460">+INDEX(Partidas!$A:$J,MATCH('Resultados dashboard'!$B1460,Partidas!$C:$C,0),3+COUNTIF($B$2:B1460,'Resultados dashboard'!$B1460))</f>
        <v>Moch</v>
      </c>
      <c r="D1460" s="54">
        <v>3</v>
      </c>
      <c r="E1460" s="53"/>
      <c r="F1460" s="53"/>
      <c r="G1460" s="53"/>
      <c r="H1460" s="38">
        <f t="shared" si="12"/>
        <v>3</v>
      </c>
      <c r="I1460" s="38">
        <f t="shared" si="13"/>
        <v>4</v>
      </c>
      <c r="J1460" s="55"/>
    </row>
    <row r="1461" spans="1:10" ht="15" customHeight="1" x14ac:dyDescent="0.2">
      <c r="A1461" s="50">
        <f t="array" ref="A1461">+INDEX(Partidas!$A:$J,MATCH('Resultados dashboard'!$B1461,Partidas!$C:$C,0),2)</f>
        <v>45871</v>
      </c>
      <c r="B1461" s="56">
        <f>+IF(COUNTIF($B$2:B1460,B1460)=VLOOKUP(B1460,Partidas!$C:$J,8,0),B1460+1,B1460)</f>
        <v>322</v>
      </c>
      <c r="C1461" s="41" t="str">
        <f t="array" ref="C1461">+INDEX(Partidas!$A:$J,MATCH('Resultados dashboard'!$B1461,Partidas!$C:$C,0),3+COUNTIF($B$2:B1461,'Resultados dashboard'!$B1461))</f>
        <v>Abegol</v>
      </c>
      <c r="D1461" s="54">
        <v>6</v>
      </c>
      <c r="E1461" s="54">
        <v>1</v>
      </c>
      <c r="F1461" s="54">
        <v>1</v>
      </c>
      <c r="G1461" s="54">
        <v>1</v>
      </c>
      <c r="H1461" s="38">
        <f t="shared" si="12"/>
        <v>11</v>
      </c>
      <c r="I1461" s="38">
        <f t="shared" si="13"/>
        <v>1</v>
      </c>
      <c r="J1461" s="55"/>
    </row>
    <row r="1462" spans="1:10" ht="15" customHeight="1" x14ac:dyDescent="0.2">
      <c r="A1462" s="50">
        <f t="array" ref="A1462">+INDEX(Partidas!$A:$J,MATCH('Resultados dashboard'!$B1462,Partidas!$C:$C,0),2)</f>
        <v>45871</v>
      </c>
      <c r="B1462" s="56">
        <f>+IF(COUNTIF($B$2:B1461,B1461)=VLOOKUP(B1461,Partidas!$C:$J,8,0),B1461+1,B1461)</f>
        <v>322</v>
      </c>
      <c r="C1462" s="41" t="str">
        <f t="array" ref="C1462">+INDEX(Partidas!$A:$J,MATCH('Resultados dashboard'!$B1462,Partidas!$C:$C,0),3+COUNTIF($B$2:B1462,'Resultados dashboard'!$B1462))</f>
        <v>Max</v>
      </c>
      <c r="D1462" s="54">
        <v>6</v>
      </c>
      <c r="E1462" s="53"/>
      <c r="F1462" s="53"/>
      <c r="G1462" s="53"/>
      <c r="H1462" s="38">
        <f t="shared" si="12"/>
        <v>6</v>
      </c>
      <c r="I1462" s="38">
        <f t="shared" si="13"/>
        <v>2</v>
      </c>
      <c r="J1462" s="55"/>
    </row>
    <row r="1463" spans="1:10" ht="15" customHeight="1" x14ac:dyDescent="0.2">
      <c r="A1463" s="50">
        <f t="array" ref="A1463">+INDEX(Partidas!$A:$J,MATCH('Resultados dashboard'!$B1463,Partidas!$C:$C,0),2)</f>
        <v>45871</v>
      </c>
      <c r="B1463" s="56">
        <f>+IF(COUNTIF($B$2:B1462,B1462)=VLOOKUP(B1462,Partidas!$C:$J,8,0),B1462+1,B1462)</f>
        <v>323</v>
      </c>
      <c r="C1463" s="41" t="str">
        <f t="array" ref="C1463">+INDEX(Partidas!$A:$J,MATCH('Resultados dashboard'!$B1463,Partidas!$C:$C,0),3+COUNTIF($B$2:B1463,'Resultados dashboard'!$B1463))</f>
        <v>Gallo</v>
      </c>
      <c r="D1463" s="54">
        <v>8</v>
      </c>
      <c r="E1463" s="53"/>
      <c r="F1463" s="53"/>
      <c r="G1463" s="54">
        <v>1</v>
      </c>
      <c r="H1463" s="38">
        <f t="shared" si="12"/>
        <v>10</v>
      </c>
      <c r="I1463" s="38">
        <f t="shared" si="13"/>
        <v>1</v>
      </c>
      <c r="J1463" s="55"/>
    </row>
    <row r="1464" spans="1:10" ht="15" customHeight="1" x14ac:dyDescent="0.2">
      <c r="A1464" s="50">
        <f t="array" ref="A1464">+INDEX(Partidas!$A:$J,MATCH('Resultados dashboard'!$B1464,Partidas!$C:$C,0),2)</f>
        <v>45871</v>
      </c>
      <c r="B1464" s="56">
        <f>+IF(COUNTIF($B$2:B1463,B1463)=VLOOKUP(B1463,Partidas!$C:$J,8,0),B1463+1,B1463)</f>
        <v>323</v>
      </c>
      <c r="C1464" s="41" t="str">
        <f t="array" ref="C1464">+INDEX(Partidas!$A:$J,MATCH('Resultados dashboard'!$B1464,Partidas!$C:$C,0),3+COUNTIF($B$2:B1464,'Resultados dashboard'!$B1464))</f>
        <v>Ivo</v>
      </c>
      <c r="D1464" s="54">
        <v>7</v>
      </c>
      <c r="E1464" s="53"/>
      <c r="F1464" s="53"/>
      <c r="G1464" s="53"/>
      <c r="H1464" s="38">
        <f t="shared" si="12"/>
        <v>7</v>
      </c>
      <c r="I1464" s="38">
        <f t="shared" si="13"/>
        <v>3</v>
      </c>
      <c r="J1464" s="55"/>
    </row>
    <row r="1465" spans="1:10" ht="15" customHeight="1" x14ac:dyDescent="0.2">
      <c r="A1465" s="50">
        <f t="array" ref="A1465">+INDEX(Partidas!$A:$J,MATCH('Resultados dashboard'!$B1465,Partidas!$C:$C,0),2)</f>
        <v>45871</v>
      </c>
      <c r="B1465" s="56">
        <f>+IF(COUNTIF($B$2:B1464,B1464)=VLOOKUP(B1464,Partidas!$C:$J,8,0),B1464+1,B1464)</f>
        <v>323</v>
      </c>
      <c r="C1465" s="41" t="str">
        <f t="array" ref="C1465">+INDEX(Partidas!$A:$J,MATCH('Resultados dashboard'!$B1465,Partidas!$C:$C,0),3+COUNTIF($B$2:B1465,'Resultados dashboard'!$B1465))</f>
        <v>Moch</v>
      </c>
      <c r="D1465" s="54">
        <v>5</v>
      </c>
      <c r="E1465" s="53"/>
      <c r="F1465" s="53"/>
      <c r="G1465" s="53"/>
      <c r="H1465" s="38">
        <f t="shared" si="12"/>
        <v>5</v>
      </c>
      <c r="I1465" s="38">
        <f t="shared" si="13"/>
        <v>5</v>
      </c>
      <c r="J1465" s="55"/>
    </row>
    <row r="1466" spans="1:10" ht="15" customHeight="1" x14ac:dyDescent="0.2">
      <c r="A1466" s="50">
        <f t="array" ref="A1466">+INDEX(Partidas!$A:$J,MATCH('Resultados dashboard'!$B1466,Partidas!$C:$C,0),2)</f>
        <v>45871</v>
      </c>
      <c r="B1466" s="56">
        <f>+IF(COUNTIF($B$2:B1465,B1465)=VLOOKUP(B1465,Partidas!$C:$J,8,0),B1465+1,B1465)</f>
        <v>323</v>
      </c>
      <c r="C1466" s="41" t="str">
        <f t="array" ref="C1466">+INDEX(Partidas!$A:$J,MATCH('Resultados dashboard'!$B1466,Partidas!$C:$C,0),3+COUNTIF($B$2:B1466,'Resultados dashboard'!$B1466))</f>
        <v>Abegol</v>
      </c>
      <c r="D1466" s="54">
        <v>6</v>
      </c>
      <c r="E1466" s="53"/>
      <c r="F1466" s="53"/>
      <c r="G1466" s="53"/>
      <c r="H1466" s="38">
        <f t="shared" si="12"/>
        <v>6</v>
      </c>
      <c r="I1466" s="38">
        <f t="shared" si="13"/>
        <v>4</v>
      </c>
      <c r="J1466" s="55"/>
    </row>
    <row r="1467" spans="1:10" ht="15" customHeight="1" x14ac:dyDescent="0.2">
      <c r="A1467" s="50">
        <f t="array" ref="A1467">+INDEX(Partidas!$A:$J,MATCH('Resultados dashboard'!$B1467,Partidas!$C:$C,0),2)</f>
        <v>45871</v>
      </c>
      <c r="B1467" s="56">
        <f>+IF(COUNTIF($B$2:B1466,B1466)=VLOOKUP(B1466,Partidas!$C:$J,8,0),B1466+1,B1466)</f>
        <v>323</v>
      </c>
      <c r="C1467" s="41" t="str">
        <f t="array" ref="C1467">+INDEX(Partidas!$A:$J,MATCH('Resultados dashboard'!$B1467,Partidas!$C:$C,0),3+COUNTIF($B$2:B1467,'Resultados dashboard'!$B1467))</f>
        <v>Max</v>
      </c>
      <c r="D1467" s="54">
        <v>8</v>
      </c>
      <c r="E1467" s="53"/>
      <c r="F1467" s="53"/>
      <c r="G1467" s="53"/>
      <c r="H1467" s="38">
        <f t="shared" si="12"/>
        <v>8</v>
      </c>
      <c r="I1467" s="38">
        <f t="shared" si="13"/>
        <v>2</v>
      </c>
      <c r="J1467" s="55"/>
    </row>
    <row r="1468" spans="1:10" ht="15" customHeight="1" x14ac:dyDescent="0.2">
      <c r="A1468" s="50">
        <f t="array" ref="A1468">+INDEX(Partidas!$A:$J,MATCH('Resultados dashboard'!$B1468,Partidas!$C:$C,0),2)</f>
        <v>45871</v>
      </c>
      <c r="B1468" s="56">
        <f>+IF(COUNTIF($B$2:B1467,B1467)=VLOOKUP(B1467,Partidas!$C:$J,8,0),B1467+1,B1467)</f>
        <v>324</v>
      </c>
      <c r="C1468" s="41" t="str">
        <f t="array" ref="C1468">+INDEX(Partidas!$A:$J,MATCH('Resultados dashboard'!$B1468,Partidas!$C:$C,0),3+COUNTIF($B$2:B1468,'Resultados dashboard'!$B1468))</f>
        <v>Gallo</v>
      </c>
      <c r="D1468" s="54">
        <v>5</v>
      </c>
      <c r="E1468" s="53"/>
      <c r="F1468" s="54">
        <v>1</v>
      </c>
      <c r="G1468" s="53"/>
      <c r="H1468" s="38">
        <f t="shared" si="12"/>
        <v>7</v>
      </c>
      <c r="I1468" s="38">
        <f t="shared" si="13"/>
        <v>4</v>
      </c>
      <c r="J1468" s="55"/>
    </row>
    <row r="1469" spans="1:10" ht="15" customHeight="1" x14ac:dyDescent="0.2">
      <c r="A1469" s="50">
        <f t="array" ref="A1469">+INDEX(Partidas!$A:$J,MATCH('Resultados dashboard'!$B1469,Partidas!$C:$C,0),2)</f>
        <v>45871</v>
      </c>
      <c r="B1469" s="56">
        <f>+IF(COUNTIF($B$2:B1468,B1468)=VLOOKUP(B1468,Partidas!$C:$J,8,0),B1468+1,B1468)</f>
        <v>324</v>
      </c>
      <c r="C1469" s="41" t="str">
        <f t="array" ref="C1469">+INDEX(Partidas!$A:$J,MATCH('Resultados dashboard'!$B1469,Partidas!$C:$C,0),3+COUNTIF($B$2:B1469,'Resultados dashboard'!$B1469))</f>
        <v>Ivo</v>
      </c>
      <c r="D1469" s="54">
        <v>6</v>
      </c>
      <c r="E1469" s="54">
        <v>1</v>
      </c>
      <c r="F1469" s="53"/>
      <c r="G1469" s="53"/>
      <c r="H1469" s="38">
        <f t="shared" si="12"/>
        <v>7</v>
      </c>
      <c r="I1469" s="38">
        <f t="shared" si="13"/>
        <v>4</v>
      </c>
      <c r="J1469" s="55"/>
    </row>
    <row r="1470" spans="1:10" ht="15" customHeight="1" x14ac:dyDescent="0.2">
      <c r="A1470" s="50">
        <f t="array" ref="A1470">+INDEX(Partidas!$A:$J,MATCH('Resultados dashboard'!$B1470,Partidas!$C:$C,0),2)</f>
        <v>45871</v>
      </c>
      <c r="B1470" s="56">
        <f>+IF(COUNTIF($B$2:B1469,B1469)=VLOOKUP(B1469,Partidas!$C:$J,8,0),B1469+1,B1469)</f>
        <v>324</v>
      </c>
      <c r="C1470" s="41" t="str">
        <f t="array" ref="C1470">+INDEX(Partidas!$A:$J,MATCH('Resultados dashboard'!$B1470,Partidas!$C:$C,0),3+COUNTIF($B$2:B1470,'Resultados dashboard'!$B1470))</f>
        <v>Moch</v>
      </c>
      <c r="D1470" s="54">
        <v>5</v>
      </c>
      <c r="E1470" s="54">
        <v>1</v>
      </c>
      <c r="F1470" s="53"/>
      <c r="G1470" s="54">
        <v>1</v>
      </c>
      <c r="H1470" s="38">
        <f t="shared" si="12"/>
        <v>8</v>
      </c>
      <c r="I1470" s="38">
        <f t="shared" si="13"/>
        <v>3</v>
      </c>
      <c r="J1470" s="55"/>
    </row>
    <row r="1471" spans="1:10" ht="15" customHeight="1" x14ac:dyDescent="0.2">
      <c r="A1471" s="50">
        <f t="array" ref="A1471">+INDEX(Partidas!$A:$J,MATCH('Resultados dashboard'!$B1471,Partidas!$C:$C,0),2)</f>
        <v>45871</v>
      </c>
      <c r="B1471" s="56">
        <f>+IF(COUNTIF($B$2:B1470,B1470)=VLOOKUP(B1470,Partidas!$C:$J,8,0),B1470+1,B1470)</f>
        <v>324</v>
      </c>
      <c r="C1471" s="41" t="str">
        <f t="array" ref="C1471">+INDEX(Partidas!$A:$J,MATCH('Resultados dashboard'!$B1471,Partidas!$C:$C,0),3+COUNTIF($B$2:B1471,'Resultados dashboard'!$B1471))</f>
        <v>Abegol</v>
      </c>
      <c r="D1471" s="54">
        <v>7</v>
      </c>
      <c r="E1471" s="54">
        <v>3</v>
      </c>
      <c r="F1471" s="53"/>
      <c r="G1471" s="53"/>
      <c r="H1471" s="38">
        <f t="shared" si="12"/>
        <v>10</v>
      </c>
      <c r="I1471" s="38">
        <f t="shared" si="13"/>
        <v>1</v>
      </c>
      <c r="J1471" s="55"/>
    </row>
    <row r="1472" spans="1:10" ht="15" customHeight="1" x14ac:dyDescent="0.2">
      <c r="A1472" s="50">
        <f t="array" ref="A1472">+INDEX(Partidas!$A:$J,MATCH('Resultados dashboard'!$B1472,Partidas!$C:$C,0),2)</f>
        <v>45871</v>
      </c>
      <c r="B1472" s="56">
        <f>+IF(COUNTIF($B$2:B1471,B1471)=VLOOKUP(B1471,Partidas!$C:$J,8,0),B1471+1,B1471)</f>
        <v>324</v>
      </c>
      <c r="C1472" s="41" t="str">
        <f t="array" ref="C1472">+INDEX(Partidas!$A:$J,MATCH('Resultados dashboard'!$B1472,Partidas!$C:$C,0),3+COUNTIF($B$2:B1472,'Resultados dashboard'!$B1472))</f>
        <v>Max</v>
      </c>
      <c r="D1472" s="54">
        <v>9</v>
      </c>
      <c r="E1472" s="53"/>
      <c r="F1472" s="53"/>
      <c r="G1472" s="53"/>
      <c r="H1472" s="38">
        <f t="shared" si="12"/>
        <v>9</v>
      </c>
      <c r="I1472" s="38">
        <f t="shared" si="13"/>
        <v>2</v>
      </c>
      <c r="J1472" s="55"/>
    </row>
    <row r="1473" spans="1:10" ht="15" customHeight="1" x14ac:dyDescent="0.2">
      <c r="A1473" s="50">
        <f t="array" ref="A1473">+INDEX(Partidas!$A:$J,MATCH('Resultados dashboard'!$B1473,Partidas!$C:$C,0),2)</f>
        <v>45878</v>
      </c>
      <c r="B1473" s="56">
        <f>+IF(COUNTIF($B$2:B1472,B1472)=VLOOKUP(B1472,Partidas!$C:$J,8,0),B1472+1,B1472)</f>
        <v>325</v>
      </c>
      <c r="C1473" s="41" t="str">
        <f t="array" ref="C1473">+INDEX(Partidas!$A:$J,MATCH('Resultados dashboard'!$B1473,Partidas!$C:$C,0),3+COUNTIF($B$2:B1473,'Resultados dashboard'!$B1473))</f>
        <v>Gallo</v>
      </c>
      <c r="D1473" s="54">
        <v>5</v>
      </c>
      <c r="E1473" s="53"/>
      <c r="F1473" s="53"/>
      <c r="G1473" s="53"/>
      <c r="H1473" s="38">
        <f t="shared" si="12"/>
        <v>5</v>
      </c>
      <c r="I1473" s="38">
        <f t="shared" si="13"/>
        <v>3</v>
      </c>
      <c r="J1473" s="55"/>
    </row>
    <row r="1474" spans="1:10" ht="15" customHeight="1" x14ac:dyDescent="0.2">
      <c r="A1474" s="50">
        <f t="array" ref="A1474">+INDEX(Partidas!$A:$J,MATCH('Resultados dashboard'!$B1474,Partidas!$C:$C,0),2)</f>
        <v>45878</v>
      </c>
      <c r="B1474" s="56">
        <f>+IF(COUNTIF($B$2:B1473,B1473)=VLOOKUP(B1473,Partidas!$C:$J,8,0),B1473+1,B1473)</f>
        <v>325</v>
      </c>
      <c r="C1474" s="41" t="str">
        <f t="array" ref="C1474">+INDEX(Partidas!$A:$J,MATCH('Resultados dashboard'!$B1474,Partidas!$C:$C,0),3+COUNTIF($B$2:B1474,'Resultados dashboard'!$B1474))</f>
        <v>Max</v>
      </c>
      <c r="D1474" s="54">
        <v>4</v>
      </c>
      <c r="E1474" s="53"/>
      <c r="F1474" s="53"/>
      <c r="G1474" s="53"/>
      <c r="H1474" s="38">
        <f t="shared" si="12"/>
        <v>4</v>
      </c>
      <c r="I1474" s="38">
        <f t="shared" si="13"/>
        <v>4</v>
      </c>
      <c r="J1474" s="55"/>
    </row>
    <row r="1475" spans="1:10" ht="15" customHeight="1" x14ac:dyDescent="0.2">
      <c r="A1475" s="50">
        <f t="array" ref="A1475">+INDEX(Partidas!$A:$J,MATCH('Resultados dashboard'!$B1475,Partidas!$C:$C,0),2)</f>
        <v>45878</v>
      </c>
      <c r="B1475" s="56">
        <f>+IF(COUNTIF($B$2:B1474,B1474)=VLOOKUP(B1474,Partidas!$C:$J,8,0),B1474+1,B1474)</f>
        <v>325</v>
      </c>
      <c r="C1475" s="41" t="str">
        <f t="array" ref="C1475">+INDEX(Partidas!$A:$J,MATCH('Resultados dashboard'!$B1475,Partidas!$C:$C,0),3+COUNTIF($B$2:B1475,'Resultados dashboard'!$B1475))</f>
        <v>Moch</v>
      </c>
      <c r="D1475" s="54">
        <v>7</v>
      </c>
      <c r="E1475" s="54">
        <v>1</v>
      </c>
      <c r="F1475" s="53"/>
      <c r="G1475" s="54">
        <v>1</v>
      </c>
      <c r="H1475" s="38">
        <f t="shared" si="12"/>
        <v>10</v>
      </c>
      <c r="I1475" s="38">
        <f t="shared" si="13"/>
        <v>1</v>
      </c>
      <c r="J1475" s="55"/>
    </row>
    <row r="1476" spans="1:10" ht="15" customHeight="1" x14ac:dyDescent="0.2">
      <c r="A1476" s="50">
        <f t="array" ref="A1476">+INDEX(Partidas!$A:$J,MATCH('Resultados dashboard'!$B1476,Partidas!$C:$C,0),2)</f>
        <v>45878</v>
      </c>
      <c r="B1476" s="56">
        <f>+IF(COUNTIF($B$2:B1475,B1475)=VLOOKUP(B1475,Partidas!$C:$J,8,0),B1475+1,B1475)</f>
        <v>325</v>
      </c>
      <c r="C1476" s="41" t="str">
        <f t="array" ref="C1476">+INDEX(Partidas!$A:$J,MATCH('Resultados dashboard'!$B1476,Partidas!$C:$C,0),3+COUNTIF($B$2:B1476,'Resultados dashboard'!$B1476))</f>
        <v>Hugo</v>
      </c>
      <c r="D1476" s="54">
        <v>5</v>
      </c>
      <c r="E1476" s="53"/>
      <c r="F1476" s="54">
        <v>1</v>
      </c>
      <c r="G1476" s="53"/>
      <c r="H1476" s="38">
        <f t="shared" si="12"/>
        <v>7</v>
      </c>
      <c r="I1476" s="38">
        <f t="shared" si="13"/>
        <v>2</v>
      </c>
      <c r="J1476" s="55"/>
    </row>
    <row r="1477" spans="1:10" ht="15" customHeight="1" x14ac:dyDescent="0.2">
      <c r="A1477" s="50">
        <f t="array" ref="A1477">+INDEX(Partidas!$A:$J,MATCH('Resultados dashboard'!$B1477,Partidas!$C:$C,0),2)</f>
        <v>45878</v>
      </c>
      <c r="B1477" s="56">
        <f>+IF(COUNTIF($B$2:B1476,B1476)=VLOOKUP(B1476,Partidas!$C:$J,8,0),B1476+1,B1476)</f>
        <v>325</v>
      </c>
      <c r="C1477" s="41" t="str">
        <f t="array" ref="C1477">+INDEX(Partidas!$A:$J,MATCH('Resultados dashboard'!$B1477,Partidas!$C:$C,0),3+COUNTIF($B$2:B1477,'Resultados dashboard'!$B1477))</f>
        <v>Gaspa</v>
      </c>
      <c r="D1477" s="54">
        <v>4</v>
      </c>
      <c r="E1477" s="53"/>
      <c r="F1477" s="53"/>
      <c r="G1477" s="53"/>
      <c r="H1477" s="38">
        <f t="shared" si="12"/>
        <v>4</v>
      </c>
      <c r="I1477" s="38">
        <f t="shared" si="13"/>
        <v>4</v>
      </c>
      <c r="J1477" s="55"/>
    </row>
    <row r="1478" spans="1:10" ht="15" customHeight="1" x14ac:dyDescent="0.2">
      <c r="A1478" s="50">
        <f t="array" ref="A1478">+INDEX(Partidas!$A:$J,MATCH('Resultados dashboard'!$B1478,Partidas!$C:$C,0),2)</f>
        <v>45878</v>
      </c>
      <c r="B1478" s="56">
        <f>+IF(COUNTIF($B$2:B1477,B1477)=VLOOKUP(B1477,Partidas!$C:$J,8,0),B1477+1,B1477)</f>
        <v>326</v>
      </c>
      <c r="C1478" s="41" t="str">
        <f t="array" ref="C1478">+INDEX(Partidas!$A:$J,MATCH('Resultados dashboard'!$B1478,Partidas!$C:$C,0),3+COUNTIF($B$2:B1478,'Resultados dashboard'!$B1478))</f>
        <v>Gallo</v>
      </c>
      <c r="D1478" s="54">
        <v>5</v>
      </c>
      <c r="E1478" s="53"/>
      <c r="F1478" s="53"/>
      <c r="G1478" s="53"/>
      <c r="H1478" s="38">
        <f t="shared" si="12"/>
        <v>5</v>
      </c>
      <c r="I1478" s="38">
        <f t="shared" si="13"/>
        <v>5</v>
      </c>
      <c r="J1478" s="55"/>
    </row>
    <row r="1479" spans="1:10" ht="15" customHeight="1" x14ac:dyDescent="0.2">
      <c r="A1479" s="50">
        <f t="array" ref="A1479">+INDEX(Partidas!$A:$J,MATCH('Resultados dashboard'!$B1479,Partidas!$C:$C,0),2)</f>
        <v>45878</v>
      </c>
      <c r="B1479" s="56">
        <f>+IF(COUNTIF($B$2:B1478,B1478)=VLOOKUP(B1478,Partidas!$C:$J,8,0),B1478+1,B1478)</f>
        <v>326</v>
      </c>
      <c r="C1479" s="41" t="str">
        <f t="array" ref="C1479">+INDEX(Partidas!$A:$J,MATCH('Resultados dashboard'!$B1479,Partidas!$C:$C,0),3+COUNTIF($B$2:B1479,'Resultados dashboard'!$B1479))</f>
        <v>Gaspa</v>
      </c>
      <c r="D1479" s="54">
        <v>5</v>
      </c>
      <c r="E1479" s="54">
        <v>1</v>
      </c>
      <c r="F1479" s="54">
        <v>1</v>
      </c>
      <c r="G1479" s="53"/>
      <c r="H1479" s="38">
        <f t="shared" si="12"/>
        <v>8</v>
      </c>
      <c r="I1479" s="38">
        <f t="shared" si="13"/>
        <v>3</v>
      </c>
      <c r="J1479" s="55"/>
    </row>
    <row r="1480" spans="1:10" ht="15" customHeight="1" x14ac:dyDescent="0.2">
      <c r="A1480" s="50">
        <f t="array" ref="A1480">+INDEX(Partidas!$A:$J,MATCH('Resultados dashboard'!$B1480,Partidas!$C:$C,0),2)</f>
        <v>45878</v>
      </c>
      <c r="B1480" s="56">
        <f>+IF(COUNTIF($B$2:B1479,B1479)=VLOOKUP(B1479,Partidas!$C:$J,8,0),B1479+1,B1479)</f>
        <v>326</v>
      </c>
      <c r="C1480" s="41" t="str">
        <f t="array" ref="C1480">+INDEX(Partidas!$A:$J,MATCH('Resultados dashboard'!$B1480,Partidas!$C:$C,0),3+COUNTIF($B$2:B1480,'Resultados dashboard'!$B1480))</f>
        <v>Hugo</v>
      </c>
      <c r="D1480" s="54">
        <v>7</v>
      </c>
      <c r="E1480" s="54">
        <v>1</v>
      </c>
      <c r="F1480" s="53"/>
      <c r="G1480" s="54">
        <v>1</v>
      </c>
      <c r="H1480" s="38">
        <f t="shared" si="12"/>
        <v>10</v>
      </c>
      <c r="I1480" s="38">
        <f t="shared" si="13"/>
        <v>1</v>
      </c>
      <c r="J1480" s="55"/>
    </row>
    <row r="1481" spans="1:10" ht="15" customHeight="1" x14ac:dyDescent="0.2">
      <c r="A1481" s="50">
        <f t="array" ref="A1481">+INDEX(Partidas!$A:$J,MATCH('Resultados dashboard'!$B1481,Partidas!$C:$C,0),2)</f>
        <v>45878</v>
      </c>
      <c r="B1481" s="56">
        <f>+IF(COUNTIF($B$2:B1480,B1480)=VLOOKUP(B1480,Partidas!$C:$J,8,0),B1480+1,B1480)</f>
        <v>326</v>
      </c>
      <c r="C1481" s="41" t="str">
        <f t="array" ref="C1481">+INDEX(Partidas!$A:$J,MATCH('Resultados dashboard'!$B1481,Partidas!$C:$C,0),3+COUNTIF($B$2:B1481,'Resultados dashboard'!$B1481))</f>
        <v>Max</v>
      </c>
      <c r="D1481" s="54">
        <v>6</v>
      </c>
      <c r="E1481" s="53"/>
      <c r="F1481" s="53"/>
      <c r="G1481" s="53"/>
      <c r="H1481" s="38">
        <f t="shared" si="12"/>
        <v>6</v>
      </c>
      <c r="I1481" s="38">
        <f t="shared" si="13"/>
        <v>4</v>
      </c>
      <c r="J1481" s="55"/>
    </row>
    <row r="1482" spans="1:10" ht="15" customHeight="1" x14ac:dyDescent="0.2">
      <c r="A1482" s="50">
        <f t="array" ref="A1482">+INDEX(Partidas!$A:$J,MATCH('Resultados dashboard'!$B1482,Partidas!$C:$C,0),2)</f>
        <v>45878</v>
      </c>
      <c r="B1482" s="56">
        <f>+IF(COUNTIF($B$2:B1481,B1481)=VLOOKUP(B1481,Partidas!$C:$J,8,0),B1481+1,B1481)</f>
        <v>326</v>
      </c>
      <c r="C1482" s="41" t="str">
        <f t="array" ref="C1482">+INDEX(Partidas!$A:$J,MATCH('Resultados dashboard'!$B1482,Partidas!$C:$C,0),3+COUNTIF($B$2:B1482,'Resultados dashboard'!$B1482))</f>
        <v>Ivo</v>
      </c>
      <c r="D1482" s="54">
        <v>5</v>
      </c>
      <c r="E1482" s="53"/>
      <c r="F1482" s="53"/>
      <c r="G1482" s="53"/>
      <c r="H1482" s="38">
        <f t="shared" si="12"/>
        <v>5</v>
      </c>
      <c r="I1482" s="38">
        <f t="shared" si="13"/>
        <v>5</v>
      </c>
      <c r="J1482" s="55"/>
    </row>
    <row r="1483" spans="1:10" ht="15" customHeight="1" x14ac:dyDescent="0.2">
      <c r="A1483" s="50">
        <f t="array" ref="A1483">+INDEX(Partidas!$A:$J,MATCH('Resultados dashboard'!$B1483,Partidas!$C:$C,0),2)</f>
        <v>45878</v>
      </c>
      <c r="B1483" s="56">
        <f>+IF(COUNTIF($B$2:B1482,B1482)=VLOOKUP(B1482,Partidas!$C:$J,8,0),B1482+1,B1482)</f>
        <v>326</v>
      </c>
      <c r="C1483" s="41" t="str">
        <f t="array" ref="C1483">+INDEX(Partidas!$A:$J,MATCH('Resultados dashboard'!$B1483,Partidas!$C:$C,0),3+COUNTIF($B$2:B1483,'Resultados dashboard'!$B1483))</f>
        <v>Moch</v>
      </c>
      <c r="D1483" s="54">
        <v>7</v>
      </c>
      <c r="E1483" s="54">
        <v>2</v>
      </c>
      <c r="F1483" s="53"/>
      <c r="G1483" s="53"/>
      <c r="H1483" s="38">
        <f t="shared" si="12"/>
        <v>9</v>
      </c>
      <c r="I1483" s="38">
        <f t="shared" si="13"/>
        <v>2</v>
      </c>
      <c r="J1483" s="55"/>
    </row>
    <row r="1484" spans="1:10" ht="15" customHeight="1" x14ac:dyDescent="0.2">
      <c r="A1484" s="50">
        <f t="array" ref="A1484">+INDEX(Partidas!$A:$J,MATCH('Resultados dashboard'!$B1484,Partidas!$C:$C,0),2)</f>
        <v>45878</v>
      </c>
      <c r="B1484" s="56">
        <f>+IF(COUNTIF($B$2:B1483,B1483)=VLOOKUP(B1483,Partidas!$C:$J,8,0),B1483+1,B1483)</f>
        <v>327</v>
      </c>
      <c r="C1484" s="41" t="str">
        <f t="array" ref="C1484">+INDEX(Partidas!$A:$J,MATCH('Resultados dashboard'!$B1484,Partidas!$C:$C,0),3+COUNTIF($B$2:B1484,'Resultados dashboard'!$B1484))</f>
        <v>Gallo</v>
      </c>
      <c r="D1484" s="54">
        <v>6</v>
      </c>
      <c r="E1484" s="54">
        <v>1</v>
      </c>
      <c r="F1484" s="54">
        <v>1</v>
      </c>
      <c r="G1484" s="53"/>
      <c r="H1484" s="38">
        <f t="shared" si="12"/>
        <v>9</v>
      </c>
      <c r="I1484" s="38">
        <f t="shared" si="13"/>
        <v>2</v>
      </c>
      <c r="J1484" s="55"/>
    </row>
    <row r="1485" spans="1:10" ht="15" customHeight="1" x14ac:dyDescent="0.2">
      <c r="A1485" s="50">
        <f t="array" ref="A1485">+INDEX(Partidas!$A:$J,MATCH('Resultados dashboard'!$B1485,Partidas!$C:$C,0),2)</f>
        <v>45878</v>
      </c>
      <c r="B1485" s="56">
        <f>+IF(COUNTIF($B$2:B1484,B1484)=VLOOKUP(B1484,Partidas!$C:$J,8,0),B1484+1,B1484)</f>
        <v>327</v>
      </c>
      <c r="C1485" s="41" t="str">
        <f t="array" ref="C1485">+INDEX(Partidas!$A:$J,MATCH('Resultados dashboard'!$B1485,Partidas!$C:$C,0),3+COUNTIF($B$2:B1485,'Resultados dashboard'!$B1485))</f>
        <v>Gaspa</v>
      </c>
      <c r="D1485" s="54">
        <v>5</v>
      </c>
      <c r="E1485" s="54">
        <v>1</v>
      </c>
      <c r="F1485" s="53"/>
      <c r="G1485" s="53"/>
      <c r="H1485" s="38">
        <f t="shared" si="12"/>
        <v>6</v>
      </c>
      <c r="I1485" s="38">
        <f t="shared" si="13"/>
        <v>3</v>
      </c>
      <c r="J1485" s="55"/>
    </row>
    <row r="1486" spans="1:10" ht="15" customHeight="1" x14ac:dyDescent="0.2">
      <c r="A1486" s="50">
        <f t="array" ref="A1486">+INDEX(Partidas!$A:$J,MATCH('Resultados dashboard'!$B1486,Partidas!$C:$C,0),2)</f>
        <v>45878</v>
      </c>
      <c r="B1486" s="56">
        <f>+IF(COUNTIF($B$2:B1485,B1485)=VLOOKUP(B1485,Partidas!$C:$J,8,0),B1485+1,B1485)</f>
        <v>327</v>
      </c>
      <c r="C1486" s="41" t="str">
        <f t="array" ref="C1486">+INDEX(Partidas!$A:$J,MATCH('Resultados dashboard'!$B1486,Partidas!$C:$C,0),3+COUNTIF($B$2:B1486,'Resultados dashboard'!$B1486))</f>
        <v>Hugo</v>
      </c>
      <c r="D1486" s="54">
        <v>4</v>
      </c>
      <c r="E1486" s="54">
        <v>1</v>
      </c>
      <c r="F1486" s="53"/>
      <c r="G1486" s="53"/>
      <c r="H1486" s="38">
        <f t="shared" si="12"/>
        <v>5</v>
      </c>
      <c r="I1486" s="38">
        <f t="shared" si="13"/>
        <v>5</v>
      </c>
      <c r="J1486" s="55"/>
    </row>
    <row r="1487" spans="1:10" ht="15" customHeight="1" x14ac:dyDescent="0.2">
      <c r="A1487" s="50">
        <f t="array" ref="A1487">+INDEX(Partidas!$A:$J,MATCH('Resultados dashboard'!$B1487,Partidas!$C:$C,0),2)</f>
        <v>45878</v>
      </c>
      <c r="B1487" s="56">
        <f>+IF(COUNTIF($B$2:B1486,B1486)=VLOOKUP(B1486,Partidas!$C:$J,8,0),B1486+1,B1486)</f>
        <v>327</v>
      </c>
      <c r="C1487" s="41" t="str">
        <f t="array" ref="C1487">+INDEX(Partidas!$A:$J,MATCH('Resultados dashboard'!$B1487,Partidas!$C:$C,0),3+COUNTIF($B$2:B1487,'Resultados dashboard'!$B1487))</f>
        <v>Max</v>
      </c>
      <c r="D1487" s="54">
        <v>5</v>
      </c>
      <c r="E1487" s="53"/>
      <c r="F1487" s="53"/>
      <c r="G1487" s="53"/>
      <c r="H1487" s="38">
        <f t="shared" si="12"/>
        <v>5</v>
      </c>
      <c r="I1487" s="38">
        <f t="shared" si="13"/>
        <v>5</v>
      </c>
      <c r="J1487" s="55"/>
    </row>
    <row r="1488" spans="1:10" ht="15" customHeight="1" x14ac:dyDescent="0.2">
      <c r="A1488" s="50">
        <f t="array" ref="A1488">+INDEX(Partidas!$A:$J,MATCH('Resultados dashboard'!$B1488,Partidas!$C:$C,0),2)</f>
        <v>45878</v>
      </c>
      <c r="B1488" s="56">
        <f>+IF(COUNTIF($B$2:B1487,B1487)=VLOOKUP(B1487,Partidas!$C:$J,8,0),B1487+1,B1487)</f>
        <v>327</v>
      </c>
      <c r="C1488" s="41" t="str">
        <f t="array" ref="C1488">+INDEX(Partidas!$A:$J,MATCH('Resultados dashboard'!$B1488,Partidas!$C:$C,0),3+COUNTIF($B$2:B1488,'Resultados dashboard'!$B1488))</f>
        <v>Ivo</v>
      </c>
      <c r="D1488" s="54">
        <v>5</v>
      </c>
      <c r="E1488" s="54">
        <v>1</v>
      </c>
      <c r="F1488" s="53"/>
      <c r="G1488" s="53"/>
      <c r="H1488" s="38">
        <f t="shared" si="12"/>
        <v>6</v>
      </c>
      <c r="I1488" s="38">
        <f t="shared" si="13"/>
        <v>3</v>
      </c>
      <c r="J1488" s="55"/>
    </row>
    <row r="1489" spans="1:10" ht="15" customHeight="1" x14ac:dyDescent="0.2">
      <c r="A1489" s="50">
        <f t="array" ref="A1489">+INDEX(Partidas!$A:$J,MATCH('Resultados dashboard'!$B1489,Partidas!$C:$C,0),2)</f>
        <v>45878</v>
      </c>
      <c r="B1489" s="56">
        <f>+IF(COUNTIF($B$2:B1488,B1488)=VLOOKUP(B1488,Partidas!$C:$J,8,0),B1488+1,B1488)</f>
        <v>327</v>
      </c>
      <c r="C1489" s="41" t="str">
        <f t="array" ref="C1489">+INDEX(Partidas!$A:$J,MATCH('Resultados dashboard'!$B1489,Partidas!$C:$C,0),3+COUNTIF($B$2:B1489,'Resultados dashboard'!$B1489))</f>
        <v>Moch</v>
      </c>
      <c r="D1489" s="54">
        <v>8</v>
      </c>
      <c r="E1489" s="53"/>
      <c r="F1489" s="53"/>
      <c r="G1489" s="54">
        <v>1</v>
      </c>
      <c r="H1489" s="38">
        <f t="shared" si="12"/>
        <v>10</v>
      </c>
      <c r="I1489" s="38">
        <f t="shared" si="13"/>
        <v>1</v>
      </c>
      <c r="J1489" s="55"/>
    </row>
    <row r="1490" spans="1:10" ht="15" customHeight="1" x14ac:dyDescent="0.2">
      <c r="A1490" s="50">
        <f t="array" ref="A1490">+INDEX(Partidas!$A:$J,MATCH('Resultados dashboard'!$B1490,Partidas!$C:$C,0),2)</f>
        <v>45878</v>
      </c>
      <c r="B1490" s="56">
        <f>+IF(COUNTIF($B$2:B1489,B1489)=VLOOKUP(B1489,Partidas!$C:$J,8,0),B1489+1,B1489)</f>
        <v>328</v>
      </c>
      <c r="C1490" s="41" t="str">
        <f t="array" ref="C1490">+INDEX(Partidas!$A:$J,MATCH('Resultados dashboard'!$B1490,Partidas!$C:$C,0),3+COUNTIF($B$2:B1490,'Resultados dashboard'!$B1490))</f>
        <v>Gallo</v>
      </c>
      <c r="D1490" s="54">
        <v>8</v>
      </c>
      <c r="E1490" s="53"/>
      <c r="F1490" s="53"/>
      <c r="G1490" s="53"/>
      <c r="H1490" s="38">
        <f t="shared" si="12"/>
        <v>8</v>
      </c>
      <c r="I1490" s="38">
        <f t="shared" si="13"/>
        <v>2</v>
      </c>
      <c r="J1490" s="55"/>
    </row>
    <row r="1491" spans="1:10" ht="15" customHeight="1" x14ac:dyDescent="0.2">
      <c r="A1491" s="50">
        <f t="array" ref="A1491">+INDEX(Partidas!$A:$J,MATCH('Resultados dashboard'!$B1491,Partidas!$C:$C,0),2)</f>
        <v>45878</v>
      </c>
      <c r="B1491" s="56">
        <f>+IF(COUNTIF($B$2:B1490,B1490)=VLOOKUP(B1490,Partidas!$C:$J,8,0),B1490+1,B1490)</f>
        <v>328</v>
      </c>
      <c r="C1491" s="41" t="str">
        <f t="array" ref="C1491">+INDEX(Partidas!$A:$J,MATCH('Resultados dashboard'!$B1491,Partidas!$C:$C,0),3+COUNTIF($B$2:B1491,'Resultados dashboard'!$B1491))</f>
        <v>Gaspa</v>
      </c>
      <c r="D1491" s="54">
        <v>8</v>
      </c>
      <c r="E1491" s="53"/>
      <c r="F1491" s="53"/>
      <c r="G1491" s="54">
        <v>1</v>
      </c>
      <c r="H1491" s="38">
        <f t="shared" si="12"/>
        <v>10</v>
      </c>
      <c r="I1491" s="38">
        <f t="shared" si="13"/>
        <v>1</v>
      </c>
      <c r="J1491" s="55"/>
    </row>
    <row r="1492" spans="1:10" ht="15" customHeight="1" x14ac:dyDescent="0.2">
      <c r="A1492" s="50">
        <f t="array" ref="A1492">+INDEX(Partidas!$A:$J,MATCH('Resultados dashboard'!$B1492,Partidas!$C:$C,0),2)</f>
        <v>45878</v>
      </c>
      <c r="B1492" s="56">
        <f>+IF(COUNTIF($B$2:B1491,B1491)=VLOOKUP(B1491,Partidas!$C:$J,8,0),B1491+1,B1491)</f>
        <v>328</v>
      </c>
      <c r="C1492" s="41" t="str">
        <f t="array" ref="C1492">+INDEX(Partidas!$A:$J,MATCH('Resultados dashboard'!$B1492,Partidas!$C:$C,0),3+COUNTIF($B$2:B1492,'Resultados dashboard'!$B1492))</f>
        <v>Hugo</v>
      </c>
      <c r="D1492" s="54">
        <v>6</v>
      </c>
      <c r="E1492" s="54">
        <v>2</v>
      </c>
      <c r="F1492" s="53"/>
      <c r="G1492" s="53"/>
      <c r="H1492" s="38">
        <f t="shared" si="12"/>
        <v>8</v>
      </c>
      <c r="I1492" s="38">
        <f t="shared" si="13"/>
        <v>2</v>
      </c>
      <c r="J1492" s="55"/>
    </row>
    <row r="1493" spans="1:10" ht="15" customHeight="1" x14ac:dyDescent="0.2">
      <c r="A1493" s="50">
        <f t="array" ref="A1493">+INDEX(Partidas!$A:$J,MATCH('Resultados dashboard'!$B1493,Partidas!$C:$C,0),2)</f>
        <v>45878</v>
      </c>
      <c r="B1493" s="56">
        <f>+IF(COUNTIF($B$2:B1492,B1492)=VLOOKUP(B1492,Partidas!$C:$J,8,0),B1492+1,B1492)</f>
        <v>328</v>
      </c>
      <c r="C1493" s="41" t="str">
        <f t="array" ref="C1493">+INDEX(Partidas!$A:$J,MATCH('Resultados dashboard'!$B1493,Partidas!$C:$C,0),3+COUNTIF($B$2:B1493,'Resultados dashboard'!$B1493))</f>
        <v>Max</v>
      </c>
      <c r="D1493" s="54">
        <v>6</v>
      </c>
      <c r="E1493" s="53"/>
      <c r="F1493" s="53"/>
      <c r="G1493" s="53"/>
      <c r="H1493" s="38">
        <f t="shared" si="12"/>
        <v>6</v>
      </c>
      <c r="I1493" s="38">
        <f t="shared" si="13"/>
        <v>4</v>
      </c>
      <c r="J1493" s="55"/>
    </row>
    <row r="1494" spans="1:10" ht="15" customHeight="1" x14ac:dyDescent="0.2">
      <c r="A1494" s="50">
        <f t="array" ref="A1494">+INDEX(Partidas!$A:$J,MATCH('Resultados dashboard'!$B1494,Partidas!$C:$C,0),2)</f>
        <v>45878</v>
      </c>
      <c r="B1494" s="56">
        <f>+IF(COUNTIF($B$2:B1493,B1493)=VLOOKUP(B1493,Partidas!$C:$J,8,0),B1493+1,B1493)</f>
        <v>328</v>
      </c>
      <c r="C1494" s="41" t="str">
        <f t="array" ref="C1494">+INDEX(Partidas!$A:$J,MATCH('Resultados dashboard'!$B1494,Partidas!$C:$C,0),3+COUNTIF($B$2:B1494,'Resultados dashboard'!$B1494))</f>
        <v>Ivo</v>
      </c>
      <c r="D1494" s="54">
        <v>4</v>
      </c>
      <c r="E1494" s="54">
        <v>2</v>
      </c>
      <c r="F1494" s="53"/>
      <c r="G1494" s="53"/>
      <c r="H1494" s="38">
        <f t="shared" si="12"/>
        <v>6</v>
      </c>
      <c r="I1494" s="38">
        <f t="shared" si="13"/>
        <v>4</v>
      </c>
      <c r="J1494" s="55"/>
    </row>
    <row r="1495" spans="1:10" ht="15" customHeight="1" x14ac:dyDescent="0.2">
      <c r="A1495" s="50">
        <f t="array" ref="A1495">+INDEX(Partidas!$A:$J,MATCH('Resultados dashboard'!$B1495,Partidas!$C:$C,0),2)</f>
        <v>45878</v>
      </c>
      <c r="B1495" s="56">
        <f>+IF(COUNTIF($B$2:B1494,B1494)=VLOOKUP(B1494,Partidas!$C:$J,8,0),B1494+1,B1494)</f>
        <v>329</v>
      </c>
      <c r="C1495" s="41" t="str">
        <f t="array" ref="C1495">+INDEX(Partidas!$A:$J,MATCH('Resultados dashboard'!$B1495,Partidas!$C:$C,0),3+COUNTIF($B$2:B1495,'Resultados dashboard'!$B1495))</f>
        <v>Gallo</v>
      </c>
      <c r="D1495" s="54">
        <v>6</v>
      </c>
      <c r="E1495" s="53"/>
      <c r="F1495" s="54">
        <v>1</v>
      </c>
      <c r="G1495" s="53"/>
      <c r="H1495" s="38">
        <f t="shared" si="12"/>
        <v>8</v>
      </c>
      <c r="I1495" s="38">
        <f t="shared" si="13"/>
        <v>2</v>
      </c>
      <c r="J1495" s="55"/>
    </row>
    <row r="1496" spans="1:10" ht="15" customHeight="1" x14ac:dyDescent="0.2">
      <c r="A1496" s="50">
        <f t="array" ref="A1496">+INDEX(Partidas!$A:$J,MATCH('Resultados dashboard'!$B1496,Partidas!$C:$C,0),2)</f>
        <v>45878</v>
      </c>
      <c r="B1496" s="56">
        <f>+IF(COUNTIF($B$2:B1495,B1495)=VLOOKUP(B1495,Partidas!$C:$J,8,0),B1495+1,B1495)</f>
        <v>329</v>
      </c>
      <c r="C1496" s="41" t="str">
        <f t="array" ref="C1496">+INDEX(Partidas!$A:$J,MATCH('Resultados dashboard'!$B1496,Partidas!$C:$C,0),3+COUNTIF($B$2:B1496,'Resultados dashboard'!$B1496))</f>
        <v>Hugo</v>
      </c>
      <c r="D1496" s="54">
        <v>8</v>
      </c>
      <c r="E1496" s="53"/>
      <c r="F1496" s="53"/>
      <c r="G1496" s="54">
        <v>1</v>
      </c>
      <c r="H1496" s="38">
        <f t="shared" si="12"/>
        <v>10</v>
      </c>
      <c r="I1496" s="38">
        <f t="shared" si="13"/>
        <v>1</v>
      </c>
      <c r="J1496" s="55"/>
    </row>
    <row r="1497" spans="1:10" ht="15" customHeight="1" x14ac:dyDescent="0.2">
      <c r="A1497" s="50">
        <f t="array" ref="A1497">+INDEX(Partidas!$A:$J,MATCH('Resultados dashboard'!$B1497,Partidas!$C:$C,0),2)</f>
        <v>45878</v>
      </c>
      <c r="B1497" s="56">
        <f>+IF(COUNTIF($B$2:B1496,B1496)=VLOOKUP(B1496,Partidas!$C:$J,8,0),B1496+1,B1496)</f>
        <v>329</v>
      </c>
      <c r="C1497" s="41" t="str">
        <f t="array" ref="C1497">+INDEX(Partidas!$A:$J,MATCH('Resultados dashboard'!$B1497,Partidas!$C:$C,0),3+COUNTIF($B$2:B1497,'Resultados dashboard'!$B1497))</f>
        <v>Max</v>
      </c>
      <c r="D1497" s="54">
        <v>4</v>
      </c>
      <c r="E1497" s="53"/>
      <c r="F1497" s="53"/>
      <c r="G1497" s="53"/>
      <c r="H1497" s="38">
        <f t="shared" si="12"/>
        <v>4</v>
      </c>
      <c r="I1497" s="38">
        <f t="shared" si="13"/>
        <v>4</v>
      </c>
      <c r="J1497" s="55"/>
    </row>
    <row r="1498" spans="1:10" ht="15" customHeight="1" x14ac:dyDescent="0.2">
      <c r="A1498" s="50">
        <f t="array" ref="A1498">+INDEX(Partidas!$A:$J,MATCH('Resultados dashboard'!$B1498,Partidas!$C:$C,0),2)</f>
        <v>45878</v>
      </c>
      <c r="B1498" s="56">
        <f>+IF(COUNTIF($B$2:B1497,B1497)=VLOOKUP(B1497,Partidas!$C:$J,8,0),B1497+1,B1497)</f>
        <v>329</v>
      </c>
      <c r="C1498" s="41" t="str">
        <f t="array" ref="C1498">+INDEX(Partidas!$A:$J,MATCH('Resultados dashboard'!$B1498,Partidas!$C:$C,0),3+COUNTIF($B$2:B1498,'Resultados dashboard'!$B1498))</f>
        <v>Ivo</v>
      </c>
      <c r="D1498" s="54">
        <v>6</v>
      </c>
      <c r="E1498" s="53"/>
      <c r="F1498" s="53"/>
      <c r="G1498" s="53"/>
      <c r="H1498" s="38">
        <f t="shared" si="12"/>
        <v>6</v>
      </c>
      <c r="I1498" s="38">
        <f t="shared" si="13"/>
        <v>3</v>
      </c>
      <c r="J1498" s="55"/>
    </row>
    <row r="1499" spans="1:10" ht="15" customHeight="1" x14ac:dyDescent="0.2">
      <c r="A1499" s="50">
        <f t="array" ref="A1499">+INDEX(Partidas!$A:$J,MATCH('Resultados dashboard'!$B1499,Partidas!$C:$C,0),2)</f>
        <v>45883</v>
      </c>
      <c r="B1499" s="56">
        <f>+IF(COUNTIF($B$2:B1498,B1498)=VLOOKUP(B1498,Partidas!$C:$J,8,0),B1498+1,B1498)</f>
        <v>330</v>
      </c>
      <c r="C1499" s="41" t="str">
        <f t="array" ref="C1499">+INDEX(Partidas!$A:$J,MATCH('Resultados dashboard'!$B1499,Partidas!$C:$C,0),3+COUNTIF($B$2:B1499,'Resultados dashboard'!$B1499))</f>
        <v>Ivo</v>
      </c>
      <c r="D1499" s="54">
        <v>5</v>
      </c>
      <c r="E1499" s="53"/>
      <c r="F1499" s="53"/>
      <c r="G1499" s="53"/>
      <c r="H1499" s="38">
        <f t="shared" si="12"/>
        <v>5</v>
      </c>
      <c r="I1499" s="38">
        <f t="shared" si="13"/>
        <v>3</v>
      </c>
      <c r="J1499" s="55"/>
    </row>
    <row r="1500" spans="1:10" ht="15" customHeight="1" x14ac:dyDescent="0.2">
      <c r="A1500" s="50">
        <f t="array" ref="A1500">+INDEX(Partidas!$A:$J,MATCH('Resultados dashboard'!$B1500,Partidas!$C:$C,0),2)</f>
        <v>45883</v>
      </c>
      <c r="B1500" s="56">
        <f>+IF(COUNTIF($B$2:B1499,B1499)=VLOOKUP(B1499,Partidas!$C:$J,8,0),B1499+1,B1499)</f>
        <v>330</v>
      </c>
      <c r="C1500" s="41" t="str">
        <f t="array" ref="C1500">+INDEX(Partidas!$A:$J,MATCH('Resultados dashboard'!$B1500,Partidas!$C:$C,0),3+COUNTIF($B$2:B1500,'Resultados dashboard'!$B1500))</f>
        <v>Hugo</v>
      </c>
      <c r="D1500" s="54">
        <v>8</v>
      </c>
      <c r="E1500" s="53"/>
      <c r="F1500" s="53"/>
      <c r="G1500" s="54">
        <v>1</v>
      </c>
      <c r="H1500" s="38">
        <f t="shared" si="12"/>
        <v>10</v>
      </c>
      <c r="I1500" s="38">
        <f t="shared" si="13"/>
        <v>1</v>
      </c>
      <c r="J1500" s="55"/>
    </row>
    <row r="1501" spans="1:10" ht="15" customHeight="1" x14ac:dyDescent="0.2">
      <c r="A1501" s="50">
        <f t="array" ref="A1501">+INDEX(Partidas!$A:$J,MATCH('Resultados dashboard'!$B1501,Partidas!$C:$C,0),2)</f>
        <v>45883</v>
      </c>
      <c r="B1501" s="56">
        <f>+IF(COUNTIF($B$2:B1500,B1500)=VLOOKUP(B1500,Partidas!$C:$J,8,0),B1500+1,B1500)</f>
        <v>330</v>
      </c>
      <c r="C1501" s="41" t="str">
        <f t="array" ref="C1501">+INDEX(Partidas!$A:$J,MATCH('Resultados dashboard'!$B1501,Partidas!$C:$C,0),3+COUNTIF($B$2:B1501,'Resultados dashboard'!$B1501))</f>
        <v>Max</v>
      </c>
      <c r="D1501" s="54">
        <v>4</v>
      </c>
      <c r="E1501" s="53"/>
      <c r="F1501" s="54">
        <v>1</v>
      </c>
      <c r="G1501" s="53"/>
      <c r="H1501" s="38">
        <f t="shared" si="12"/>
        <v>6</v>
      </c>
      <c r="I1501" s="38">
        <f t="shared" si="13"/>
        <v>2</v>
      </c>
      <c r="J1501" s="55"/>
    </row>
    <row r="1502" spans="1:10" ht="15" customHeight="1" x14ac:dyDescent="0.2">
      <c r="A1502" s="50">
        <f t="array" ref="A1502">+INDEX(Partidas!$A:$J,MATCH('Resultados dashboard'!$B1502,Partidas!$C:$C,0),2)</f>
        <v>45883</v>
      </c>
      <c r="B1502" s="56">
        <f>+IF(COUNTIF($B$2:B1501,B1501)=VLOOKUP(B1501,Partidas!$C:$J,8,0),B1501+1,B1501)</f>
        <v>330</v>
      </c>
      <c r="C1502" s="41" t="str">
        <f t="array" ref="C1502">+INDEX(Partidas!$A:$J,MATCH('Resultados dashboard'!$B1502,Partidas!$C:$C,0),3+COUNTIF($B$2:B1502,'Resultados dashboard'!$B1502))</f>
        <v>Moch</v>
      </c>
      <c r="D1502" s="54">
        <v>5</v>
      </c>
      <c r="E1502" s="53"/>
      <c r="F1502" s="53"/>
      <c r="G1502" s="53"/>
      <c r="H1502" s="38">
        <f t="shared" si="12"/>
        <v>5</v>
      </c>
      <c r="I1502" s="38">
        <f t="shared" si="13"/>
        <v>3</v>
      </c>
      <c r="J1502" s="55"/>
    </row>
    <row r="1503" spans="1:10" ht="15" customHeight="1" x14ac:dyDescent="0.2">
      <c r="A1503" s="50">
        <f t="array" ref="A1503">+INDEX(Partidas!$A:$J,MATCH('Resultados dashboard'!$B1503,Partidas!$C:$C,0),2)</f>
        <v>45883</v>
      </c>
      <c r="B1503" s="56">
        <f>+IF(COUNTIF($B$2:B1502,B1502)=VLOOKUP(B1502,Partidas!$C:$J,8,0),B1502+1,B1502)</f>
        <v>331</v>
      </c>
      <c r="C1503" s="41" t="str">
        <f t="array" ref="C1503">+INDEX(Partidas!$A:$J,MATCH('Resultados dashboard'!$B1503,Partidas!$C:$C,0),3+COUNTIF($B$2:B1503,'Resultados dashboard'!$B1503))</f>
        <v>Ivo</v>
      </c>
      <c r="D1503" s="54">
        <v>5</v>
      </c>
      <c r="E1503" s="54">
        <v>1</v>
      </c>
      <c r="F1503" s="54">
        <v>1</v>
      </c>
      <c r="G1503" s="53"/>
      <c r="H1503" s="38">
        <f t="shared" si="12"/>
        <v>8</v>
      </c>
      <c r="I1503" s="38">
        <f t="shared" si="13"/>
        <v>3</v>
      </c>
      <c r="J1503" s="55"/>
    </row>
    <row r="1504" spans="1:10" ht="15" customHeight="1" x14ac:dyDescent="0.2">
      <c r="A1504" s="50">
        <f t="array" ref="A1504">+INDEX(Partidas!$A:$J,MATCH('Resultados dashboard'!$B1504,Partidas!$C:$C,0),2)</f>
        <v>45883</v>
      </c>
      <c r="B1504" s="56">
        <f>+IF(COUNTIF($B$2:B1503,B1503)=VLOOKUP(B1503,Partidas!$C:$J,8,0),B1503+1,B1503)</f>
        <v>331</v>
      </c>
      <c r="C1504" s="41" t="str">
        <f t="array" ref="C1504">+INDEX(Partidas!$A:$J,MATCH('Resultados dashboard'!$B1504,Partidas!$C:$C,0),3+COUNTIF($B$2:B1504,'Resultados dashboard'!$B1504))</f>
        <v>Hugo</v>
      </c>
      <c r="D1504" s="54">
        <v>9</v>
      </c>
      <c r="E1504" s="54">
        <v>1</v>
      </c>
      <c r="F1504" s="53"/>
      <c r="G1504" s="53"/>
      <c r="H1504" s="38">
        <f t="shared" si="12"/>
        <v>10</v>
      </c>
      <c r="I1504" s="38">
        <f t="shared" si="13"/>
        <v>1</v>
      </c>
      <c r="J1504" s="55"/>
    </row>
    <row r="1505" spans="1:10" ht="15" customHeight="1" x14ac:dyDescent="0.2">
      <c r="A1505" s="50">
        <f t="array" ref="A1505">+INDEX(Partidas!$A:$J,MATCH('Resultados dashboard'!$B1505,Partidas!$C:$C,0),2)</f>
        <v>45883</v>
      </c>
      <c r="B1505" s="56">
        <f>+IF(COUNTIF($B$2:B1504,B1504)=VLOOKUP(B1504,Partidas!$C:$J,8,0),B1504+1,B1504)</f>
        <v>331</v>
      </c>
      <c r="C1505" s="41" t="str">
        <f t="array" ref="C1505">+INDEX(Partidas!$A:$J,MATCH('Resultados dashboard'!$B1505,Partidas!$C:$C,0),3+COUNTIF($B$2:B1505,'Resultados dashboard'!$B1505))</f>
        <v>Max</v>
      </c>
      <c r="D1505" s="54">
        <v>7</v>
      </c>
      <c r="E1505" s="53"/>
      <c r="F1505" s="53"/>
      <c r="G1505" s="54">
        <v>1</v>
      </c>
      <c r="H1505" s="38">
        <f t="shared" si="12"/>
        <v>9</v>
      </c>
      <c r="I1505" s="38">
        <f t="shared" si="13"/>
        <v>2</v>
      </c>
      <c r="J1505" s="55"/>
    </row>
    <row r="1506" spans="1:10" ht="15" customHeight="1" x14ac:dyDescent="0.2">
      <c r="A1506" s="50">
        <f t="array" ref="A1506">+INDEX(Partidas!$A:$J,MATCH('Resultados dashboard'!$B1506,Partidas!$C:$C,0),2)</f>
        <v>45883</v>
      </c>
      <c r="B1506" s="56">
        <f>+IF(COUNTIF($B$2:B1505,B1505)=VLOOKUP(B1505,Partidas!$C:$J,8,0),B1505+1,B1505)</f>
        <v>331</v>
      </c>
      <c r="C1506" s="41" t="str">
        <f t="array" ref="C1506">+INDEX(Partidas!$A:$J,MATCH('Resultados dashboard'!$B1506,Partidas!$C:$C,0),3+COUNTIF($B$2:B1506,'Resultados dashboard'!$B1506))</f>
        <v>Moch</v>
      </c>
      <c r="D1506" s="54">
        <v>8</v>
      </c>
      <c r="E1506" s="53"/>
      <c r="F1506" s="53"/>
      <c r="G1506" s="53"/>
      <c r="H1506" s="38">
        <f t="shared" si="12"/>
        <v>8</v>
      </c>
      <c r="I1506" s="38">
        <f t="shared" si="13"/>
        <v>3</v>
      </c>
      <c r="J1506" s="55"/>
    </row>
    <row r="1507" spans="1:10" ht="15" customHeight="1" x14ac:dyDescent="0.2">
      <c r="A1507" s="50">
        <f t="array" ref="A1507">+INDEX(Partidas!$A:$J,MATCH('Resultados dashboard'!$B1507,Partidas!$C:$C,0),2)</f>
        <v>45883</v>
      </c>
      <c r="B1507" s="56">
        <f>+IF(COUNTIF($B$2:B1506,B1506)=VLOOKUP(B1506,Partidas!$C:$J,8,0),B1506+1,B1506)</f>
        <v>332</v>
      </c>
      <c r="C1507" s="41" t="str">
        <f t="array" ref="C1507">+INDEX(Partidas!$A:$J,MATCH('Resultados dashboard'!$B1507,Partidas!$C:$C,0),3+COUNTIF($B$2:B1507,'Resultados dashboard'!$B1507))</f>
        <v>Ivo</v>
      </c>
      <c r="D1507" s="54">
        <v>6</v>
      </c>
      <c r="E1507" s="54">
        <v>2</v>
      </c>
      <c r="F1507" s="53"/>
      <c r="G1507" s="53"/>
      <c r="H1507" s="38">
        <f t="shared" si="12"/>
        <v>8</v>
      </c>
      <c r="I1507" s="38">
        <f t="shared" si="13"/>
        <v>2</v>
      </c>
      <c r="J1507" s="55"/>
    </row>
    <row r="1508" spans="1:10" ht="15" customHeight="1" x14ac:dyDescent="0.2">
      <c r="A1508" s="50">
        <f t="array" ref="A1508">+INDEX(Partidas!$A:$J,MATCH('Resultados dashboard'!$B1508,Partidas!$C:$C,0),2)</f>
        <v>45883</v>
      </c>
      <c r="B1508" s="56">
        <f>+IF(COUNTIF($B$2:B1507,B1507)=VLOOKUP(B1507,Partidas!$C:$J,8,0),B1507+1,B1507)</f>
        <v>332</v>
      </c>
      <c r="C1508" s="41" t="str">
        <f t="array" ref="C1508">+INDEX(Partidas!$A:$J,MATCH('Resultados dashboard'!$B1508,Partidas!$C:$C,0),3+COUNTIF($B$2:B1508,'Resultados dashboard'!$B1508))</f>
        <v>Hugo</v>
      </c>
      <c r="D1508" s="54">
        <v>4</v>
      </c>
      <c r="E1508" s="54">
        <v>2</v>
      </c>
      <c r="F1508" s="54">
        <v>1</v>
      </c>
      <c r="G1508" s="54">
        <v>1</v>
      </c>
      <c r="H1508" s="38">
        <f t="shared" si="12"/>
        <v>10</v>
      </c>
      <c r="I1508" s="38">
        <f t="shared" si="13"/>
        <v>1</v>
      </c>
      <c r="J1508" s="55"/>
    </row>
    <row r="1509" spans="1:10" ht="15" customHeight="1" x14ac:dyDescent="0.2">
      <c r="A1509" s="50">
        <f t="array" ref="A1509">+INDEX(Partidas!$A:$J,MATCH('Resultados dashboard'!$B1509,Partidas!$C:$C,0),2)</f>
        <v>45883</v>
      </c>
      <c r="B1509" s="56">
        <f>+IF(COUNTIF($B$2:B1508,B1508)=VLOOKUP(B1508,Partidas!$C:$J,8,0),B1508+1,B1508)</f>
        <v>332</v>
      </c>
      <c r="C1509" s="41" t="str">
        <f t="array" ref="C1509">+INDEX(Partidas!$A:$J,MATCH('Resultados dashboard'!$B1509,Partidas!$C:$C,0),3+COUNTIF($B$2:B1509,'Resultados dashboard'!$B1509))</f>
        <v>Max</v>
      </c>
      <c r="D1509" s="54">
        <v>6</v>
      </c>
      <c r="E1509" s="53"/>
      <c r="F1509" s="53"/>
      <c r="G1509" s="53"/>
      <c r="H1509" s="38">
        <f t="shared" si="12"/>
        <v>6</v>
      </c>
      <c r="I1509" s="38">
        <f t="shared" si="13"/>
        <v>3</v>
      </c>
      <c r="J1509" s="55"/>
    </row>
    <row r="1510" spans="1:10" ht="15" customHeight="1" x14ac:dyDescent="0.2">
      <c r="A1510" s="50">
        <f t="array" ref="A1510">+INDEX(Partidas!$A:$J,MATCH('Resultados dashboard'!$B1510,Partidas!$C:$C,0),2)</f>
        <v>45883</v>
      </c>
      <c r="B1510" s="56">
        <f>+IF(COUNTIF($B$2:B1509,B1509)=VLOOKUP(B1509,Partidas!$C:$J,8,0),B1509+1,B1509)</f>
        <v>332</v>
      </c>
      <c r="C1510" s="41" t="str">
        <f t="array" ref="C1510">+INDEX(Partidas!$A:$J,MATCH('Resultados dashboard'!$B1510,Partidas!$C:$C,0),3+COUNTIF($B$2:B1510,'Resultados dashboard'!$B1510))</f>
        <v>Moch</v>
      </c>
      <c r="D1510" s="54">
        <v>5</v>
      </c>
      <c r="E1510" s="53"/>
      <c r="F1510" s="53"/>
      <c r="G1510" s="53"/>
      <c r="H1510" s="38">
        <f t="shared" si="12"/>
        <v>5</v>
      </c>
      <c r="I1510" s="38">
        <f t="shared" si="13"/>
        <v>4</v>
      </c>
      <c r="J1510" s="55"/>
    </row>
    <row r="1511" spans="1:10" ht="15" customHeight="1" x14ac:dyDescent="0.2">
      <c r="A1511" s="50">
        <f t="array" ref="A1511">+INDEX(Partidas!$A:$J,MATCH('Resultados dashboard'!$B1511,Partidas!$C:$C,0),2)</f>
        <v>45883</v>
      </c>
      <c r="B1511" s="56">
        <f>+IF(COUNTIF($B$2:B1510,B1510)=VLOOKUP(B1510,Partidas!$C:$J,8,0),B1510+1,B1510)</f>
        <v>333</v>
      </c>
      <c r="C1511" s="41" t="str">
        <f t="array" ref="C1511">+INDEX(Partidas!$A:$J,MATCH('Resultados dashboard'!$B1511,Partidas!$C:$C,0),3+COUNTIF($B$2:B1511,'Resultados dashboard'!$B1511))</f>
        <v>Ivo</v>
      </c>
      <c r="D1511" s="54">
        <v>6</v>
      </c>
      <c r="E1511" s="54">
        <v>3</v>
      </c>
      <c r="F1511" s="54">
        <v>1</v>
      </c>
      <c r="G1511" s="53"/>
      <c r="H1511" s="38">
        <f t="shared" si="12"/>
        <v>11</v>
      </c>
      <c r="I1511" s="38">
        <f t="shared" si="13"/>
        <v>1</v>
      </c>
      <c r="J1511" s="55"/>
    </row>
    <row r="1512" spans="1:10" ht="15" customHeight="1" x14ac:dyDescent="0.2">
      <c r="A1512" s="50">
        <f t="array" ref="A1512">+INDEX(Partidas!$A:$J,MATCH('Resultados dashboard'!$B1512,Partidas!$C:$C,0),2)</f>
        <v>45883</v>
      </c>
      <c r="B1512" s="56">
        <f>+IF(COUNTIF($B$2:B1511,B1511)=VLOOKUP(B1511,Partidas!$C:$J,8,0),B1511+1,B1511)</f>
        <v>333</v>
      </c>
      <c r="C1512" s="41" t="str">
        <f t="array" ref="C1512">+INDEX(Partidas!$A:$J,MATCH('Resultados dashboard'!$B1512,Partidas!$C:$C,0),3+COUNTIF($B$2:B1512,'Resultados dashboard'!$B1512))</f>
        <v>Hugo</v>
      </c>
      <c r="D1512" s="54">
        <v>4</v>
      </c>
      <c r="E1512" s="53"/>
      <c r="F1512" s="53"/>
      <c r="G1512" s="53"/>
      <c r="H1512" s="38">
        <f t="shared" si="12"/>
        <v>4</v>
      </c>
      <c r="I1512" s="38">
        <f t="shared" si="13"/>
        <v>3</v>
      </c>
      <c r="J1512" s="55"/>
    </row>
    <row r="1513" spans="1:10" ht="15" customHeight="1" x14ac:dyDescent="0.2">
      <c r="A1513" s="50">
        <f t="array" ref="A1513">+INDEX(Partidas!$A:$J,MATCH('Resultados dashboard'!$B1513,Partidas!$C:$C,0),2)</f>
        <v>45883</v>
      </c>
      <c r="B1513" s="56">
        <f>+IF(COUNTIF($B$2:B1512,B1512)=VLOOKUP(B1512,Partidas!$C:$J,8,0),B1512+1,B1512)</f>
        <v>333</v>
      </c>
      <c r="C1513" s="41" t="str">
        <f t="array" ref="C1513">+INDEX(Partidas!$A:$J,MATCH('Resultados dashboard'!$B1513,Partidas!$C:$C,0),3+COUNTIF($B$2:B1513,'Resultados dashboard'!$B1513))</f>
        <v>Max</v>
      </c>
      <c r="D1513" s="54">
        <v>5</v>
      </c>
      <c r="E1513" s="53"/>
      <c r="F1513" s="53"/>
      <c r="G1513" s="54">
        <v>1</v>
      </c>
      <c r="H1513" s="38">
        <f t="shared" si="12"/>
        <v>7</v>
      </c>
      <c r="I1513" s="38">
        <f t="shared" si="13"/>
        <v>2</v>
      </c>
      <c r="J1513" s="55"/>
    </row>
    <row r="1514" spans="1:10" ht="15" customHeight="1" x14ac:dyDescent="0.2">
      <c r="A1514" s="50">
        <f t="array" ref="A1514">+INDEX(Partidas!$A:$J,MATCH('Resultados dashboard'!$B1514,Partidas!$C:$C,0),2)</f>
        <v>45883</v>
      </c>
      <c r="B1514" s="56">
        <f>+IF(COUNTIF($B$2:B1513,B1513)=VLOOKUP(B1513,Partidas!$C:$J,8,0),B1513+1,B1513)</f>
        <v>333</v>
      </c>
      <c r="C1514" s="41" t="str">
        <f t="array" ref="C1514">+INDEX(Partidas!$A:$J,MATCH('Resultados dashboard'!$B1514,Partidas!$C:$C,0),3+COUNTIF($B$2:B1514,'Resultados dashboard'!$B1514))</f>
        <v>Moch</v>
      </c>
      <c r="D1514" s="54">
        <v>3</v>
      </c>
      <c r="E1514" s="53"/>
      <c r="F1514" s="53"/>
      <c r="G1514" s="53"/>
      <c r="H1514" s="38">
        <f t="shared" si="12"/>
        <v>3</v>
      </c>
      <c r="I1514" s="38">
        <f t="shared" si="13"/>
        <v>4</v>
      </c>
      <c r="J1514" s="55"/>
    </row>
    <row r="1515" spans="1:10" ht="15" customHeight="1" x14ac:dyDescent="0.2">
      <c r="A1515" s="50">
        <f t="array" ref="A1515">+INDEX(Partidas!$A:$J,MATCH('Resultados dashboard'!$B1515,Partidas!$C:$C,0),2)</f>
        <v>45890</v>
      </c>
      <c r="B1515" s="56">
        <f>+IF(COUNTIF($B$2:B1514,B1514)=VLOOKUP(B1514,Partidas!$C:$J,8,0),B1514+1,B1514)</f>
        <v>334</v>
      </c>
      <c r="C1515" s="41" t="str">
        <f t="array" ref="C1515">+INDEX(Partidas!$A:$J,MATCH('Resultados dashboard'!$B1515,Partidas!$C:$C,0),3+COUNTIF($B$2:B1515,'Resultados dashboard'!$B1515))</f>
        <v>Gallo</v>
      </c>
      <c r="D1515" s="54">
        <v>6</v>
      </c>
      <c r="E1515" s="54">
        <v>2</v>
      </c>
      <c r="F1515" s="54">
        <v>1</v>
      </c>
      <c r="G1515" s="53"/>
      <c r="H1515" s="38">
        <f t="shared" si="12"/>
        <v>10</v>
      </c>
      <c r="I1515" s="38">
        <f t="shared" si="13"/>
        <v>1</v>
      </c>
      <c r="J1515" s="55"/>
    </row>
    <row r="1516" spans="1:10" ht="15" customHeight="1" x14ac:dyDescent="0.2">
      <c r="A1516" s="50">
        <f t="array" ref="A1516">+INDEX(Partidas!$A:$J,MATCH('Resultados dashboard'!$B1516,Partidas!$C:$C,0),2)</f>
        <v>45890</v>
      </c>
      <c r="B1516" s="56">
        <f>+IF(COUNTIF($B$2:B1515,B1515)=VLOOKUP(B1515,Partidas!$C:$J,8,0),B1515+1,B1515)</f>
        <v>334</v>
      </c>
      <c r="C1516" s="41" t="str">
        <f t="array" ref="C1516">+INDEX(Partidas!$A:$J,MATCH('Resultados dashboard'!$B1516,Partidas!$C:$C,0),3+COUNTIF($B$2:B1516,'Resultados dashboard'!$B1516))</f>
        <v>Max</v>
      </c>
      <c r="D1516" s="54">
        <v>4</v>
      </c>
      <c r="E1516" s="53"/>
      <c r="F1516" s="53"/>
      <c r="G1516" s="53"/>
      <c r="H1516" s="38">
        <f t="shared" si="12"/>
        <v>4</v>
      </c>
      <c r="I1516" s="38">
        <f t="shared" si="13"/>
        <v>4</v>
      </c>
      <c r="J1516" s="55"/>
    </row>
    <row r="1517" spans="1:10" ht="15" customHeight="1" x14ac:dyDescent="0.2">
      <c r="A1517" s="50">
        <f t="array" ref="A1517">+INDEX(Partidas!$A:$J,MATCH('Resultados dashboard'!$B1517,Partidas!$C:$C,0),2)</f>
        <v>45890</v>
      </c>
      <c r="B1517" s="56">
        <f>+IF(COUNTIF($B$2:B1516,B1516)=VLOOKUP(B1516,Partidas!$C:$J,8,0),B1516+1,B1516)</f>
        <v>334</v>
      </c>
      <c r="C1517" s="41" t="str">
        <f t="array" ref="C1517">+INDEX(Partidas!$A:$J,MATCH('Resultados dashboard'!$B1517,Partidas!$C:$C,0),3+COUNTIF($B$2:B1517,'Resultados dashboard'!$B1517))</f>
        <v>Moch</v>
      </c>
      <c r="D1517" s="54">
        <v>4</v>
      </c>
      <c r="E1517" s="54">
        <v>1</v>
      </c>
      <c r="F1517" s="53"/>
      <c r="G1517" s="53"/>
      <c r="H1517" s="38">
        <f t="shared" si="12"/>
        <v>5</v>
      </c>
      <c r="I1517" s="38">
        <f t="shared" si="13"/>
        <v>2</v>
      </c>
      <c r="J1517" s="55"/>
    </row>
    <row r="1518" spans="1:10" ht="15" customHeight="1" x14ac:dyDescent="0.2">
      <c r="A1518" s="50">
        <f t="array" ref="A1518">+INDEX(Partidas!$A:$J,MATCH('Resultados dashboard'!$B1518,Partidas!$C:$C,0),2)</f>
        <v>45890</v>
      </c>
      <c r="B1518" s="56">
        <f>+IF(COUNTIF($B$2:B1517,B1517)=VLOOKUP(B1517,Partidas!$C:$J,8,0),B1517+1,B1517)</f>
        <v>334</v>
      </c>
      <c r="C1518" s="41" t="str">
        <f t="array" ref="C1518">+INDEX(Partidas!$A:$J,MATCH('Resultados dashboard'!$B1518,Partidas!$C:$C,0),3+COUNTIF($B$2:B1518,'Resultados dashboard'!$B1518))</f>
        <v>Gaspa</v>
      </c>
      <c r="D1518" s="54">
        <v>5</v>
      </c>
      <c r="E1518" s="53"/>
      <c r="F1518" s="53"/>
      <c r="G1518" s="53"/>
      <c r="H1518" s="38">
        <f t="shared" si="12"/>
        <v>5</v>
      </c>
      <c r="I1518" s="38">
        <f t="shared" si="13"/>
        <v>2</v>
      </c>
      <c r="J1518" s="55"/>
    </row>
    <row r="1519" spans="1:10" ht="15" customHeight="1" x14ac:dyDescent="0.2">
      <c r="A1519" s="50">
        <f t="array" ref="A1519">+INDEX(Partidas!$A:$J,MATCH('Resultados dashboard'!$B1519,Partidas!$C:$C,0),2)</f>
        <v>45890</v>
      </c>
      <c r="B1519" s="56">
        <f>+IF(COUNTIF($B$2:B1518,B1518)=VLOOKUP(B1518,Partidas!$C:$J,8,0),B1518+1,B1518)</f>
        <v>335</v>
      </c>
      <c r="C1519" s="41" t="str">
        <f t="array" ref="C1519">+INDEX(Partidas!$A:$J,MATCH('Resultados dashboard'!$B1519,Partidas!$C:$C,0),3+COUNTIF($B$2:B1519,'Resultados dashboard'!$B1519))</f>
        <v>Gallo</v>
      </c>
      <c r="D1519" s="54">
        <v>7</v>
      </c>
      <c r="E1519" s="54">
        <v>1</v>
      </c>
      <c r="F1519" s="54">
        <v>1</v>
      </c>
      <c r="G1519" s="53"/>
      <c r="H1519" s="38">
        <f t="shared" si="12"/>
        <v>10</v>
      </c>
      <c r="I1519" s="38">
        <f t="shared" si="13"/>
        <v>1</v>
      </c>
      <c r="J1519" s="55"/>
    </row>
    <row r="1520" spans="1:10" ht="15" customHeight="1" x14ac:dyDescent="0.2">
      <c r="A1520" s="50">
        <f t="array" ref="A1520">+INDEX(Partidas!$A:$J,MATCH('Resultados dashboard'!$B1520,Partidas!$C:$C,0),2)</f>
        <v>45890</v>
      </c>
      <c r="B1520" s="56">
        <f>+IF(COUNTIF($B$2:B1519,B1519)=VLOOKUP(B1519,Partidas!$C:$J,8,0),B1519+1,B1519)</f>
        <v>335</v>
      </c>
      <c r="C1520" s="41" t="str">
        <f t="array" ref="C1520">+INDEX(Partidas!$A:$J,MATCH('Resultados dashboard'!$B1520,Partidas!$C:$C,0),3+COUNTIF($B$2:B1520,'Resultados dashboard'!$B1520))</f>
        <v>Max</v>
      </c>
      <c r="D1520" s="54">
        <v>7</v>
      </c>
      <c r="E1520" s="53"/>
      <c r="F1520" s="53"/>
      <c r="G1520" s="54">
        <v>1</v>
      </c>
      <c r="H1520" s="38">
        <f t="shared" si="12"/>
        <v>9</v>
      </c>
      <c r="I1520" s="38">
        <f t="shared" si="13"/>
        <v>2</v>
      </c>
      <c r="J1520" s="55"/>
    </row>
    <row r="1521" spans="1:10" ht="15" customHeight="1" x14ac:dyDescent="0.2">
      <c r="A1521" s="50">
        <f t="array" ref="A1521">+INDEX(Partidas!$A:$J,MATCH('Resultados dashboard'!$B1521,Partidas!$C:$C,0),2)</f>
        <v>45890</v>
      </c>
      <c r="B1521" s="56">
        <f>+IF(COUNTIF($B$2:B1520,B1520)=VLOOKUP(B1520,Partidas!$C:$J,8,0),B1520+1,B1520)</f>
        <v>335</v>
      </c>
      <c r="C1521" s="41" t="str">
        <f t="array" ref="C1521">+INDEX(Partidas!$A:$J,MATCH('Resultados dashboard'!$B1521,Partidas!$C:$C,0),3+COUNTIF($B$2:B1521,'Resultados dashboard'!$B1521))</f>
        <v>Moch</v>
      </c>
      <c r="D1521" s="54">
        <v>5</v>
      </c>
      <c r="E1521" s="54">
        <v>1</v>
      </c>
      <c r="F1521" s="53"/>
      <c r="G1521" s="53"/>
      <c r="H1521" s="38">
        <f t="shared" si="12"/>
        <v>6</v>
      </c>
      <c r="I1521" s="38">
        <f t="shared" si="13"/>
        <v>4</v>
      </c>
      <c r="J1521" s="55"/>
    </row>
    <row r="1522" spans="1:10" ht="15" customHeight="1" x14ac:dyDescent="0.2">
      <c r="A1522" s="50">
        <f t="array" ref="A1522">+INDEX(Partidas!$A:$J,MATCH('Resultados dashboard'!$B1522,Partidas!$C:$C,0),2)</f>
        <v>45890</v>
      </c>
      <c r="B1522" s="56">
        <f>+IF(COUNTIF($B$2:B1521,B1521)=VLOOKUP(B1521,Partidas!$C:$J,8,0),B1521+1,B1521)</f>
        <v>335</v>
      </c>
      <c r="C1522" s="41" t="str">
        <f t="array" ref="C1522">+INDEX(Partidas!$A:$J,MATCH('Resultados dashboard'!$B1522,Partidas!$C:$C,0),3+COUNTIF($B$2:B1522,'Resultados dashboard'!$B1522))</f>
        <v>Gaspa</v>
      </c>
      <c r="D1522" s="54">
        <v>5</v>
      </c>
      <c r="E1522" s="54">
        <v>3</v>
      </c>
      <c r="F1522" s="53"/>
      <c r="G1522" s="53"/>
      <c r="H1522" s="38">
        <f t="shared" si="12"/>
        <v>8</v>
      </c>
      <c r="I1522" s="38">
        <f t="shared" si="13"/>
        <v>3</v>
      </c>
      <c r="J1522" s="55"/>
    </row>
    <row r="1523" spans="1:10" ht="15" customHeight="1" x14ac:dyDescent="0.2">
      <c r="A1523" s="50">
        <f t="array" ref="A1523">+INDEX(Partidas!$A:$J,MATCH('Resultados dashboard'!$B1523,Partidas!$C:$C,0),2)</f>
        <v>45890</v>
      </c>
      <c r="B1523" s="56">
        <f>+IF(COUNTIF($B$2:B1522,B1522)=VLOOKUP(B1522,Partidas!$C:$J,8,0),B1522+1,B1522)</f>
        <v>336</v>
      </c>
      <c r="C1523" s="41" t="str">
        <f t="array" ref="C1523">+INDEX(Partidas!$A:$J,MATCH('Resultados dashboard'!$B1523,Partidas!$C:$C,0),3+COUNTIF($B$2:B1523,'Resultados dashboard'!$B1523))</f>
        <v>Gallo</v>
      </c>
      <c r="D1523" s="54">
        <v>7</v>
      </c>
      <c r="E1523" s="53"/>
      <c r="F1523" s="53"/>
      <c r="G1523" s="53"/>
      <c r="H1523" s="38">
        <f t="shared" si="12"/>
        <v>7</v>
      </c>
      <c r="I1523" s="38">
        <f t="shared" si="13"/>
        <v>3</v>
      </c>
      <c r="J1523" s="55"/>
    </row>
    <row r="1524" spans="1:10" ht="15" customHeight="1" x14ac:dyDescent="0.2">
      <c r="A1524" s="50">
        <f t="array" ref="A1524">+INDEX(Partidas!$A:$J,MATCH('Resultados dashboard'!$B1524,Partidas!$C:$C,0),2)</f>
        <v>45890</v>
      </c>
      <c r="B1524" s="56">
        <f>+IF(COUNTIF($B$2:B1523,B1523)=VLOOKUP(B1523,Partidas!$C:$J,8,0),B1523+1,B1523)</f>
        <v>336</v>
      </c>
      <c r="C1524" s="41" t="str">
        <f t="array" ref="C1524">+INDEX(Partidas!$A:$J,MATCH('Resultados dashboard'!$B1524,Partidas!$C:$C,0),3+COUNTIF($B$2:B1524,'Resultados dashboard'!$B1524))</f>
        <v>Max</v>
      </c>
      <c r="D1524" s="54">
        <v>7</v>
      </c>
      <c r="E1524" s="53"/>
      <c r="F1524" s="53"/>
      <c r="G1524" s="53"/>
      <c r="H1524" s="38">
        <f t="shared" si="12"/>
        <v>7</v>
      </c>
      <c r="I1524" s="38">
        <f t="shared" si="13"/>
        <v>3</v>
      </c>
      <c r="J1524" s="55"/>
    </row>
    <row r="1525" spans="1:10" ht="15" customHeight="1" x14ac:dyDescent="0.2">
      <c r="A1525" s="50">
        <f t="array" ref="A1525">+INDEX(Partidas!$A:$J,MATCH('Resultados dashboard'!$B1525,Partidas!$C:$C,0),2)</f>
        <v>45890</v>
      </c>
      <c r="B1525" s="56">
        <f>+IF(COUNTIF($B$2:B1524,B1524)=VLOOKUP(B1524,Partidas!$C:$J,8,0),B1524+1,B1524)</f>
        <v>336</v>
      </c>
      <c r="C1525" s="41" t="str">
        <f t="array" ref="C1525">+INDEX(Partidas!$A:$J,MATCH('Resultados dashboard'!$B1525,Partidas!$C:$C,0),3+COUNTIF($B$2:B1525,'Resultados dashboard'!$B1525))</f>
        <v>Moch</v>
      </c>
      <c r="D1525" s="54">
        <v>7</v>
      </c>
      <c r="E1525" s="54">
        <v>3</v>
      </c>
      <c r="F1525" s="53"/>
      <c r="G1525" s="53"/>
      <c r="H1525" s="38">
        <f t="shared" si="12"/>
        <v>10</v>
      </c>
      <c r="I1525" s="38">
        <f t="shared" si="13"/>
        <v>1</v>
      </c>
      <c r="J1525" s="55"/>
    </row>
    <row r="1526" spans="1:10" ht="15" customHeight="1" x14ac:dyDescent="0.2">
      <c r="A1526" s="50">
        <f t="array" ref="A1526">+INDEX(Partidas!$A:$J,MATCH('Resultados dashboard'!$B1526,Partidas!$C:$C,0),2)</f>
        <v>45890</v>
      </c>
      <c r="B1526" s="56">
        <f>+IF(COUNTIF($B$2:B1525,B1525)=VLOOKUP(B1525,Partidas!$C:$J,8,0),B1525+1,B1525)</f>
        <v>336</v>
      </c>
      <c r="C1526" s="41" t="str">
        <f t="array" ref="C1526">+INDEX(Partidas!$A:$J,MATCH('Resultados dashboard'!$B1526,Partidas!$C:$C,0),3+COUNTIF($B$2:B1526,'Resultados dashboard'!$B1526))</f>
        <v>Gaspa</v>
      </c>
      <c r="D1526" s="54">
        <v>7</v>
      </c>
      <c r="E1526" s="53"/>
      <c r="F1526" s="53"/>
      <c r="G1526" s="53"/>
      <c r="H1526" s="38">
        <f t="shared" si="12"/>
        <v>7</v>
      </c>
      <c r="I1526" s="38">
        <f t="shared" si="13"/>
        <v>3</v>
      </c>
      <c r="J1526" s="55"/>
    </row>
    <row r="1527" spans="1:10" ht="15" customHeight="1" x14ac:dyDescent="0.2">
      <c r="A1527" s="50">
        <f t="array" ref="A1527">+INDEX(Partidas!$A:$J,MATCH('Resultados dashboard'!$B1527,Partidas!$C:$C,0),2)</f>
        <v>45890</v>
      </c>
      <c r="B1527" s="56">
        <f>+IF(COUNTIF($B$2:B1526,B1526)=VLOOKUP(B1526,Partidas!$C:$J,8,0),B1526+1,B1526)</f>
        <v>336</v>
      </c>
      <c r="C1527" s="41" t="str">
        <f t="array" ref="C1527">+INDEX(Partidas!$A:$J,MATCH('Resultados dashboard'!$B1527,Partidas!$C:$C,0),3+COUNTIF($B$2:B1527,'Resultados dashboard'!$B1527))</f>
        <v>Ivo</v>
      </c>
      <c r="D1527" s="54">
        <v>5</v>
      </c>
      <c r="E1527" s="53"/>
      <c r="F1527" s="53"/>
      <c r="G1527" s="54">
        <v>1</v>
      </c>
      <c r="H1527" s="38">
        <f t="shared" si="12"/>
        <v>7</v>
      </c>
      <c r="I1527" s="38">
        <f t="shared" si="13"/>
        <v>3</v>
      </c>
      <c r="J1527" s="55"/>
    </row>
    <row r="1528" spans="1:10" ht="15" customHeight="1" x14ac:dyDescent="0.2">
      <c r="A1528" s="50">
        <f t="array" ref="A1528">+INDEX(Partidas!$A:$J,MATCH('Resultados dashboard'!$B1528,Partidas!$C:$C,0),2)</f>
        <v>45890</v>
      </c>
      <c r="B1528" s="56">
        <f>+IF(COUNTIF($B$2:B1527,B1527)=VLOOKUP(B1527,Partidas!$C:$J,8,0),B1527+1,B1527)</f>
        <v>336</v>
      </c>
      <c r="C1528" s="41" t="str">
        <f t="array" ref="C1528">+INDEX(Partidas!$A:$J,MATCH('Resultados dashboard'!$B1528,Partidas!$C:$C,0),3+COUNTIF($B$2:B1528,'Resultados dashboard'!$B1528))</f>
        <v>Hugo</v>
      </c>
      <c r="D1528" s="54">
        <v>6</v>
      </c>
      <c r="E1528" s="53"/>
      <c r="F1528" s="54">
        <v>1</v>
      </c>
      <c r="G1528" s="53"/>
      <c r="H1528" s="38">
        <f t="shared" si="12"/>
        <v>8</v>
      </c>
      <c r="I1528" s="38">
        <f t="shared" si="13"/>
        <v>2</v>
      </c>
      <c r="J1528" s="55"/>
    </row>
    <row r="1529" spans="1:10" ht="15" customHeight="1" x14ac:dyDescent="0.2">
      <c r="A1529" s="50">
        <f t="array" ref="A1529">+INDEX(Partidas!$A:$J,MATCH('Resultados dashboard'!$B1529,Partidas!$C:$C,0),2)</f>
        <v>45890</v>
      </c>
      <c r="B1529" s="56">
        <f>+IF(COUNTIF($B$2:B1528,B1528)=VLOOKUP(B1528,Partidas!$C:$J,8,0),B1528+1,B1528)</f>
        <v>337</v>
      </c>
      <c r="C1529" s="41" t="str">
        <f t="array" ref="C1529">+INDEX(Partidas!$A:$J,MATCH('Resultados dashboard'!$B1529,Partidas!$C:$C,0),3+COUNTIF($B$2:B1529,'Resultados dashboard'!$B1529))</f>
        <v>Gallo</v>
      </c>
      <c r="D1529" s="54">
        <v>6</v>
      </c>
      <c r="E1529" s="53"/>
      <c r="F1529" s="53"/>
      <c r="G1529" s="53"/>
      <c r="H1529" s="38">
        <f t="shared" si="12"/>
        <v>6</v>
      </c>
      <c r="I1529" s="38">
        <f t="shared" si="13"/>
        <v>6</v>
      </c>
      <c r="J1529" s="55"/>
    </row>
    <row r="1530" spans="1:10" ht="15" customHeight="1" x14ac:dyDescent="0.2">
      <c r="A1530" s="50">
        <f t="array" ref="A1530">+INDEX(Partidas!$A:$J,MATCH('Resultados dashboard'!$B1530,Partidas!$C:$C,0),2)</f>
        <v>45890</v>
      </c>
      <c r="B1530" s="56">
        <f>+IF(COUNTIF($B$2:B1529,B1529)=VLOOKUP(B1529,Partidas!$C:$J,8,0),B1529+1,B1529)</f>
        <v>337</v>
      </c>
      <c r="C1530" s="41" t="str">
        <f t="array" ref="C1530">+INDEX(Partidas!$A:$J,MATCH('Resultados dashboard'!$B1530,Partidas!$C:$C,0),3+COUNTIF($B$2:B1530,'Resultados dashboard'!$B1530))</f>
        <v>Max</v>
      </c>
      <c r="D1530" s="54">
        <v>7</v>
      </c>
      <c r="E1530" s="53"/>
      <c r="F1530" s="53"/>
      <c r="G1530" s="54"/>
      <c r="H1530" s="38">
        <f t="shared" si="12"/>
        <v>7</v>
      </c>
      <c r="I1530" s="38">
        <f t="shared" si="13"/>
        <v>3</v>
      </c>
      <c r="J1530" s="55"/>
    </row>
    <row r="1531" spans="1:10" ht="15" customHeight="1" x14ac:dyDescent="0.2">
      <c r="A1531" s="50">
        <f t="array" ref="A1531">+INDEX(Partidas!$A:$J,MATCH('Resultados dashboard'!$B1531,Partidas!$C:$C,0),2)</f>
        <v>45890</v>
      </c>
      <c r="B1531" s="56">
        <f>+IF(COUNTIF($B$2:B1530,B1530)=VLOOKUP(B1530,Partidas!$C:$J,8,0),B1530+1,B1530)</f>
        <v>337</v>
      </c>
      <c r="C1531" s="41" t="str">
        <f t="array" ref="C1531">+INDEX(Partidas!$A:$J,MATCH('Resultados dashboard'!$B1531,Partidas!$C:$C,0),3+COUNTIF($B$2:B1531,'Resultados dashboard'!$B1531))</f>
        <v>Moch</v>
      </c>
      <c r="D1531" s="54">
        <v>8</v>
      </c>
      <c r="E1531" s="53"/>
      <c r="F1531" s="53"/>
      <c r="G1531" s="54">
        <v>1</v>
      </c>
      <c r="H1531" s="38">
        <f t="shared" si="12"/>
        <v>10</v>
      </c>
      <c r="I1531" s="38">
        <f t="shared" si="13"/>
        <v>1</v>
      </c>
      <c r="J1531" s="55"/>
    </row>
    <row r="1532" spans="1:10" ht="15" customHeight="1" x14ac:dyDescent="0.2">
      <c r="A1532" s="50">
        <f t="array" ref="A1532">+INDEX(Partidas!$A:$J,MATCH('Resultados dashboard'!$B1532,Partidas!$C:$C,0),2)</f>
        <v>45890</v>
      </c>
      <c r="B1532" s="56">
        <f>+IF(COUNTIF($B$2:B1531,B1531)=VLOOKUP(B1531,Partidas!$C:$J,8,0),B1531+1,B1531)</f>
        <v>337</v>
      </c>
      <c r="C1532" s="41" t="str">
        <f t="array" ref="C1532">+INDEX(Partidas!$A:$J,MATCH('Resultados dashboard'!$B1532,Partidas!$C:$C,0),3+COUNTIF($B$2:B1532,'Resultados dashboard'!$B1532))</f>
        <v>Gaspa</v>
      </c>
      <c r="D1532" s="54">
        <v>7</v>
      </c>
      <c r="E1532" s="53"/>
      <c r="F1532" s="53"/>
      <c r="G1532" s="53"/>
      <c r="H1532" s="38">
        <f t="shared" ref="H1532:H1786" si="14">+SUM(D1532:E1532)+2*SUM(F1532:G1532)+J1532</f>
        <v>7</v>
      </c>
      <c r="I1532" s="38">
        <f t="shared" si="13"/>
        <v>3</v>
      </c>
      <c r="J1532" s="55"/>
    </row>
    <row r="1533" spans="1:10" ht="15" customHeight="1" x14ac:dyDescent="0.2">
      <c r="A1533" s="50">
        <f t="array" ref="A1533">+INDEX(Partidas!$A:$J,MATCH('Resultados dashboard'!$B1533,Partidas!$C:$C,0),2)</f>
        <v>45890</v>
      </c>
      <c r="B1533" s="56">
        <f>+IF(COUNTIF($B$2:B1532,B1532)=VLOOKUP(B1532,Partidas!$C:$J,8,0),B1532+1,B1532)</f>
        <v>337</v>
      </c>
      <c r="C1533" s="41" t="str">
        <f t="array" ref="C1533">+INDEX(Partidas!$A:$J,MATCH('Resultados dashboard'!$B1533,Partidas!$C:$C,0),3+COUNTIF($B$2:B1533,'Resultados dashboard'!$B1533))</f>
        <v>Ivo</v>
      </c>
      <c r="D1533" s="54">
        <v>4</v>
      </c>
      <c r="E1533" s="54">
        <v>2</v>
      </c>
      <c r="F1533" s="54">
        <v>1</v>
      </c>
      <c r="G1533" s="53"/>
      <c r="H1533" s="38">
        <f t="shared" si="14"/>
        <v>8</v>
      </c>
      <c r="I1533" s="38">
        <f t="shared" si="13"/>
        <v>2</v>
      </c>
      <c r="J1533" s="55"/>
    </row>
    <row r="1534" spans="1:10" ht="15" customHeight="1" x14ac:dyDescent="0.2">
      <c r="A1534" s="50">
        <f t="array" ref="A1534">+INDEX(Partidas!$A:$J,MATCH('Resultados dashboard'!$B1534,Partidas!$C:$C,0),2)</f>
        <v>45890</v>
      </c>
      <c r="B1534" s="56">
        <f>+IF(COUNTIF($B$2:B1533,B1533)=VLOOKUP(B1533,Partidas!$C:$J,8,0),B1533+1,B1533)</f>
        <v>337</v>
      </c>
      <c r="C1534" s="41" t="str">
        <f t="array" ref="C1534">+INDEX(Partidas!$A:$J,MATCH('Resultados dashboard'!$B1534,Partidas!$C:$C,0),3+COUNTIF($B$2:B1534,'Resultados dashboard'!$B1534))</f>
        <v>Hugo</v>
      </c>
      <c r="D1534" s="54">
        <v>7</v>
      </c>
      <c r="E1534" s="53"/>
      <c r="F1534" s="53"/>
      <c r="G1534" s="53"/>
      <c r="H1534" s="38">
        <f t="shared" si="14"/>
        <v>7</v>
      </c>
      <c r="I1534" s="38">
        <f t="shared" si="13"/>
        <v>3</v>
      </c>
      <c r="J1534" s="55"/>
    </row>
    <row r="1535" spans="1:10" ht="15" customHeight="1" x14ac:dyDescent="0.2">
      <c r="A1535" s="50">
        <f t="array" ref="A1535">+INDEX(Partidas!$A:$J,MATCH('Resultados dashboard'!$B1535,Partidas!$C:$C,0),2)</f>
        <v>45904</v>
      </c>
      <c r="B1535" s="56">
        <f>+IF(COUNTIF($B$2:B1534,B1534)=VLOOKUP(B1534,Partidas!$C:$J,8,0),B1534+1,B1534)</f>
        <v>338</v>
      </c>
      <c r="C1535" s="41" t="str">
        <f t="array" ref="C1535">+INDEX(Partidas!$A:$J,MATCH('Resultados dashboard'!$B1535,Partidas!$C:$C,0),3+COUNTIF($B$2:B1535,'Resultados dashboard'!$B1535))</f>
        <v>Gallo</v>
      </c>
      <c r="D1535" s="54">
        <v>5</v>
      </c>
      <c r="E1535" s="54">
        <v>2</v>
      </c>
      <c r="F1535" s="53"/>
      <c r="G1535" s="53"/>
      <c r="H1535" s="38">
        <f t="shared" si="14"/>
        <v>7</v>
      </c>
      <c r="I1535" s="38">
        <f t="shared" si="13"/>
        <v>4</v>
      </c>
      <c r="J1535" s="55"/>
    </row>
    <row r="1536" spans="1:10" ht="15" customHeight="1" x14ac:dyDescent="0.2">
      <c r="A1536" s="50">
        <f t="array" ref="A1536">+INDEX(Partidas!$A:$J,MATCH('Resultados dashboard'!$B1536,Partidas!$C:$C,0),2)</f>
        <v>45904</v>
      </c>
      <c r="B1536" s="56">
        <f>+IF(COUNTIF($B$2:B1535,B1535)=VLOOKUP(B1535,Partidas!$C:$J,8,0),B1535+1,B1535)</f>
        <v>338</v>
      </c>
      <c r="C1536" s="41" t="str">
        <f t="array" ref="C1536">+INDEX(Partidas!$A:$J,MATCH('Resultados dashboard'!$B1536,Partidas!$C:$C,0),3+COUNTIF($B$2:B1536,'Resultados dashboard'!$B1536))</f>
        <v>Max</v>
      </c>
      <c r="D1536" s="54">
        <v>8</v>
      </c>
      <c r="E1536" s="53"/>
      <c r="F1536" s="53"/>
      <c r="G1536" s="54">
        <v>1</v>
      </c>
      <c r="H1536" s="38">
        <f t="shared" si="14"/>
        <v>10</v>
      </c>
      <c r="I1536" s="38">
        <f t="shared" si="13"/>
        <v>1</v>
      </c>
      <c r="J1536" s="55"/>
    </row>
    <row r="1537" spans="1:10" ht="15" customHeight="1" x14ac:dyDescent="0.2">
      <c r="A1537" s="50">
        <f t="array" ref="A1537">+INDEX(Partidas!$A:$J,MATCH('Resultados dashboard'!$B1537,Partidas!$C:$C,0),2)</f>
        <v>45904</v>
      </c>
      <c r="B1537" s="56">
        <f>+IF(COUNTIF($B$2:B1536,B1536)=VLOOKUP(B1536,Partidas!$C:$J,8,0),B1536+1,B1536)</f>
        <v>338</v>
      </c>
      <c r="C1537" s="41" t="str">
        <f t="array" ref="C1537">+INDEX(Partidas!$A:$J,MATCH('Resultados dashboard'!$B1537,Partidas!$C:$C,0),3+COUNTIF($B$2:B1537,'Resultados dashboard'!$B1537))</f>
        <v>Ivo</v>
      </c>
      <c r="D1537" s="54">
        <v>6</v>
      </c>
      <c r="E1537" s="54">
        <v>1</v>
      </c>
      <c r="F1537" s="54">
        <v>1</v>
      </c>
      <c r="G1537" s="53"/>
      <c r="H1537" s="38">
        <f t="shared" si="14"/>
        <v>9</v>
      </c>
      <c r="I1537" s="38">
        <f t="shared" si="13"/>
        <v>2</v>
      </c>
      <c r="J1537" s="55"/>
    </row>
    <row r="1538" spans="1:10" ht="15" customHeight="1" x14ac:dyDescent="0.2">
      <c r="A1538" s="50">
        <f t="array" ref="A1538">+INDEX(Partidas!$A:$J,MATCH('Resultados dashboard'!$B1538,Partidas!$C:$C,0),2)</f>
        <v>45904</v>
      </c>
      <c r="B1538" s="56">
        <f>+IF(COUNTIF($B$2:B1537,B1537)=VLOOKUP(B1537,Partidas!$C:$J,8,0),B1537+1,B1537)</f>
        <v>338</v>
      </c>
      <c r="C1538" s="41" t="str">
        <f t="array" ref="C1538">+INDEX(Partidas!$A:$J,MATCH('Resultados dashboard'!$B1538,Partidas!$C:$C,0),3+COUNTIF($B$2:B1538,'Resultados dashboard'!$B1538))</f>
        <v>Hugo</v>
      </c>
      <c r="D1538" s="54">
        <v>7</v>
      </c>
      <c r="E1538" s="54">
        <v>1</v>
      </c>
      <c r="F1538" s="53"/>
      <c r="G1538" s="53"/>
      <c r="H1538" s="38">
        <f t="shared" si="14"/>
        <v>8</v>
      </c>
      <c r="I1538" s="38">
        <f t="shared" si="13"/>
        <v>3</v>
      </c>
      <c r="J1538" s="55"/>
    </row>
    <row r="1539" spans="1:10" ht="15" customHeight="1" x14ac:dyDescent="0.2">
      <c r="A1539" s="50">
        <f t="array" ref="A1539">+INDEX(Partidas!$A:$J,MATCH('Resultados dashboard'!$B1539,Partidas!$C:$C,0),2)</f>
        <v>45904</v>
      </c>
      <c r="B1539" s="56">
        <f>+IF(COUNTIF($B$2:B1538,B1538)=VLOOKUP(B1538,Partidas!$C:$J,8,0),B1538+1,B1538)</f>
        <v>339</v>
      </c>
      <c r="C1539" s="41" t="str">
        <f t="array" ref="C1539">+INDEX(Partidas!$A:$J,MATCH('Resultados dashboard'!$B1539,Partidas!$C:$C,0),3+COUNTIF($B$2:B1539,'Resultados dashboard'!$B1539))</f>
        <v>Gallo</v>
      </c>
      <c r="D1539" s="54">
        <v>5</v>
      </c>
      <c r="E1539" s="53"/>
      <c r="F1539" s="53"/>
      <c r="G1539" s="54">
        <v>1</v>
      </c>
      <c r="H1539" s="38">
        <f t="shared" si="14"/>
        <v>7</v>
      </c>
      <c r="I1539" s="38">
        <f t="shared" si="13"/>
        <v>2</v>
      </c>
      <c r="J1539" s="55"/>
    </row>
    <row r="1540" spans="1:10" ht="15" customHeight="1" x14ac:dyDescent="0.2">
      <c r="A1540" s="50">
        <f t="array" ref="A1540">+INDEX(Partidas!$A:$J,MATCH('Resultados dashboard'!$B1540,Partidas!$C:$C,0),2)</f>
        <v>45904</v>
      </c>
      <c r="B1540" s="56">
        <f>+IF(COUNTIF($B$2:B1539,B1539)=VLOOKUP(B1539,Partidas!$C:$J,8,0),B1539+1,B1539)</f>
        <v>339</v>
      </c>
      <c r="C1540" s="41" t="str">
        <f t="array" ref="C1540">+INDEX(Partidas!$A:$J,MATCH('Resultados dashboard'!$B1540,Partidas!$C:$C,0),3+COUNTIF($B$2:B1540,'Resultados dashboard'!$B1540))</f>
        <v>Max</v>
      </c>
      <c r="D1540" s="54">
        <v>3</v>
      </c>
      <c r="E1540" s="54">
        <v>1</v>
      </c>
      <c r="F1540" s="53"/>
      <c r="G1540" s="53"/>
      <c r="H1540" s="38">
        <f t="shared" si="14"/>
        <v>4</v>
      </c>
      <c r="I1540" s="38">
        <f t="shared" si="13"/>
        <v>3</v>
      </c>
      <c r="J1540" s="55"/>
    </row>
    <row r="1541" spans="1:10" ht="15" customHeight="1" x14ac:dyDescent="0.2">
      <c r="A1541" s="50">
        <f t="array" ref="A1541">+INDEX(Partidas!$A:$J,MATCH('Resultados dashboard'!$B1541,Partidas!$C:$C,0),2)</f>
        <v>45904</v>
      </c>
      <c r="B1541" s="56">
        <f>+IF(COUNTIF($B$2:B1540,B1540)=VLOOKUP(B1540,Partidas!$C:$J,8,0),B1540+1,B1540)</f>
        <v>339</v>
      </c>
      <c r="C1541" s="41" t="str">
        <f t="array" ref="C1541">+INDEX(Partidas!$A:$J,MATCH('Resultados dashboard'!$B1541,Partidas!$C:$C,0),3+COUNTIF($B$2:B1541,'Resultados dashboard'!$B1541))</f>
        <v>Ivo</v>
      </c>
      <c r="D1541" s="54">
        <v>4</v>
      </c>
      <c r="E1541" s="53"/>
      <c r="F1541" s="53"/>
      <c r="G1541" s="53"/>
      <c r="H1541" s="38">
        <f t="shared" si="14"/>
        <v>4</v>
      </c>
      <c r="I1541" s="38">
        <f t="shared" si="13"/>
        <v>3</v>
      </c>
      <c r="J1541" s="55"/>
    </row>
    <row r="1542" spans="1:10" ht="15" customHeight="1" x14ac:dyDescent="0.2">
      <c r="A1542" s="50">
        <f t="array" ref="A1542">+INDEX(Partidas!$A:$J,MATCH('Resultados dashboard'!$B1542,Partidas!$C:$C,0),2)</f>
        <v>45904</v>
      </c>
      <c r="B1542" s="56">
        <f>+IF(COUNTIF($B$2:B1541,B1541)=VLOOKUP(B1541,Partidas!$C:$J,8,0),B1541+1,B1541)</f>
        <v>339</v>
      </c>
      <c r="C1542" s="41" t="str">
        <f t="array" ref="C1542">+INDEX(Partidas!$A:$J,MATCH('Resultados dashboard'!$B1542,Partidas!$C:$C,0),3+COUNTIF($B$2:B1542,'Resultados dashboard'!$B1542))</f>
        <v>Hugo</v>
      </c>
      <c r="D1542" s="54">
        <v>5</v>
      </c>
      <c r="E1542" s="54">
        <v>3</v>
      </c>
      <c r="F1542" s="54">
        <v>1</v>
      </c>
      <c r="G1542" s="53"/>
      <c r="H1542" s="38">
        <f t="shared" si="14"/>
        <v>10</v>
      </c>
      <c r="I1542" s="38">
        <f t="shared" si="13"/>
        <v>1</v>
      </c>
      <c r="J1542" s="55"/>
    </row>
    <row r="1543" spans="1:10" ht="15" customHeight="1" x14ac:dyDescent="0.2">
      <c r="A1543" s="50">
        <f t="array" ref="A1543">+INDEX(Partidas!$A:$J,MATCH('Resultados dashboard'!$B1543,Partidas!$C:$C,0),2)</f>
        <v>45904</v>
      </c>
      <c r="B1543" s="56">
        <f>+IF(COUNTIF($B$2:B1542,B1542)=VLOOKUP(B1542,Partidas!$C:$J,8,0),B1542+1,B1542)</f>
        <v>340</v>
      </c>
      <c r="C1543" s="41" t="str">
        <f t="array" ref="C1543">+INDEX(Partidas!$A:$J,MATCH('Resultados dashboard'!$B1543,Partidas!$C:$C,0),3+COUNTIF($B$2:B1543,'Resultados dashboard'!$B1543))</f>
        <v>Gallo</v>
      </c>
      <c r="D1543" s="54">
        <v>6</v>
      </c>
      <c r="E1543" s="54">
        <v>1</v>
      </c>
      <c r="F1543" s="53"/>
      <c r="G1543" s="53"/>
      <c r="H1543" s="38">
        <f t="shared" si="14"/>
        <v>7</v>
      </c>
      <c r="I1543" s="38">
        <f t="shared" si="13"/>
        <v>3</v>
      </c>
      <c r="J1543" s="55"/>
    </row>
    <row r="1544" spans="1:10" ht="15" customHeight="1" x14ac:dyDescent="0.2">
      <c r="A1544" s="50">
        <f t="array" ref="A1544">+INDEX(Partidas!$A:$J,MATCH('Resultados dashboard'!$B1544,Partidas!$C:$C,0),2)</f>
        <v>45904</v>
      </c>
      <c r="B1544" s="56">
        <f>+IF(COUNTIF($B$2:B1543,B1543)=VLOOKUP(B1543,Partidas!$C:$J,8,0),B1543+1,B1543)</f>
        <v>340</v>
      </c>
      <c r="C1544" s="41" t="str">
        <f t="array" ref="C1544">+INDEX(Partidas!$A:$J,MATCH('Resultados dashboard'!$B1544,Partidas!$C:$C,0),3+COUNTIF($B$2:B1544,'Resultados dashboard'!$B1544))</f>
        <v>Max</v>
      </c>
      <c r="D1544" s="54">
        <v>6</v>
      </c>
      <c r="E1544" s="54">
        <v>1</v>
      </c>
      <c r="F1544" s="54">
        <v>1</v>
      </c>
      <c r="G1544" s="53"/>
      <c r="H1544" s="38">
        <f t="shared" si="14"/>
        <v>9</v>
      </c>
      <c r="I1544" s="38">
        <f t="shared" si="13"/>
        <v>2</v>
      </c>
      <c r="J1544" s="55"/>
    </row>
    <row r="1545" spans="1:10" ht="15" customHeight="1" x14ac:dyDescent="0.2">
      <c r="A1545" s="50">
        <f t="array" ref="A1545">+INDEX(Partidas!$A:$J,MATCH('Resultados dashboard'!$B1545,Partidas!$C:$C,0),2)</f>
        <v>45904</v>
      </c>
      <c r="B1545" s="56">
        <f>+IF(COUNTIF($B$2:B1544,B1544)=VLOOKUP(B1544,Partidas!$C:$J,8,0),B1544+1,B1544)</f>
        <v>340</v>
      </c>
      <c r="C1545" s="41" t="str">
        <f t="array" ref="C1545">+INDEX(Partidas!$A:$J,MATCH('Resultados dashboard'!$B1545,Partidas!$C:$C,0),3+COUNTIF($B$2:B1545,'Resultados dashboard'!$B1545))</f>
        <v>Ivo</v>
      </c>
      <c r="D1545" s="54">
        <v>6</v>
      </c>
      <c r="E1545" s="53"/>
      <c r="F1545" s="53"/>
      <c r="G1545" s="53"/>
      <c r="H1545" s="38">
        <f t="shared" si="14"/>
        <v>6</v>
      </c>
      <c r="I1545" s="38">
        <f t="shared" si="13"/>
        <v>5</v>
      </c>
      <c r="J1545" s="55"/>
    </row>
    <row r="1546" spans="1:10" ht="15" customHeight="1" x14ac:dyDescent="0.2">
      <c r="A1546" s="50">
        <f t="array" ref="A1546">+INDEX(Partidas!$A:$J,MATCH('Resultados dashboard'!$B1546,Partidas!$C:$C,0),2)</f>
        <v>45904</v>
      </c>
      <c r="B1546" s="56">
        <f>+IF(COUNTIF($B$2:B1545,B1545)=VLOOKUP(B1545,Partidas!$C:$J,8,0),B1545+1,B1545)</f>
        <v>340</v>
      </c>
      <c r="C1546" s="41" t="str">
        <f t="array" ref="C1546">+INDEX(Partidas!$A:$J,MATCH('Resultados dashboard'!$B1546,Partidas!$C:$C,0),3+COUNTIF($B$2:B1546,'Resultados dashboard'!$B1546))</f>
        <v>Hugo</v>
      </c>
      <c r="D1546" s="54">
        <v>8</v>
      </c>
      <c r="E1546" s="54">
        <v>2</v>
      </c>
      <c r="F1546" s="53"/>
      <c r="G1546" s="53"/>
      <c r="H1546" s="38">
        <f t="shared" si="14"/>
        <v>10</v>
      </c>
      <c r="I1546" s="38">
        <f t="shared" ref="I1546:I1574" si="15">COUNTIFS($B$2:$B$10000,B1546,$H$2:$H$10000,"&gt;" &amp; H1546)+1</f>
        <v>1</v>
      </c>
      <c r="J1546" s="55"/>
    </row>
    <row r="1547" spans="1:10" ht="15" customHeight="1" x14ac:dyDescent="0.2">
      <c r="A1547" s="50">
        <f t="array" ref="A1547">+INDEX(Partidas!$A:$J,MATCH('Resultados dashboard'!$B1547,Partidas!$C:$C,0),2)</f>
        <v>45904</v>
      </c>
      <c r="B1547" s="56">
        <f>+IF(COUNTIF($B$2:B1546,B1546)=VLOOKUP(B1546,Partidas!$C:$J,8,0),B1546+1,B1546)</f>
        <v>340</v>
      </c>
      <c r="C1547" s="41" t="str">
        <f t="array" ref="C1547">+INDEX(Partidas!$A:$J,MATCH('Resultados dashboard'!$B1547,Partidas!$C:$C,0),3+COUNTIF($B$2:B1547,'Resultados dashboard'!$B1547))</f>
        <v>Sofi</v>
      </c>
      <c r="D1547" s="54">
        <v>5</v>
      </c>
      <c r="E1547" s="53"/>
      <c r="F1547" s="53"/>
      <c r="G1547" s="54">
        <v>1</v>
      </c>
      <c r="H1547" s="38">
        <f t="shared" si="14"/>
        <v>7</v>
      </c>
      <c r="I1547" s="38">
        <f t="shared" si="15"/>
        <v>3</v>
      </c>
      <c r="J1547" s="55"/>
    </row>
    <row r="1548" spans="1:10" ht="15" customHeight="1" x14ac:dyDescent="0.2">
      <c r="A1548" s="50">
        <f t="array" ref="A1548">+INDEX(Partidas!$A:$J,MATCH('Resultados dashboard'!$B1548,Partidas!$C:$C,0),2)</f>
        <v>45907</v>
      </c>
      <c r="B1548" s="56">
        <f>+IF(COUNTIF($B$2:B1547,B1547)=VLOOKUP(B1547,Partidas!$C:$J,8,0),B1547+1,B1547)</f>
        <v>341</v>
      </c>
      <c r="C1548" s="41" t="str">
        <f t="array" ref="C1548">+INDEX(Partidas!$A:$J,MATCH('Resultados dashboard'!$B1548,Partidas!$C:$C,0),3+COUNTIF($B$2:B1548,'Resultados dashboard'!$B1548))</f>
        <v>Gallo</v>
      </c>
      <c r="D1548" s="54">
        <v>7</v>
      </c>
      <c r="E1548" s="53"/>
      <c r="F1548" s="53"/>
      <c r="G1548" s="53"/>
      <c r="H1548" s="38">
        <f t="shared" si="14"/>
        <v>7</v>
      </c>
      <c r="I1548" s="38">
        <f t="shared" si="15"/>
        <v>3</v>
      </c>
      <c r="J1548" s="55"/>
    </row>
    <row r="1549" spans="1:10" ht="15" customHeight="1" x14ac:dyDescent="0.2">
      <c r="A1549" s="50">
        <f t="array" ref="A1549">+INDEX(Partidas!$A:$J,MATCH('Resultados dashboard'!$B1549,Partidas!$C:$C,0),2)</f>
        <v>45907</v>
      </c>
      <c r="B1549" s="56">
        <f>+IF(COUNTIF($B$2:B1548,B1548)=VLOOKUP(B1548,Partidas!$C:$J,8,0),B1548+1,B1548)</f>
        <v>341</v>
      </c>
      <c r="C1549" s="41" t="str">
        <f t="array" ref="C1549">+INDEX(Partidas!$A:$J,MATCH('Resultados dashboard'!$B1549,Partidas!$C:$C,0),3+COUNTIF($B$2:B1549,'Resultados dashboard'!$B1549))</f>
        <v>Max</v>
      </c>
      <c r="D1549" s="54">
        <v>6</v>
      </c>
      <c r="E1549" s="53"/>
      <c r="F1549" s="53"/>
      <c r="G1549" s="53"/>
      <c r="H1549" s="38">
        <f t="shared" si="14"/>
        <v>6</v>
      </c>
      <c r="I1549" s="38">
        <f t="shared" si="15"/>
        <v>5</v>
      </c>
      <c r="J1549" s="55"/>
    </row>
    <row r="1550" spans="1:10" ht="15" customHeight="1" x14ac:dyDescent="0.2">
      <c r="A1550" s="50">
        <f t="array" ref="A1550">+INDEX(Partidas!$A:$J,MATCH('Resultados dashboard'!$B1550,Partidas!$C:$C,0),2)</f>
        <v>45907</v>
      </c>
      <c r="B1550" s="56">
        <f>+IF(COUNTIF($B$2:B1549,B1549)=VLOOKUP(B1549,Partidas!$C:$J,8,0),B1549+1,B1549)</f>
        <v>341</v>
      </c>
      <c r="C1550" s="41" t="str">
        <f t="array" ref="C1550">+INDEX(Partidas!$A:$J,MATCH('Resultados dashboard'!$B1550,Partidas!$C:$C,0),3+COUNTIF($B$2:B1550,'Resultados dashboard'!$B1550))</f>
        <v>Ivo</v>
      </c>
      <c r="D1550" s="54">
        <v>6</v>
      </c>
      <c r="E1550" s="54">
        <v>1</v>
      </c>
      <c r="F1550" s="53"/>
      <c r="G1550" s="53"/>
      <c r="H1550" s="38">
        <f t="shared" si="14"/>
        <v>7</v>
      </c>
      <c r="I1550" s="38">
        <f t="shared" si="15"/>
        <v>3</v>
      </c>
      <c r="J1550" s="55"/>
    </row>
    <row r="1551" spans="1:10" ht="15" customHeight="1" x14ac:dyDescent="0.2">
      <c r="A1551" s="50">
        <f t="array" ref="A1551">+INDEX(Partidas!$A:$J,MATCH('Resultados dashboard'!$B1551,Partidas!$C:$C,0),2)</f>
        <v>45907</v>
      </c>
      <c r="B1551" s="56">
        <f>+IF(COUNTIF($B$2:B1550,B1550)=VLOOKUP(B1550,Partidas!$C:$J,8,0),B1550+1,B1550)</f>
        <v>341</v>
      </c>
      <c r="C1551" s="41" t="str">
        <f t="array" ref="C1551">+INDEX(Partidas!$A:$J,MATCH('Resultados dashboard'!$B1551,Partidas!$C:$C,0),3+COUNTIF($B$2:B1551,'Resultados dashboard'!$B1551))</f>
        <v>Hugo</v>
      </c>
      <c r="D1551" s="54">
        <v>5</v>
      </c>
      <c r="E1551" s="54">
        <v>2</v>
      </c>
      <c r="F1551" s="54">
        <v>1</v>
      </c>
      <c r="G1551" s="53"/>
      <c r="H1551" s="38">
        <f t="shared" si="14"/>
        <v>9</v>
      </c>
      <c r="I1551" s="38">
        <f t="shared" si="15"/>
        <v>2</v>
      </c>
      <c r="J1551" s="55"/>
    </row>
    <row r="1552" spans="1:10" ht="15" customHeight="1" x14ac:dyDescent="0.2">
      <c r="A1552" s="50">
        <f t="array" ref="A1552">+INDEX(Partidas!$A:$J,MATCH('Resultados dashboard'!$B1552,Partidas!$C:$C,0),2)</f>
        <v>45907</v>
      </c>
      <c r="B1552" s="56">
        <f>+IF(COUNTIF($B$2:B1551,B1551)=VLOOKUP(B1551,Partidas!$C:$J,8,0),B1551+1,B1551)</f>
        <v>341</v>
      </c>
      <c r="C1552" s="41" t="str">
        <f t="array" ref="C1552">+INDEX(Partidas!$A:$J,MATCH('Resultados dashboard'!$B1552,Partidas!$C:$C,0),3+COUNTIF($B$2:B1552,'Resultados dashboard'!$B1552))</f>
        <v>Moch</v>
      </c>
      <c r="D1552" s="54">
        <v>7</v>
      </c>
      <c r="E1552" s="54">
        <v>1</v>
      </c>
      <c r="F1552" s="53"/>
      <c r="G1552" s="54">
        <v>1</v>
      </c>
      <c r="H1552" s="38">
        <f t="shared" si="14"/>
        <v>10</v>
      </c>
      <c r="I1552" s="38">
        <f t="shared" si="15"/>
        <v>1</v>
      </c>
      <c r="J1552" s="55"/>
    </row>
    <row r="1553" spans="1:10" ht="15" customHeight="1" x14ac:dyDescent="0.2">
      <c r="A1553" s="50">
        <f t="array" ref="A1553">+INDEX(Partidas!$A:$J,MATCH('Resultados dashboard'!$B1553,Partidas!$C:$C,0),2)</f>
        <v>45907</v>
      </c>
      <c r="B1553" s="56">
        <f>+IF(COUNTIF($B$2:B1552,B1552)=VLOOKUP(B1552,Partidas!$C:$J,8,0),B1552+1,B1552)</f>
        <v>342</v>
      </c>
      <c r="C1553" s="41" t="str">
        <f t="array" ref="C1553">+INDEX(Partidas!$A:$J,MATCH('Resultados dashboard'!$B1553,Partidas!$C:$C,0),3+COUNTIF($B$2:B1553,'Resultados dashboard'!$B1553))</f>
        <v>Gallo</v>
      </c>
      <c r="D1553" s="54">
        <v>7</v>
      </c>
      <c r="E1553" s="54">
        <v>1</v>
      </c>
      <c r="F1553" s="53"/>
      <c r="G1553" s="53"/>
      <c r="H1553" s="38">
        <f t="shared" si="14"/>
        <v>8</v>
      </c>
      <c r="I1553" s="38">
        <f t="shared" si="15"/>
        <v>4</v>
      </c>
      <c r="J1553" s="55"/>
    </row>
    <row r="1554" spans="1:10" ht="15" customHeight="1" x14ac:dyDescent="0.2">
      <c r="A1554" s="50">
        <f t="array" ref="A1554">+INDEX(Partidas!$A:$J,MATCH('Resultados dashboard'!$B1554,Partidas!$C:$C,0),2)</f>
        <v>45907</v>
      </c>
      <c r="B1554" s="56">
        <f>+IF(COUNTIF($B$2:B1553,B1553)=VLOOKUP(B1553,Partidas!$C:$J,8,0),B1553+1,B1553)</f>
        <v>342</v>
      </c>
      <c r="C1554" s="41" t="str">
        <f t="array" ref="C1554">+INDEX(Partidas!$A:$J,MATCH('Resultados dashboard'!$B1554,Partidas!$C:$C,0),3+COUNTIF($B$2:B1554,'Resultados dashboard'!$B1554))</f>
        <v>Max</v>
      </c>
      <c r="D1554" s="54">
        <v>6</v>
      </c>
      <c r="E1554" s="54">
        <v>1</v>
      </c>
      <c r="F1554" s="54">
        <v>1</v>
      </c>
      <c r="G1554" s="53"/>
      <c r="H1554" s="38">
        <f t="shared" si="14"/>
        <v>9</v>
      </c>
      <c r="I1554" s="38">
        <f t="shared" si="15"/>
        <v>2</v>
      </c>
      <c r="J1554" s="55"/>
    </row>
    <row r="1555" spans="1:10" ht="15" customHeight="1" x14ac:dyDescent="0.2">
      <c r="A1555" s="50">
        <f t="array" ref="A1555">+INDEX(Partidas!$A:$J,MATCH('Resultados dashboard'!$B1555,Partidas!$C:$C,0),2)</f>
        <v>45907</v>
      </c>
      <c r="B1555" s="56">
        <f>+IF(COUNTIF($B$2:B1554,B1554)=VLOOKUP(B1554,Partidas!$C:$J,8,0),B1554+1,B1554)</f>
        <v>342</v>
      </c>
      <c r="C1555" s="41" t="str">
        <f t="array" ref="C1555">+INDEX(Partidas!$A:$J,MATCH('Resultados dashboard'!$B1555,Partidas!$C:$C,0),3+COUNTIF($B$2:B1555,'Resultados dashboard'!$B1555))</f>
        <v>Ivo</v>
      </c>
      <c r="D1555" s="54">
        <v>9</v>
      </c>
      <c r="E1555" s="54">
        <v>1</v>
      </c>
      <c r="F1555" s="53"/>
      <c r="G1555" s="53"/>
      <c r="H1555" s="38">
        <f t="shared" si="14"/>
        <v>10</v>
      </c>
      <c r="I1555" s="38">
        <f t="shared" si="15"/>
        <v>1</v>
      </c>
      <c r="J1555" s="55"/>
    </row>
    <row r="1556" spans="1:10" ht="15" customHeight="1" x14ac:dyDescent="0.2">
      <c r="A1556" s="50">
        <f t="array" ref="A1556">+INDEX(Partidas!$A:$J,MATCH('Resultados dashboard'!$B1556,Partidas!$C:$C,0),2)</f>
        <v>45907</v>
      </c>
      <c r="B1556" s="56">
        <f>+IF(COUNTIF($B$2:B1555,B1555)=VLOOKUP(B1555,Partidas!$C:$J,8,0),B1555+1,B1555)</f>
        <v>342</v>
      </c>
      <c r="C1556" s="41" t="str">
        <f t="array" ref="C1556">+INDEX(Partidas!$A:$J,MATCH('Resultados dashboard'!$B1556,Partidas!$C:$C,0),3+COUNTIF($B$2:B1556,'Resultados dashboard'!$B1556))</f>
        <v>Hugo</v>
      </c>
      <c r="D1556" s="54">
        <v>6</v>
      </c>
      <c r="E1556" s="54">
        <v>2</v>
      </c>
      <c r="F1556" s="53"/>
      <c r="G1556" s="53"/>
      <c r="H1556" s="38">
        <f t="shared" si="14"/>
        <v>8</v>
      </c>
      <c r="I1556" s="38">
        <f t="shared" si="15"/>
        <v>4</v>
      </c>
      <c r="J1556" s="55"/>
    </row>
    <row r="1557" spans="1:10" ht="15" customHeight="1" x14ac:dyDescent="0.2">
      <c r="A1557" s="50">
        <f t="array" ref="A1557">+INDEX(Partidas!$A:$J,MATCH('Resultados dashboard'!$B1557,Partidas!$C:$C,0),2)</f>
        <v>45907</v>
      </c>
      <c r="B1557" s="56">
        <f>+IF(COUNTIF($B$2:B1556,B1556)=VLOOKUP(B1556,Partidas!$C:$J,8,0),B1556+1,B1556)</f>
        <v>342</v>
      </c>
      <c r="C1557" s="41" t="str">
        <f t="array" ref="C1557">+INDEX(Partidas!$A:$J,MATCH('Resultados dashboard'!$B1557,Partidas!$C:$C,0),3+COUNTIF($B$2:B1557,'Resultados dashboard'!$B1557))</f>
        <v>Moch</v>
      </c>
      <c r="D1557" s="54">
        <v>7</v>
      </c>
      <c r="E1557" s="53"/>
      <c r="F1557" s="53"/>
      <c r="G1557" s="54">
        <v>1</v>
      </c>
      <c r="H1557" s="38">
        <f t="shared" si="14"/>
        <v>9</v>
      </c>
      <c r="I1557" s="38">
        <f t="shared" si="15"/>
        <v>2</v>
      </c>
      <c r="J1557" s="55"/>
    </row>
    <row r="1558" spans="1:10" ht="15" customHeight="1" x14ac:dyDescent="0.2">
      <c r="A1558" s="50">
        <f t="array" ref="A1558">+INDEX(Partidas!$A:$J,MATCH('Resultados dashboard'!$B1558,Partidas!$C:$C,0),2)</f>
        <v>45907</v>
      </c>
      <c r="B1558" s="56">
        <f>+IF(COUNTIF($B$2:B1557,B1557)=VLOOKUP(B1557,Partidas!$C:$J,8,0),B1557+1,B1557)</f>
        <v>343</v>
      </c>
      <c r="C1558" s="41" t="str">
        <f t="array" ref="C1558">+INDEX(Partidas!$A:$J,MATCH('Resultados dashboard'!$B1558,Partidas!$C:$C,0),3+COUNTIF($B$2:B1558,'Resultados dashboard'!$B1558))</f>
        <v>Gallo</v>
      </c>
      <c r="D1558" s="54">
        <v>4</v>
      </c>
      <c r="E1558" s="54">
        <v>3</v>
      </c>
      <c r="F1558" s="53"/>
      <c r="G1558" s="53"/>
      <c r="H1558" s="38">
        <f t="shared" si="14"/>
        <v>7</v>
      </c>
      <c r="I1558" s="38">
        <f t="shared" si="15"/>
        <v>4</v>
      </c>
      <c r="J1558" s="55"/>
    </row>
    <row r="1559" spans="1:10" ht="15" customHeight="1" x14ac:dyDescent="0.2">
      <c r="A1559" s="50">
        <f t="array" ref="A1559">+INDEX(Partidas!$A:$J,MATCH('Resultados dashboard'!$B1559,Partidas!$C:$C,0),2)</f>
        <v>45907</v>
      </c>
      <c r="B1559" s="56">
        <f>+IF(COUNTIF($B$2:B1558,B1558)=VLOOKUP(B1558,Partidas!$C:$J,8,0),B1558+1,B1558)</f>
        <v>343</v>
      </c>
      <c r="C1559" s="41" t="str">
        <f t="array" ref="C1559">+INDEX(Partidas!$A:$J,MATCH('Resultados dashboard'!$B1559,Partidas!$C:$C,0),3+COUNTIF($B$2:B1559,'Resultados dashboard'!$B1559))</f>
        <v>Max</v>
      </c>
      <c r="D1559" s="54">
        <v>7</v>
      </c>
      <c r="E1559" s="53"/>
      <c r="F1559" s="54">
        <v>1</v>
      </c>
      <c r="G1559" s="53"/>
      <c r="H1559" s="38">
        <f t="shared" si="14"/>
        <v>9</v>
      </c>
      <c r="I1559" s="38">
        <f t="shared" si="15"/>
        <v>2</v>
      </c>
      <c r="J1559" s="55"/>
    </row>
    <row r="1560" spans="1:10" ht="15" customHeight="1" x14ac:dyDescent="0.2">
      <c r="A1560" s="50">
        <f t="array" ref="A1560">+INDEX(Partidas!$A:$J,MATCH('Resultados dashboard'!$B1560,Partidas!$C:$C,0),2)</f>
        <v>45907</v>
      </c>
      <c r="B1560" s="56">
        <f>+IF(COUNTIF($B$2:B1559,B1559)=VLOOKUP(B1559,Partidas!$C:$J,8,0),B1559+1,B1559)</f>
        <v>343</v>
      </c>
      <c r="C1560" s="41" t="str">
        <f t="array" ref="C1560">+INDEX(Partidas!$A:$J,MATCH('Resultados dashboard'!$B1560,Partidas!$C:$C,0),3+COUNTIF($B$2:B1560,'Resultados dashboard'!$B1560))</f>
        <v>Ivo</v>
      </c>
      <c r="D1560" s="54">
        <v>5</v>
      </c>
      <c r="E1560" s="54">
        <v>1</v>
      </c>
      <c r="F1560" s="53"/>
      <c r="G1560" s="53"/>
      <c r="H1560" s="38">
        <f t="shared" si="14"/>
        <v>6</v>
      </c>
      <c r="I1560" s="38">
        <f t="shared" si="15"/>
        <v>5</v>
      </c>
      <c r="J1560" s="55"/>
    </row>
    <row r="1561" spans="1:10" ht="15" customHeight="1" x14ac:dyDescent="0.2">
      <c r="A1561" s="50">
        <f t="array" ref="A1561">+INDEX(Partidas!$A:$J,MATCH('Resultados dashboard'!$B1561,Partidas!$C:$C,0),2)</f>
        <v>45907</v>
      </c>
      <c r="B1561" s="56">
        <f>+IF(COUNTIF($B$2:B1560,B1560)=VLOOKUP(B1560,Partidas!$C:$J,8,0),B1560+1,B1560)</f>
        <v>343</v>
      </c>
      <c r="C1561" s="41" t="str">
        <f t="array" ref="C1561">+INDEX(Partidas!$A:$J,MATCH('Resultados dashboard'!$B1561,Partidas!$C:$C,0),3+COUNTIF($B$2:B1561,'Resultados dashboard'!$B1561))</f>
        <v>Hugo</v>
      </c>
      <c r="D1561" s="54">
        <v>8</v>
      </c>
      <c r="E1561" s="53"/>
      <c r="F1561" s="53"/>
      <c r="G1561" s="54">
        <v>1</v>
      </c>
      <c r="H1561" s="38">
        <f t="shared" si="14"/>
        <v>10</v>
      </c>
      <c r="I1561" s="38">
        <f t="shared" si="15"/>
        <v>1</v>
      </c>
      <c r="J1561" s="55"/>
    </row>
    <row r="1562" spans="1:10" ht="15" customHeight="1" x14ac:dyDescent="0.2">
      <c r="A1562" s="50">
        <f t="array" ref="A1562">+INDEX(Partidas!$A:$J,MATCH('Resultados dashboard'!$B1562,Partidas!$C:$C,0),2)</f>
        <v>45907</v>
      </c>
      <c r="B1562" s="56">
        <f>+IF(COUNTIF($B$2:B1561,B1561)=VLOOKUP(B1561,Partidas!$C:$J,8,0),B1561+1,B1561)</f>
        <v>343</v>
      </c>
      <c r="C1562" s="41" t="str">
        <f t="array" ref="C1562">+INDEX(Partidas!$A:$J,MATCH('Resultados dashboard'!$B1562,Partidas!$C:$C,0),3+COUNTIF($B$2:B1562,'Resultados dashboard'!$B1562))</f>
        <v>Moch</v>
      </c>
      <c r="D1562" s="54">
        <v>9</v>
      </c>
      <c r="E1562" s="53"/>
      <c r="F1562" s="53"/>
      <c r="G1562" s="53"/>
      <c r="H1562" s="38">
        <f t="shared" si="14"/>
        <v>9</v>
      </c>
      <c r="I1562" s="38">
        <f t="shared" si="15"/>
        <v>2</v>
      </c>
      <c r="J1562" s="55"/>
    </row>
    <row r="1563" spans="1:10" ht="15" customHeight="1" x14ac:dyDescent="0.2">
      <c r="A1563" s="50">
        <f t="array" ref="A1563">+INDEX(Partidas!$A:$J,MATCH('Resultados dashboard'!$B1563,Partidas!$C:$C,0),2)</f>
        <v>45907</v>
      </c>
      <c r="B1563" s="56">
        <f>+IF(COUNTIF($B$2:B1562,B1562)=VLOOKUP(B1562,Partidas!$C:$J,8,0),B1562+1,B1562)</f>
        <v>344</v>
      </c>
      <c r="C1563" s="41" t="str">
        <f t="array" ref="C1563">+INDEX(Partidas!$A:$J,MATCH('Resultados dashboard'!$B1563,Partidas!$C:$C,0),3+COUNTIF($B$2:B1563,'Resultados dashboard'!$B1563))</f>
        <v>Gallo</v>
      </c>
      <c r="D1563" s="54">
        <v>6</v>
      </c>
      <c r="E1563" s="54">
        <v>2</v>
      </c>
      <c r="F1563" s="54">
        <v>1</v>
      </c>
      <c r="G1563" s="53"/>
      <c r="H1563" s="38">
        <f t="shared" si="14"/>
        <v>10</v>
      </c>
      <c r="I1563" s="38">
        <f t="shared" si="15"/>
        <v>1</v>
      </c>
      <c r="J1563" s="55"/>
    </row>
    <row r="1564" spans="1:10" ht="15" customHeight="1" x14ac:dyDescent="0.2">
      <c r="A1564" s="50">
        <f t="array" ref="A1564">+INDEX(Partidas!$A:$J,MATCH('Resultados dashboard'!$B1564,Partidas!$C:$C,0),2)</f>
        <v>45907</v>
      </c>
      <c r="B1564" s="56">
        <f>+IF(COUNTIF($B$2:B1563,B1563)=VLOOKUP(B1563,Partidas!$C:$J,8,0),B1563+1,B1563)</f>
        <v>344</v>
      </c>
      <c r="C1564" s="41" t="str">
        <f t="array" ref="C1564">+INDEX(Partidas!$A:$J,MATCH('Resultados dashboard'!$B1564,Partidas!$C:$C,0),3+COUNTIF($B$2:B1564,'Resultados dashboard'!$B1564))</f>
        <v>Max</v>
      </c>
      <c r="D1564" s="54">
        <v>6</v>
      </c>
      <c r="E1564" s="53"/>
      <c r="F1564" s="53"/>
      <c r="G1564" s="54">
        <v>1</v>
      </c>
      <c r="H1564" s="38">
        <f t="shared" si="14"/>
        <v>8</v>
      </c>
      <c r="I1564" s="38">
        <f t="shared" si="15"/>
        <v>2</v>
      </c>
      <c r="J1564" s="55"/>
    </row>
    <row r="1565" spans="1:10" ht="15" customHeight="1" x14ac:dyDescent="0.2">
      <c r="A1565" s="50">
        <f t="array" ref="A1565">+INDEX(Partidas!$A:$J,MATCH('Resultados dashboard'!$B1565,Partidas!$C:$C,0),2)</f>
        <v>45907</v>
      </c>
      <c r="B1565" s="56">
        <f>+IF(COUNTIF($B$2:B1564,B1564)=VLOOKUP(B1564,Partidas!$C:$J,8,0),B1564+1,B1564)</f>
        <v>344</v>
      </c>
      <c r="C1565" s="41" t="str">
        <f t="array" ref="C1565">+INDEX(Partidas!$A:$J,MATCH('Resultados dashboard'!$B1565,Partidas!$C:$C,0),3+COUNTIF($B$2:B1565,'Resultados dashboard'!$B1565))</f>
        <v>Ivo</v>
      </c>
      <c r="D1565" s="54">
        <v>5</v>
      </c>
      <c r="E1565" s="54">
        <v>1</v>
      </c>
      <c r="F1565" s="53"/>
      <c r="G1565" s="53"/>
      <c r="H1565" s="38">
        <f t="shared" si="14"/>
        <v>6</v>
      </c>
      <c r="I1565" s="38">
        <f t="shared" si="15"/>
        <v>4</v>
      </c>
      <c r="J1565" s="55"/>
    </row>
    <row r="1566" spans="1:10" ht="15" customHeight="1" x14ac:dyDescent="0.2">
      <c r="A1566" s="50">
        <f t="array" ref="A1566">+INDEX(Partidas!$A:$J,MATCH('Resultados dashboard'!$B1566,Partidas!$C:$C,0),2)</f>
        <v>45907</v>
      </c>
      <c r="B1566" s="56">
        <f>+IF(COUNTIF($B$2:B1565,B1565)=VLOOKUP(B1565,Partidas!$C:$J,8,0),B1565+1,B1565)</f>
        <v>344</v>
      </c>
      <c r="C1566" s="41" t="str">
        <f t="array" ref="C1566">+INDEX(Partidas!$A:$J,MATCH('Resultados dashboard'!$B1566,Partidas!$C:$C,0),3+COUNTIF($B$2:B1566,'Resultados dashboard'!$B1566))</f>
        <v>Hugo</v>
      </c>
      <c r="D1566" s="54">
        <v>6</v>
      </c>
      <c r="E1566" s="54">
        <v>2</v>
      </c>
      <c r="F1566" s="53"/>
      <c r="G1566" s="53"/>
      <c r="H1566" s="38">
        <f t="shared" si="14"/>
        <v>8</v>
      </c>
      <c r="I1566" s="38">
        <f t="shared" si="15"/>
        <v>2</v>
      </c>
      <c r="J1566" s="55"/>
    </row>
    <row r="1567" spans="1:10" ht="15" customHeight="1" x14ac:dyDescent="0.2">
      <c r="A1567" s="50">
        <f t="array" ref="A1567">+INDEX(Partidas!$A:$J,MATCH('Resultados dashboard'!$B1567,Partidas!$C:$C,0),2)</f>
        <v>45909</v>
      </c>
      <c r="B1567" s="56">
        <f>+IF(COUNTIF($B$2:B1566,B1566)=VLOOKUP(B1566,Partidas!$C:$J,8,0),B1566+1,B1566)</f>
        <v>345</v>
      </c>
      <c r="C1567" s="41" t="str">
        <f t="array" ref="C1567">+INDEX(Partidas!$A:$J,MATCH('Resultados dashboard'!$B1567,Partidas!$C:$C,0),3+COUNTIF($B$2:B1567,'Resultados dashboard'!$B1567))</f>
        <v>Gallo</v>
      </c>
      <c r="D1567" s="54">
        <v>5</v>
      </c>
      <c r="E1567" s="54">
        <v>2</v>
      </c>
      <c r="F1567" s="53"/>
      <c r="G1567" s="53"/>
      <c r="H1567" s="38">
        <f t="shared" si="14"/>
        <v>7</v>
      </c>
      <c r="I1567" s="38">
        <f t="shared" si="15"/>
        <v>2</v>
      </c>
      <c r="J1567" s="55"/>
    </row>
    <row r="1568" spans="1:10" ht="15" customHeight="1" x14ac:dyDescent="0.2">
      <c r="A1568" s="50">
        <f t="array" ref="A1568">+INDEX(Partidas!$A:$J,MATCH('Resultados dashboard'!$B1568,Partidas!$C:$C,0),2)</f>
        <v>45909</v>
      </c>
      <c r="B1568" s="56">
        <f>+IF(COUNTIF($B$2:B1567,B1567)=VLOOKUP(B1567,Partidas!$C:$J,8,0),B1567+1,B1567)</f>
        <v>345</v>
      </c>
      <c r="C1568" s="41" t="str">
        <f t="array" ref="C1568">+INDEX(Partidas!$A:$J,MATCH('Resultados dashboard'!$B1568,Partidas!$C:$C,0),3+COUNTIF($B$2:B1568,'Resultados dashboard'!$B1568))</f>
        <v>Max</v>
      </c>
      <c r="D1568" s="54">
        <v>6</v>
      </c>
      <c r="E1568" s="53"/>
      <c r="F1568" s="53"/>
      <c r="G1568" s="53"/>
      <c r="H1568" s="38">
        <f t="shared" si="14"/>
        <v>6</v>
      </c>
      <c r="I1568" s="38">
        <f t="shared" si="15"/>
        <v>3</v>
      </c>
      <c r="J1568" s="55"/>
    </row>
    <row r="1569" spans="1:10" ht="15" customHeight="1" x14ac:dyDescent="0.2">
      <c r="A1569" s="50">
        <f t="array" ref="A1569">+INDEX(Partidas!$A:$J,MATCH('Resultados dashboard'!$B1569,Partidas!$C:$C,0),2)</f>
        <v>45909</v>
      </c>
      <c r="B1569" s="56">
        <f>+IF(COUNTIF($B$2:B1568,B1568)=VLOOKUP(B1568,Partidas!$C:$J,8,0),B1568+1,B1568)</f>
        <v>345</v>
      </c>
      <c r="C1569" s="41" t="str">
        <f t="array" ref="C1569">+INDEX(Partidas!$A:$J,MATCH('Resultados dashboard'!$B1569,Partidas!$C:$C,0),3+COUNTIF($B$2:B1569,'Resultados dashboard'!$B1569))</f>
        <v>Hugo</v>
      </c>
      <c r="D1569" s="54">
        <v>8</v>
      </c>
      <c r="E1569" s="53"/>
      <c r="F1569" s="53"/>
      <c r="G1569" s="54">
        <v>1</v>
      </c>
      <c r="H1569" s="38">
        <f t="shared" si="14"/>
        <v>10</v>
      </c>
      <c r="I1569" s="38">
        <f t="shared" si="15"/>
        <v>1</v>
      </c>
      <c r="J1569" s="55"/>
    </row>
    <row r="1570" spans="1:10" ht="15" customHeight="1" x14ac:dyDescent="0.2">
      <c r="A1570" s="50">
        <f t="array" ref="A1570">+INDEX(Partidas!$A:$J,MATCH('Resultados dashboard'!$B1570,Partidas!$C:$C,0),2)</f>
        <v>45909</v>
      </c>
      <c r="B1570" s="56">
        <f>+IF(COUNTIF($B$2:B1569,B1569)=VLOOKUP(B1569,Partidas!$C:$J,8,0),B1569+1,B1569)</f>
        <v>345</v>
      </c>
      <c r="C1570" s="41" t="str">
        <f t="array" ref="C1570">+INDEX(Partidas!$A:$J,MATCH('Resultados dashboard'!$B1570,Partidas!$C:$C,0),3+COUNTIF($B$2:B1570,'Resultados dashboard'!$B1570))</f>
        <v>Moch</v>
      </c>
      <c r="D1570" s="54">
        <v>5</v>
      </c>
      <c r="E1570" s="53"/>
      <c r="F1570" s="53"/>
      <c r="G1570" s="53"/>
      <c r="H1570" s="38">
        <f t="shared" si="14"/>
        <v>5</v>
      </c>
      <c r="I1570" s="38">
        <f t="shared" si="15"/>
        <v>4</v>
      </c>
      <c r="J1570" s="55"/>
    </row>
    <row r="1571" spans="1:10" ht="15" customHeight="1" x14ac:dyDescent="0.2">
      <c r="A1571" s="50">
        <f t="array" ref="A1571">+INDEX(Partidas!$A:$J,MATCH('Resultados dashboard'!$B1571,Partidas!$C:$C,0),2)</f>
        <v>45909</v>
      </c>
      <c r="B1571" s="56">
        <f>+IF(COUNTIF($B$2:B1570,B1570)=VLOOKUP(B1570,Partidas!$C:$J,8,0),B1570+1,B1570)</f>
        <v>346</v>
      </c>
      <c r="C1571" s="41" t="str">
        <f t="array" ref="C1571">+INDEX(Partidas!$A:$J,MATCH('Resultados dashboard'!$B1571,Partidas!$C:$C,0),3+COUNTIF($B$2:B1571,'Resultados dashboard'!$B1571))</f>
        <v>Gallo</v>
      </c>
      <c r="D1571" s="54">
        <v>8</v>
      </c>
      <c r="E1571" s="54">
        <v>1</v>
      </c>
      <c r="F1571" s="53"/>
      <c r="G1571" s="53"/>
      <c r="H1571" s="38">
        <f t="shared" si="14"/>
        <v>9</v>
      </c>
      <c r="I1571" s="38">
        <f t="shared" si="15"/>
        <v>3</v>
      </c>
      <c r="J1571" s="55"/>
    </row>
    <row r="1572" spans="1:10" ht="15" customHeight="1" x14ac:dyDescent="0.2">
      <c r="A1572" s="50">
        <f t="array" ref="A1572">+INDEX(Partidas!$A:$J,MATCH('Resultados dashboard'!$B1572,Partidas!$C:$C,0),2)</f>
        <v>45909</v>
      </c>
      <c r="B1572" s="56">
        <f>+IF(COUNTIF($B$2:B1571,B1571)=VLOOKUP(B1571,Partidas!$C:$J,8,0),B1571+1,B1571)</f>
        <v>346</v>
      </c>
      <c r="C1572" s="41" t="str">
        <f t="array" ref="C1572">+INDEX(Partidas!$A:$J,MATCH('Resultados dashboard'!$B1572,Partidas!$C:$C,0),3+COUNTIF($B$2:B1572,'Resultados dashboard'!$B1572))</f>
        <v>Max</v>
      </c>
      <c r="D1572" s="54">
        <v>7</v>
      </c>
      <c r="E1572" s="54">
        <v>1</v>
      </c>
      <c r="F1572" s="53"/>
      <c r="G1572" s="53"/>
      <c r="H1572" s="38">
        <f t="shared" si="14"/>
        <v>8</v>
      </c>
      <c r="I1572" s="38">
        <f t="shared" si="15"/>
        <v>4</v>
      </c>
      <c r="J1572" s="55"/>
    </row>
    <row r="1573" spans="1:10" ht="15" customHeight="1" x14ac:dyDescent="0.2">
      <c r="A1573" s="50">
        <f t="array" ref="A1573">+INDEX(Partidas!$A:$J,MATCH('Resultados dashboard'!$B1573,Partidas!$C:$C,0),2)</f>
        <v>45909</v>
      </c>
      <c r="B1573" s="56">
        <f>+IF(COUNTIF($B$2:B1572,B1572)=VLOOKUP(B1572,Partidas!$C:$J,8,0),B1572+1,B1572)</f>
        <v>346</v>
      </c>
      <c r="C1573" s="41" t="str">
        <f t="array" ref="C1573">+INDEX(Partidas!$A:$J,MATCH('Resultados dashboard'!$B1573,Partidas!$C:$C,0),3+COUNTIF($B$2:B1573,'Resultados dashboard'!$B1573))</f>
        <v>Hugo</v>
      </c>
      <c r="D1573" s="54">
        <v>10</v>
      </c>
      <c r="E1573" s="53"/>
      <c r="F1573" s="53"/>
      <c r="G1573" s="53"/>
      <c r="H1573" s="38">
        <f t="shared" si="14"/>
        <v>10</v>
      </c>
      <c r="I1573" s="38">
        <f t="shared" si="15"/>
        <v>1</v>
      </c>
      <c r="J1573" s="55"/>
    </row>
    <row r="1574" spans="1:10" ht="15" customHeight="1" x14ac:dyDescent="0.2">
      <c r="A1574" s="50">
        <f t="array" ref="A1574">+INDEX(Partidas!$A:$J,MATCH('Resultados dashboard'!$B1574,Partidas!$C:$C,0),2)</f>
        <v>45909</v>
      </c>
      <c r="B1574" s="56">
        <f>+IF(COUNTIF($B$2:B1573,B1573)=VLOOKUP(B1573,Partidas!$C:$J,8,0),B1573+1,B1573)</f>
        <v>346</v>
      </c>
      <c r="C1574" s="41" t="str">
        <f t="array" ref="C1574">+INDEX(Partidas!$A:$J,MATCH('Resultados dashboard'!$B1574,Partidas!$C:$C,0),3+COUNTIF($B$2:B1574,'Resultados dashboard'!$B1574))</f>
        <v>Moch</v>
      </c>
      <c r="D1574" s="54">
        <v>4</v>
      </c>
      <c r="E1574" s="54">
        <v>1</v>
      </c>
      <c r="F1574" s="54">
        <v>1</v>
      </c>
      <c r="G1574" s="53"/>
      <c r="H1574" s="38">
        <f t="shared" si="14"/>
        <v>7</v>
      </c>
      <c r="I1574" s="38">
        <f t="shared" si="15"/>
        <v>5</v>
      </c>
      <c r="J1574" s="55"/>
    </row>
    <row r="1575" spans="1:10" ht="15" customHeight="1" x14ac:dyDescent="0.2">
      <c r="A1575" s="50">
        <f t="array" ref="A1575">+INDEX(Partidas!$A:$J,MATCH('Resultados dashboard'!$B1575,Partidas!$C:$C,0),2)</f>
        <v>45909</v>
      </c>
      <c r="B1575" s="56">
        <f>+IF(COUNTIF($B$2:B1574,B1574)=VLOOKUP(B1574,Partidas!$C:$J,8,0),B1574+1,B1574)</f>
        <v>346</v>
      </c>
      <c r="C1575" s="41" t="str">
        <f t="array" ref="C1575">+INDEX(Partidas!$A:$J,MATCH('Resultados dashboard'!$B1575,Partidas!$C:$C,0),3+COUNTIF($B$2:B1575,'Resultados dashboard'!$B1575))</f>
        <v>Ivo</v>
      </c>
      <c r="D1575" s="54">
        <v>7</v>
      </c>
      <c r="E1575" s="54">
        <v>1</v>
      </c>
      <c r="F1575" s="53"/>
      <c r="G1575" s="54">
        <v>1</v>
      </c>
      <c r="H1575" s="38">
        <f t="shared" si="14"/>
        <v>10</v>
      </c>
      <c r="I1575" s="58">
        <v>2</v>
      </c>
      <c r="J1575" s="55"/>
    </row>
    <row r="1576" spans="1:10" ht="15" customHeight="1" x14ac:dyDescent="0.2">
      <c r="A1576" s="50">
        <f t="array" ref="A1576">+INDEX(Partidas!$A:$J,MATCH('Resultados dashboard'!$B1576,Partidas!$C:$C,0),2)</f>
        <v>45909</v>
      </c>
      <c r="B1576" s="56">
        <f>+IF(COUNTIF($B$2:B1575,B1575)=VLOOKUP(B1575,Partidas!$C:$J,8,0),B1575+1,B1575)</f>
        <v>347</v>
      </c>
      <c r="C1576" s="41" t="str">
        <f t="array" ref="C1576">+INDEX(Partidas!$A:$J,MATCH('Resultados dashboard'!$B1576,Partidas!$C:$C,0),3+COUNTIF($B$2:B1576,'Resultados dashboard'!$B1576))</f>
        <v>Gallo</v>
      </c>
      <c r="D1576" s="54">
        <v>8</v>
      </c>
      <c r="E1576" s="53"/>
      <c r="F1576" s="53"/>
      <c r="G1576" s="54">
        <v>1</v>
      </c>
      <c r="H1576" s="38">
        <f t="shared" si="14"/>
        <v>10</v>
      </c>
      <c r="I1576" s="38">
        <f t="shared" ref="I1576:I1830" si="16">COUNTIFS($B$2:$B$10000,B1576,$H$2:$H$10000,"&gt;" &amp; H1576)+1</f>
        <v>1</v>
      </c>
      <c r="J1576" s="55"/>
    </row>
    <row r="1577" spans="1:10" ht="15" customHeight="1" x14ac:dyDescent="0.2">
      <c r="A1577" s="50">
        <f t="array" ref="A1577">+INDEX(Partidas!$A:$J,MATCH('Resultados dashboard'!$B1577,Partidas!$C:$C,0),2)</f>
        <v>45909</v>
      </c>
      <c r="B1577" s="56">
        <f>+IF(COUNTIF($B$2:B1576,B1576)=VLOOKUP(B1576,Partidas!$C:$J,8,0),B1576+1,B1576)</f>
        <v>347</v>
      </c>
      <c r="C1577" s="41" t="str">
        <f t="array" ref="C1577">+INDEX(Partidas!$A:$J,MATCH('Resultados dashboard'!$B1577,Partidas!$C:$C,0),3+COUNTIF($B$2:B1577,'Resultados dashboard'!$B1577))</f>
        <v>Max</v>
      </c>
      <c r="D1577" s="54">
        <v>4</v>
      </c>
      <c r="E1577" s="53"/>
      <c r="F1577" s="53"/>
      <c r="G1577" s="53"/>
      <c r="H1577" s="38">
        <f t="shared" si="14"/>
        <v>4</v>
      </c>
      <c r="I1577" s="38">
        <f t="shared" si="16"/>
        <v>5</v>
      </c>
      <c r="J1577" s="55"/>
    </row>
    <row r="1578" spans="1:10" ht="15" customHeight="1" x14ac:dyDescent="0.2">
      <c r="A1578" s="50">
        <f t="array" ref="A1578">+INDEX(Partidas!$A:$J,MATCH('Resultados dashboard'!$B1578,Partidas!$C:$C,0),2)</f>
        <v>45909</v>
      </c>
      <c r="B1578" s="56">
        <f>+IF(COUNTIF($B$2:B1577,B1577)=VLOOKUP(B1577,Partidas!$C:$J,8,0),B1577+1,B1577)</f>
        <v>347</v>
      </c>
      <c r="C1578" s="41" t="str">
        <f t="array" ref="C1578">+INDEX(Partidas!$A:$J,MATCH('Resultados dashboard'!$B1578,Partidas!$C:$C,0),3+COUNTIF($B$2:B1578,'Resultados dashboard'!$B1578))</f>
        <v>Hugo</v>
      </c>
      <c r="D1578" s="54">
        <v>5</v>
      </c>
      <c r="E1578" s="54">
        <v>1</v>
      </c>
      <c r="F1578" s="53"/>
      <c r="G1578" s="53"/>
      <c r="H1578" s="38">
        <f t="shared" si="14"/>
        <v>6</v>
      </c>
      <c r="I1578" s="38">
        <f t="shared" si="16"/>
        <v>4</v>
      </c>
      <c r="J1578" s="55"/>
    </row>
    <row r="1579" spans="1:10" ht="15" customHeight="1" x14ac:dyDescent="0.2">
      <c r="A1579" s="50">
        <f t="array" ref="A1579">+INDEX(Partidas!$A:$J,MATCH('Resultados dashboard'!$B1579,Partidas!$C:$C,0),2)</f>
        <v>45909</v>
      </c>
      <c r="B1579" s="56">
        <f>+IF(COUNTIF($B$2:B1578,B1578)=VLOOKUP(B1578,Partidas!$C:$J,8,0),B1578+1,B1578)</f>
        <v>347</v>
      </c>
      <c r="C1579" s="41" t="str">
        <f t="array" ref="C1579">+INDEX(Partidas!$A:$J,MATCH('Resultados dashboard'!$B1579,Partidas!$C:$C,0),3+COUNTIF($B$2:B1579,'Resultados dashboard'!$B1579))</f>
        <v>Moch</v>
      </c>
      <c r="D1579" s="54">
        <v>6</v>
      </c>
      <c r="E1579" s="54">
        <v>2</v>
      </c>
      <c r="F1579" s="53"/>
      <c r="G1579" s="53"/>
      <c r="H1579" s="38">
        <f t="shared" si="14"/>
        <v>8</v>
      </c>
      <c r="I1579" s="38">
        <f t="shared" si="16"/>
        <v>3</v>
      </c>
      <c r="J1579" s="55"/>
    </row>
    <row r="1580" spans="1:10" ht="15" customHeight="1" x14ac:dyDescent="0.2">
      <c r="A1580" s="50">
        <f t="array" ref="A1580">+INDEX(Partidas!$A:$J,MATCH('Resultados dashboard'!$B1580,Partidas!$C:$C,0),2)</f>
        <v>45909</v>
      </c>
      <c r="B1580" s="56">
        <f>+IF(COUNTIF($B$2:B1579,B1579)=VLOOKUP(B1579,Partidas!$C:$J,8,0),B1579+1,B1579)</f>
        <v>347</v>
      </c>
      <c r="C1580" s="41" t="str">
        <f t="array" ref="C1580">+INDEX(Partidas!$A:$J,MATCH('Resultados dashboard'!$B1580,Partidas!$C:$C,0),3+COUNTIF($B$2:B1580,'Resultados dashboard'!$B1580))</f>
        <v>Ivo</v>
      </c>
      <c r="D1580" s="54">
        <v>5</v>
      </c>
      <c r="E1580" s="54">
        <v>2</v>
      </c>
      <c r="F1580" s="54">
        <v>1</v>
      </c>
      <c r="G1580" s="53"/>
      <c r="H1580" s="38">
        <f t="shared" si="14"/>
        <v>9</v>
      </c>
      <c r="I1580" s="38">
        <f t="shared" si="16"/>
        <v>2</v>
      </c>
      <c r="J1580" s="55"/>
    </row>
    <row r="1581" spans="1:10" ht="15" customHeight="1" x14ac:dyDescent="0.2">
      <c r="A1581" s="50">
        <f t="array" ref="A1581">+INDEX(Partidas!$A:$J,MATCH('Resultados dashboard'!$B1581,Partidas!$C:$C,0),2)</f>
        <v>45918</v>
      </c>
      <c r="B1581" s="56">
        <f>+IF(COUNTIF($B$2:B1580,B1580)=VLOOKUP(B1580,Partidas!$C:$J,8,0),B1580+1,B1580)</f>
        <v>348</v>
      </c>
      <c r="C1581" s="41" t="str">
        <f t="array" ref="C1581">+INDEX(Partidas!$A:$J,MATCH('Resultados dashboard'!$B1581,Partidas!$C:$C,0),3+COUNTIF($B$2:B1581,'Resultados dashboard'!$B1581))</f>
        <v>Ivo</v>
      </c>
      <c r="D1581" s="54">
        <v>7</v>
      </c>
      <c r="E1581" s="54">
        <v>1</v>
      </c>
      <c r="F1581" s="53"/>
      <c r="G1581" s="54">
        <v>1</v>
      </c>
      <c r="H1581" s="38">
        <f t="shared" si="14"/>
        <v>10</v>
      </c>
      <c r="I1581" s="38">
        <f t="shared" si="16"/>
        <v>1</v>
      </c>
      <c r="J1581" s="55"/>
    </row>
    <row r="1582" spans="1:10" ht="15" customHeight="1" x14ac:dyDescent="0.2">
      <c r="A1582" s="50">
        <f t="array" ref="A1582">+INDEX(Partidas!$A:$J,MATCH('Resultados dashboard'!$B1582,Partidas!$C:$C,0),2)</f>
        <v>45918</v>
      </c>
      <c r="B1582" s="56">
        <f>+IF(COUNTIF($B$2:B1581,B1581)=VLOOKUP(B1581,Partidas!$C:$J,8,0),B1581+1,B1581)</f>
        <v>348</v>
      </c>
      <c r="C1582" s="41" t="str">
        <f t="array" ref="C1582">+INDEX(Partidas!$A:$J,MATCH('Resultados dashboard'!$B1582,Partidas!$C:$C,0),3+COUNTIF($B$2:B1582,'Resultados dashboard'!$B1582))</f>
        <v>Max</v>
      </c>
      <c r="D1582" s="54">
        <v>5</v>
      </c>
      <c r="E1582" s="54">
        <v>1</v>
      </c>
      <c r="F1582" s="53"/>
      <c r="G1582" s="53"/>
      <c r="H1582" s="38">
        <f t="shared" si="14"/>
        <v>6</v>
      </c>
      <c r="I1582" s="38">
        <f t="shared" si="16"/>
        <v>4</v>
      </c>
      <c r="J1582" s="55"/>
    </row>
    <row r="1583" spans="1:10" ht="15" customHeight="1" x14ac:dyDescent="0.2">
      <c r="A1583" s="50">
        <f t="array" ref="A1583">+INDEX(Partidas!$A:$J,MATCH('Resultados dashboard'!$B1583,Partidas!$C:$C,0),2)</f>
        <v>45918</v>
      </c>
      <c r="B1583" s="56">
        <f>+IF(COUNTIF($B$2:B1582,B1582)=VLOOKUP(B1582,Partidas!$C:$J,8,0),B1582+1,B1582)</f>
        <v>348</v>
      </c>
      <c r="C1583" s="41" t="str">
        <f t="array" ref="C1583">+INDEX(Partidas!$A:$J,MATCH('Resultados dashboard'!$B1583,Partidas!$C:$C,0),3+COUNTIF($B$2:B1583,'Resultados dashboard'!$B1583))</f>
        <v>Hugo</v>
      </c>
      <c r="D1583" s="54">
        <v>5</v>
      </c>
      <c r="E1583" s="53"/>
      <c r="F1583" s="54">
        <v>1</v>
      </c>
      <c r="G1583" s="53"/>
      <c r="H1583" s="38">
        <f t="shared" si="14"/>
        <v>7</v>
      </c>
      <c r="I1583" s="38">
        <f t="shared" si="16"/>
        <v>3</v>
      </c>
      <c r="J1583" s="55"/>
    </row>
    <row r="1584" spans="1:10" ht="15" customHeight="1" x14ac:dyDescent="0.2">
      <c r="A1584" s="50">
        <f t="array" ref="A1584">+INDEX(Partidas!$A:$J,MATCH('Resultados dashboard'!$B1584,Partidas!$C:$C,0),2)</f>
        <v>45918</v>
      </c>
      <c r="B1584" s="56">
        <f>+IF(COUNTIF($B$2:B1583,B1583)=VLOOKUP(B1583,Partidas!$C:$J,8,0),B1583+1,B1583)</f>
        <v>348</v>
      </c>
      <c r="C1584" s="41" t="str">
        <f t="array" ref="C1584">+INDEX(Partidas!$A:$J,MATCH('Resultados dashboard'!$B1584,Partidas!$C:$C,0),3+COUNTIF($B$2:B1584,'Resultados dashboard'!$B1584))</f>
        <v>Moch</v>
      </c>
      <c r="D1584" s="54">
        <v>8</v>
      </c>
      <c r="E1584" s="54">
        <v>1</v>
      </c>
      <c r="F1584" s="53"/>
      <c r="G1584" s="53"/>
      <c r="H1584" s="38">
        <f t="shared" si="14"/>
        <v>9</v>
      </c>
      <c r="I1584" s="38">
        <f t="shared" si="16"/>
        <v>2</v>
      </c>
      <c r="J1584" s="55"/>
    </row>
    <row r="1585" spans="1:10" ht="15" customHeight="1" x14ac:dyDescent="0.2">
      <c r="A1585" s="50">
        <f t="array" ref="A1585">+INDEX(Partidas!$A:$J,MATCH('Resultados dashboard'!$B1585,Partidas!$C:$C,0),2)</f>
        <v>45918</v>
      </c>
      <c r="B1585" s="56">
        <f>+IF(COUNTIF($B$2:B1584,B1584)=VLOOKUP(B1584,Partidas!$C:$J,8,0),B1584+1,B1584)</f>
        <v>349</v>
      </c>
      <c r="C1585" s="41" t="str">
        <f t="array" ref="C1585">+INDEX(Partidas!$A:$J,MATCH('Resultados dashboard'!$B1585,Partidas!$C:$C,0),3+COUNTIF($B$2:B1585,'Resultados dashboard'!$B1585))</f>
        <v>Ivo</v>
      </c>
      <c r="D1585" s="54">
        <v>5</v>
      </c>
      <c r="E1585" s="53"/>
      <c r="F1585" s="53"/>
      <c r="G1585" s="53"/>
      <c r="H1585" s="38">
        <f t="shared" si="14"/>
        <v>5</v>
      </c>
      <c r="I1585" s="38">
        <f t="shared" si="16"/>
        <v>3</v>
      </c>
      <c r="J1585" s="55"/>
    </row>
    <row r="1586" spans="1:10" ht="15" customHeight="1" x14ac:dyDescent="0.2">
      <c r="A1586" s="50">
        <f t="array" ref="A1586">+INDEX(Partidas!$A:$J,MATCH('Resultados dashboard'!$B1586,Partidas!$C:$C,0),2)</f>
        <v>45918</v>
      </c>
      <c r="B1586" s="56">
        <f>+IF(COUNTIF($B$2:B1585,B1585)=VLOOKUP(B1585,Partidas!$C:$J,8,0),B1585+1,B1585)</f>
        <v>349</v>
      </c>
      <c r="C1586" s="41" t="str">
        <f t="array" ref="C1586">+INDEX(Partidas!$A:$J,MATCH('Resultados dashboard'!$B1586,Partidas!$C:$C,0),3+COUNTIF($B$2:B1586,'Resultados dashboard'!$B1586))</f>
        <v>Max</v>
      </c>
      <c r="D1586" s="54">
        <v>5</v>
      </c>
      <c r="E1586" s="53"/>
      <c r="F1586" s="53"/>
      <c r="G1586" s="53"/>
      <c r="H1586" s="38">
        <f t="shared" si="14"/>
        <v>5</v>
      </c>
      <c r="I1586" s="38">
        <f t="shared" si="16"/>
        <v>3</v>
      </c>
      <c r="J1586" s="55"/>
    </row>
    <row r="1587" spans="1:10" ht="15" customHeight="1" x14ac:dyDescent="0.2">
      <c r="A1587" s="50">
        <f t="array" ref="A1587">+INDEX(Partidas!$A:$J,MATCH('Resultados dashboard'!$B1587,Partidas!$C:$C,0),2)</f>
        <v>45918</v>
      </c>
      <c r="B1587" s="56">
        <f>+IF(COUNTIF($B$2:B1586,B1586)=VLOOKUP(B1586,Partidas!$C:$J,8,0),B1586+1,B1586)</f>
        <v>349</v>
      </c>
      <c r="C1587" s="41" t="str">
        <f t="array" ref="C1587">+INDEX(Partidas!$A:$J,MATCH('Resultados dashboard'!$B1587,Partidas!$C:$C,0),3+COUNTIF($B$2:B1587,'Resultados dashboard'!$B1587))</f>
        <v>Hugo</v>
      </c>
      <c r="D1587" s="54">
        <v>6</v>
      </c>
      <c r="E1587" s="53"/>
      <c r="F1587" s="53"/>
      <c r="G1587" s="53"/>
      <c r="H1587" s="38">
        <f t="shared" si="14"/>
        <v>6</v>
      </c>
      <c r="I1587" s="38">
        <f t="shared" si="16"/>
        <v>2</v>
      </c>
      <c r="J1587" s="55"/>
    </row>
    <row r="1588" spans="1:10" ht="15" customHeight="1" x14ac:dyDescent="0.2">
      <c r="A1588" s="50">
        <f t="array" ref="A1588">+INDEX(Partidas!$A:$J,MATCH('Resultados dashboard'!$B1588,Partidas!$C:$C,0),2)</f>
        <v>45918</v>
      </c>
      <c r="B1588" s="56">
        <f>+IF(COUNTIF($B$2:B1587,B1587)=VLOOKUP(B1587,Partidas!$C:$J,8,0),B1587+1,B1587)</f>
        <v>349</v>
      </c>
      <c r="C1588" s="41" t="str">
        <f t="array" ref="C1588">+INDEX(Partidas!$A:$J,MATCH('Resultados dashboard'!$B1588,Partidas!$C:$C,0),3+COUNTIF($B$2:B1588,'Resultados dashboard'!$B1588))</f>
        <v>Moch</v>
      </c>
      <c r="D1588" s="54">
        <v>7</v>
      </c>
      <c r="E1588" s="53"/>
      <c r="F1588" s="54">
        <v>1</v>
      </c>
      <c r="G1588" s="54">
        <v>1</v>
      </c>
      <c r="H1588" s="38">
        <f t="shared" si="14"/>
        <v>11</v>
      </c>
      <c r="I1588" s="38">
        <f t="shared" si="16"/>
        <v>1</v>
      </c>
      <c r="J1588" s="55"/>
    </row>
    <row r="1589" spans="1:10" ht="15" customHeight="1" x14ac:dyDescent="0.2">
      <c r="A1589" s="50">
        <f t="array" ref="A1589">+INDEX(Partidas!$A:$J,MATCH('Resultados dashboard'!$B1589,Partidas!$C:$C,0),2)</f>
        <v>45918</v>
      </c>
      <c r="B1589" s="56">
        <f>+IF(COUNTIF($B$2:B1588,B1588)=VLOOKUP(B1588,Partidas!$C:$J,8,0),B1588+1,B1588)</f>
        <v>350</v>
      </c>
      <c r="C1589" s="41" t="str">
        <f t="array" ref="C1589">+INDEX(Partidas!$A:$J,MATCH('Resultados dashboard'!$B1589,Partidas!$C:$C,0),3+COUNTIF($B$2:B1589,'Resultados dashboard'!$B1589))</f>
        <v>Ivo</v>
      </c>
      <c r="D1589" s="54">
        <v>5</v>
      </c>
      <c r="E1589" s="54">
        <v>1</v>
      </c>
      <c r="F1589" s="54"/>
      <c r="G1589" s="54">
        <v>1</v>
      </c>
      <c r="H1589" s="38">
        <f t="shared" si="14"/>
        <v>8</v>
      </c>
      <c r="I1589" s="38">
        <f t="shared" si="16"/>
        <v>2</v>
      </c>
      <c r="J1589" s="55"/>
    </row>
    <row r="1590" spans="1:10" ht="15" customHeight="1" x14ac:dyDescent="0.2">
      <c r="A1590" s="50">
        <f t="array" ref="A1590">+INDEX(Partidas!$A:$J,MATCH('Resultados dashboard'!$B1590,Partidas!$C:$C,0),2)</f>
        <v>45918</v>
      </c>
      <c r="B1590" s="56">
        <f>+IF(COUNTIF($B$2:B1589,B1589)=VLOOKUP(B1589,Partidas!$C:$J,8,0),B1589+1,B1589)</f>
        <v>350</v>
      </c>
      <c r="C1590" s="41" t="str">
        <f t="array" ref="C1590">+INDEX(Partidas!$A:$J,MATCH('Resultados dashboard'!$B1590,Partidas!$C:$C,0),3+COUNTIF($B$2:B1590,'Resultados dashboard'!$B1590))</f>
        <v>Max</v>
      </c>
      <c r="D1590" s="54">
        <v>7</v>
      </c>
      <c r="E1590" s="53"/>
      <c r="F1590" s="53"/>
      <c r="G1590" s="53"/>
      <c r="H1590" s="38">
        <f t="shared" si="14"/>
        <v>7</v>
      </c>
      <c r="I1590" s="38">
        <f t="shared" si="16"/>
        <v>3</v>
      </c>
      <c r="J1590" s="55"/>
    </row>
    <row r="1591" spans="1:10" ht="15" customHeight="1" x14ac:dyDescent="0.2">
      <c r="A1591" s="50">
        <f t="array" ref="A1591">+INDEX(Partidas!$A:$J,MATCH('Resultados dashboard'!$B1591,Partidas!$C:$C,0),2)</f>
        <v>45918</v>
      </c>
      <c r="B1591" s="56">
        <f>+IF(COUNTIF($B$2:B1590,B1590)=VLOOKUP(B1590,Partidas!$C:$J,8,0),B1590+1,B1590)</f>
        <v>350</v>
      </c>
      <c r="C1591" s="41" t="str">
        <f t="array" ref="C1591">+INDEX(Partidas!$A:$J,MATCH('Resultados dashboard'!$B1591,Partidas!$C:$C,0),3+COUNTIF($B$2:B1591,'Resultados dashboard'!$B1591))</f>
        <v>Hugo</v>
      </c>
      <c r="D1591" s="54">
        <v>7</v>
      </c>
      <c r="E1591" s="53"/>
      <c r="F1591" s="53"/>
      <c r="G1591" s="53"/>
      <c r="H1591" s="38">
        <f t="shared" si="14"/>
        <v>7</v>
      </c>
      <c r="I1591" s="38">
        <f t="shared" si="16"/>
        <v>3</v>
      </c>
      <c r="J1591" s="55"/>
    </row>
    <row r="1592" spans="1:10" ht="15" customHeight="1" x14ac:dyDescent="0.2">
      <c r="A1592" s="50">
        <f t="array" ref="A1592">+INDEX(Partidas!$A:$J,MATCH('Resultados dashboard'!$B1592,Partidas!$C:$C,0),2)</f>
        <v>45918</v>
      </c>
      <c r="B1592" s="56">
        <f>+IF(COUNTIF($B$2:B1591,B1591)=VLOOKUP(B1591,Partidas!$C:$J,8,0),B1591+1,B1591)</f>
        <v>350</v>
      </c>
      <c r="C1592" s="41" t="str">
        <f t="array" ref="C1592">+INDEX(Partidas!$A:$J,MATCH('Resultados dashboard'!$B1592,Partidas!$C:$C,0),3+COUNTIF($B$2:B1592,'Resultados dashboard'!$B1592))</f>
        <v>Moch</v>
      </c>
      <c r="D1592" s="54">
        <v>7</v>
      </c>
      <c r="E1592" s="54">
        <v>1</v>
      </c>
      <c r="F1592" s="54">
        <v>1</v>
      </c>
      <c r="G1592" s="54"/>
      <c r="H1592" s="38">
        <f t="shared" si="14"/>
        <v>10</v>
      </c>
      <c r="I1592" s="38">
        <f t="shared" si="16"/>
        <v>1</v>
      </c>
      <c r="J1592" s="55"/>
    </row>
    <row r="1593" spans="1:10" ht="15" customHeight="1" x14ac:dyDescent="0.2">
      <c r="A1593" s="50">
        <f t="array" ref="A1593">+INDEX(Partidas!$A:$J,MATCH('Resultados dashboard'!$B1593,Partidas!$C:$C,0),2)</f>
        <v>45921</v>
      </c>
      <c r="B1593" s="56">
        <f>+IF(COUNTIF($B$2:B1592,B1592)=VLOOKUP(B1592,Partidas!$C:$J,8,0),B1592+1,B1592)</f>
        <v>351</v>
      </c>
      <c r="C1593" s="41" t="str">
        <f t="array" ref="C1593">+INDEX(Partidas!$A:$J,MATCH('Resultados dashboard'!$B1593,Partidas!$C:$C,0),3+COUNTIF($B$2:B1593,'Resultados dashboard'!$B1593))</f>
        <v>Gallo</v>
      </c>
      <c r="D1593" s="54">
        <v>5</v>
      </c>
      <c r="E1593" s="53"/>
      <c r="F1593" s="53"/>
      <c r="G1593" s="53"/>
      <c r="H1593" s="38">
        <f t="shared" si="14"/>
        <v>5</v>
      </c>
      <c r="I1593" s="38">
        <f t="shared" si="16"/>
        <v>2</v>
      </c>
      <c r="J1593" s="55"/>
    </row>
    <row r="1594" spans="1:10" ht="15" customHeight="1" x14ac:dyDescent="0.2">
      <c r="A1594" s="50">
        <f t="array" ref="A1594">+INDEX(Partidas!$A:$J,MATCH('Resultados dashboard'!$B1594,Partidas!$C:$C,0),2)</f>
        <v>45921</v>
      </c>
      <c r="B1594" s="56">
        <f>+IF(COUNTIF($B$2:B1593,B1593)=VLOOKUP(B1593,Partidas!$C:$J,8,0),B1593+1,B1593)</f>
        <v>351</v>
      </c>
      <c r="C1594" s="41" t="str">
        <f t="array" ref="C1594">+INDEX(Partidas!$A:$J,MATCH('Resultados dashboard'!$B1594,Partidas!$C:$C,0),3+COUNTIF($B$2:B1594,'Resultados dashboard'!$B1594))</f>
        <v>Ivo</v>
      </c>
      <c r="D1594" s="54">
        <v>6</v>
      </c>
      <c r="E1594" s="54">
        <v>2</v>
      </c>
      <c r="F1594" s="53"/>
      <c r="G1594" s="54">
        <v>1</v>
      </c>
      <c r="H1594" s="38">
        <f t="shared" si="14"/>
        <v>10</v>
      </c>
      <c r="I1594" s="38">
        <f t="shared" si="16"/>
        <v>1</v>
      </c>
      <c r="J1594" s="55"/>
    </row>
    <row r="1595" spans="1:10" ht="15" customHeight="1" x14ac:dyDescent="0.2">
      <c r="A1595" s="50">
        <f t="array" ref="A1595">+INDEX(Partidas!$A:$J,MATCH('Resultados dashboard'!$B1595,Partidas!$C:$C,0),2)</f>
        <v>45921</v>
      </c>
      <c r="B1595" s="56">
        <f>+IF(COUNTIF($B$2:B1594,B1594)=VLOOKUP(B1594,Partidas!$C:$J,8,0),B1594+1,B1594)</f>
        <v>351</v>
      </c>
      <c r="C1595" s="41" t="str">
        <f t="array" ref="C1595">+INDEX(Partidas!$A:$J,MATCH('Resultados dashboard'!$B1595,Partidas!$C:$C,0),3+COUNTIF($B$2:B1595,'Resultados dashboard'!$B1595))</f>
        <v>Max</v>
      </c>
      <c r="D1595" s="54">
        <v>5</v>
      </c>
      <c r="E1595" s="53"/>
      <c r="F1595" s="53"/>
      <c r="G1595" s="53"/>
      <c r="H1595" s="38">
        <f t="shared" si="14"/>
        <v>5</v>
      </c>
      <c r="I1595" s="38">
        <f t="shared" si="16"/>
        <v>2</v>
      </c>
      <c r="J1595" s="55"/>
    </row>
    <row r="1596" spans="1:10" ht="15" customHeight="1" x14ac:dyDescent="0.2">
      <c r="A1596" s="50">
        <f t="array" ref="A1596">+INDEX(Partidas!$A:$J,MATCH('Resultados dashboard'!$B1596,Partidas!$C:$C,0),2)</f>
        <v>45921</v>
      </c>
      <c r="B1596" s="56">
        <f>+IF(COUNTIF($B$2:B1595,B1595)=VLOOKUP(B1595,Partidas!$C:$J,8,0),B1595+1,B1595)</f>
        <v>351</v>
      </c>
      <c r="C1596" s="41" t="str">
        <f t="array" ref="C1596">+INDEX(Partidas!$A:$J,MATCH('Resultados dashboard'!$B1596,Partidas!$C:$C,0),3+COUNTIF($B$2:B1596,'Resultados dashboard'!$B1596))</f>
        <v>Hugo</v>
      </c>
      <c r="D1596" s="54">
        <v>4</v>
      </c>
      <c r="E1596" s="53"/>
      <c r="F1596" s="53"/>
      <c r="G1596" s="53"/>
      <c r="H1596" s="38">
        <f t="shared" si="14"/>
        <v>4</v>
      </c>
      <c r="I1596" s="38">
        <f t="shared" si="16"/>
        <v>4</v>
      </c>
      <c r="J1596" s="55"/>
    </row>
    <row r="1597" spans="1:10" ht="15" customHeight="1" x14ac:dyDescent="0.2">
      <c r="A1597" s="50">
        <f t="array" ref="A1597">+INDEX(Partidas!$A:$J,MATCH('Resultados dashboard'!$B1597,Partidas!$C:$C,0),2)</f>
        <v>45921</v>
      </c>
      <c r="B1597" s="56">
        <f>+IF(COUNTIF($B$2:B1596,B1596)=VLOOKUP(B1596,Partidas!$C:$J,8,0),B1596+1,B1596)</f>
        <v>352</v>
      </c>
      <c r="C1597" s="41" t="str">
        <f t="array" ref="C1597">+INDEX(Partidas!$A:$J,MATCH('Resultados dashboard'!$B1597,Partidas!$C:$C,0),3+COUNTIF($B$2:B1597,'Resultados dashboard'!$B1597))</f>
        <v>Gallo</v>
      </c>
      <c r="D1597" s="54">
        <v>7</v>
      </c>
      <c r="E1597" s="53"/>
      <c r="F1597" s="53"/>
      <c r="G1597" s="53"/>
      <c r="H1597" s="38">
        <f t="shared" si="14"/>
        <v>7</v>
      </c>
      <c r="I1597" s="38">
        <f t="shared" si="16"/>
        <v>2</v>
      </c>
      <c r="J1597" s="55"/>
    </row>
    <row r="1598" spans="1:10" ht="15" customHeight="1" x14ac:dyDescent="0.2">
      <c r="A1598" s="50">
        <f t="array" ref="A1598">+INDEX(Partidas!$A:$J,MATCH('Resultados dashboard'!$B1598,Partidas!$C:$C,0),2)</f>
        <v>45921</v>
      </c>
      <c r="B1598" s="56">
        <f>+IF(COUNTIF($B$2:B1597,B1597)=VLOOKUP(B1597,Partidas!$C:$J,8,0),B1597+1,B1597)</f>
        <v>352</v>
      </c>
      <c r="C1598" s="41" t="str">
        <f t="array" ref="C1598">+INDEX(Partidas!$A:$J,MATCH('Resultados dashboard'!$B1598,Partidas!$C:$C,0),3+COUNTIF($B$2:B1598,'Resultados dashboard'!$B1598))</f>
        <v>Ivo</v>
      </c>
      <c r="D1598" s="54">
        <v>5</v>
      </c>
      <c r="E1598" s="53"/>
      <c r="F1598" s="53"/>
      <c r="G1598" s="53"/>
      <c r="H1598" s="38">
        <f t="shared" si="14"/>
        <v>5</v>
      </c>
      <c r="I1598" s="38">
        <f t="shared" si="16"/>
        <v>3</v>
      </c>
      <c r="J1598" s="55"/>
    </row>
    <row r="1599" spans="1:10" ht="15" customHeight="1" x14ac:dyDescent="0.2">
      <c r="A1599" s="50">
        <f t="array" ref="A1599">+INDEX(Partidas!$A:$J,MATCH('Resultados dashboard'!$B1599,Partidas!$C:$C,0),2)</f>
        <v>45921</v>
      </c>
      <c r="B1599" s="56">
        <f>+IF(COUNTIF($B$2:B1598,B1598)=VLOOKUP(B1598,Partidas!$C:$J,8,0),B1598+1,B1598)</f>
        <v>352</v>
      </c>
      <c r="C1599" s="41" t="str">
        <f t="array" ref="C1599">+INDEX(Partidas!$A:$J,MATCH('Resultados dashboard'!$B1599,Partidas!$C:$C,0),3+COUNTIF($B$2:B1599,'Resultados dashboard'!$B1599))</f>
        <v>Max</v>
      </c>
      <c r="D1599" s="54">
        <v>5</v>
      </c>
      <c r="E1599" s="53"/>
      <c r="F1599" s="53"/>
      <c r="G1599" s="53"/>
      <c r="H1599" s="38">
        <f t="shared" si="14"/>
        <v>5</v>
      </c>
      <c r="I1599" s="38">
        <f t="shared" si="16"/>
        <v>3</v>
      </c>
      <c r="J1599" s="55"/>
    </row>
    <row r="1600" spans="1:10" ht="15" customHeight="1" x14ac:dyDescent="0.2">
      <c r="A1600" s="50">
        <f t="array" ref="A1600">+INDEX(Partidas!$A:$J,MATCH('Resultados dashboard'!$B1600,Partidas!$C:$C,0),2)</f>
        <v>45921</v>
      </c>
      <c r="B1600" s="56">
        <f>+IF(COUNTIF($B$2:B1599,B1599)=VLOOKUP(B1599,Partidas!$C:$J,8,0),B1599+1,B1599)</f>
        <v>352</v>
      </c>
      <c r="C1600" s="41" t="str">
        <f t="array" ref="C1600">+INDEX(Partidas!$A:$J,MATCH('Resultados dashboard'!$B1600,Partidas!$C:$C,0),3+COUNTIF($B$2:B1600,'Resultados dashboard'!$B1600))</f>
        <v>Hugo</v>
      </c>
      <c r="D1600" s="54">
        <v>5</v>
      </c>
      <c r="E1600" s="54">
        <v>1</v>
      </c>
      <c r="F1600" s="54">
        <v>1</v>
      </c>
      <c r="G1600" s="54">
        <v>1</v>
      </c>
      <c r="H1600" s="38">
        <f t="shared" si="14"/>
        <v>10</v>
      </c>
      <c r="I1600" s="38">
        <f t="shared" si="16"/>
        <v>1</v>
      </c>
      <c r="J1600" s="55"/>
    </row>
    <row r="1601" spans="1:10" ht="15" customHeight="1" x14ac:dyDescent="0.2">
      <c r="A1601" s="50">
        <f t="array" ref="A1601">+INDEX(Partidas!$A:$J,MATCH('Resultados dashboard'!$B1601,Partidas!$C:$C,0),2)</f>
        <v>45921</v>
      </c>
      <c r="B1601" s="56">
        <f>+IF(COUNTIF($B$2:B1600,B1600)=VLOOKUP(B1600,Partidas!$C:$J,8,0),B1600+1,B1600)</f>
        <v>353</v>
      </c>
      <c r="C1601" s="41" t="str">
        <f t="array" ref="C1601">+INDEX(Partidas!$A:$J,MATCH('Resultados dashboard'!$B1601,Partidas!$C:$C,0),3+COUNTIF($B$2:B1601,'Resultados dashboard'!$B1601))</f>
        <v>Gallo</v>
      </c>
      <c r="D1601" s="54">
        <v>5</v>
      </c>
      <c r="E1601" s="54">
        <v>1</v>
      </c>
      <c r="F1601" s="53"/>
      <c r="G1601" s="53"/>
      <c r="H1601" s="38">
        <f t="shared" si="14"/>
        <v>6</v>
      </c>
      <c r="I1601" s="38">
        <f t="shared" si="16"/>
        <v>3</v>
      </c>
      <c r="J1601" s="55"/>
    </row>
    <row r="1602" spans="1:10" ht="15" customHeight="1" x14ac:dyDescent="0.2">
      <c r="A1602" s="50">
        <f t="array" ref="A1602">+INDEX(Partidas!$A:$J,MATCH('Resultados dashboard'!$B1602,Partidas!$C:$C,0),2)</f>
        <v>45921</v>
      </c>
      <c r="B1602" s="56">
        <f>+IF(COUNTIF($B$2:B1601,B1601)=VLOOKUP(B1601,Partidas!$C:$J,8,0),B1601+1,B1601)</f>
        <v>353</v>
      </c>
      <c r="C1602" s="41" t="str">
        <f t="array" ref="C1602">+INDEX(Partidas!$A:$J,MATCH('Resultados dashboard'!$B1602,Partidas!$C:$C,0),3+COUNTIF($B$2:B1602,'Resultados dashboard'!$B1602))</f>
        <v>Ivo</v>
      </c>
      <c r="D1602" s="54">
        <v>5</v>
      </c>
      <c r="E1602" s="53"/>
      <c r="F1602" s="53"/>
      <c r="G1602" s="53"/>
      <c r="H1602" s="38">
        <f t="shared" si="14"/>
        <v>5</v>
      </c>
      <c r="I1602" s="38">
        <f t="shared" si="16"/>
        <v>4</v>
      </c>
      <c r="J1602" s="55"/>
    </row>
    <row r="1603" spans="1:10" ht="15" customHeight="1" x14ac:dyDescent="0.2">
      <c r="A1603" s="50">
        <f t="array" ref="A1603">+INDEX(Partidas!$A:$J,MATCH('Resultados dashboard'!$B1603,Partidas!$C:$C,0),2)</f>
        <v>45921</v>
      </c>
      <c r="B1603" s="56">
        <f>+IF(COUNTIF($B$2:B1602,B1602)=VLOOKUP(B1602,Partidas!$C:$J,8,0),B1602+1,B1602)</f>
        <v>353</v>
      </c>
      <c r="C1603" s="41" t="str">
        <f t="array" ref="C1603">+INDEX(Partidas!$A:$J,MATCH('Resultados dashboard'!$B1603,Partidas!$C:$C,0),3+COUNTIF($B$2:B1603,'Resultados dashboard'!$B1603))</f>
        <v>Max</v>
      </c>
      <c r="D1603" s="54">
        <v>9</v>
      </c>
      <c r="E1603" s="53"/>
      <c r="F1603" s="53"/>
      <c r="G1603" s="54">
        <v>1</v>
      </c>
      <c r="H1603" s="38">
        <f t="shared" si="14"/>
        <v>11</v>
      </c>
      <c r="I1603" s="38">
        <f t="shared" si="16"/>
        <v>1</v>
      </c>
      <c r="J1603" s="55"/>
    </row>
    <row r="1604" spans="1:10" ht="15" customHeight="1" x14ac:dyDescent="0.2">
      <c r="A1604" s="50">
        <f t="array" ref="A1604">+INDEX(Partidas!$A:$J,MATCH('Resultados dashboard'!$B1604,Partidas!$C:$C,0),2)</f>
        <v>45921</v>
      </c>
      <c r="B1604" s="56">
        <f>+IF(COUNTIF($B$2:B1603,B1603)=VLOOKUP(B1603,Partidas!$C:$J,8,0),B1603+1,B1603)</f>
        <v>353</v>
      </c>
      <c r="C1604" s="41" t="str">
        <f t="array" ref="C1604">+INDEX(Partidas!$A:$J,MATCH('Resultados dashboard'!$B1604,Partidas!$C:$C,0),3+COUNTIF($B$2:B1604,'Resultados dashboard'!$B1604))</f>
        <v>Hugo</v>
      </c>
      <c r="D1604" s="54">
        <v>6</v>
      </c>
      <c r="E1604" s="54">
        <v>1</v>
      </c>
      <c r="F1604" s="54">
        <v>1</v>
      </c>
      <c r="G1604" s="53"/>
      <c r="H1604" s="38">
        <f t="shared" si="14"/>
        <v>9</v>
      </c>
      <c r="I1604" s="38">
        <f t="shared" si="16"/>
        <v>2</v>
      </c>
      <c r="J1604" s="55"/>
    </row>
    <row r="1605" spans="1:10" ht="15" customHeight="1" x14ac:dyDescent="0.2">
      <c r="A1605" s="50">
        <f t="array" ref="A1605">+INDEX(Partidas!$A:$J,MATCH('Resultados dashboard'!$B1605,Partidas!$C:$C,0),2)</f>
        <v>45921</v>
      </c>
      <c r="B1605" s="56">
        <f>+IF(COUNTIF($B$2:B1604,B1604)=VLOOKUP(B1604,Partidas!$C:$J,8,0),B1604+1,B1604)</f>
        <v>354</v>
      </c>
      <c r="C1605" s="41" t="str">
        <f t="array" ref="C1605">+INDEX(Partidas!$A:$J,MATCH('Resultados dashboard'!$B1605,Partidas!$C:$C,0),3+COUNTIF($B$2:B1605,'Resultados dashboard'!$B1605))</f>
        <v>Gallo</v>
      </c>
      <c r="D1605" s="54">
        <v>6</v>
      </c>
      <c r="E1605" s="53"/>
      <c r="F1605" s="53"/>
      <c r="G1605" s="53"/>
      <c r="H1605" s="38">
        <f t="shared" si="14"/>
        <v>6</v>
      </c>
      <c r="I1605" s="38">
        <f t="shared" si="16"/>
        <v>2</v>
      </c>
      <c r="J1605" s="55"/>
    </row>
    <row r="1606" spans="1:10" ht="15" customHeight="1" x14ac:dyDescent="0.2">
      <c r="A1606" s="50">
        <f t="array" ref="A1606">+INDEX(Partidas!$A:$J,MATCH('Resultados dashboard'!$B1606,Partidas!$C:$C,0),2)</f>
        <v>45921</v>
      </c>
      <c r="B1606" s="56">
        <f>+IF(COUNTIF($B$2:B1605,B1605)=VLOOKUP(B1605,Partidas!$C:$J,8,0),B1605+1,B1605)</f>
        <v>354</v>
      </c>
      <c r="C1606" s="41" t="str">
        <f t="array" ref="C1606">+INDEX(Partidas!$A:$J,MATCH('Resultados dashboard'!$B1606,Partidas!$C:$C,0),3+COUNTIF($B$2:B1606,'Resultados dashboard'!$B1606))</f>
        <v>Ivo</v>
      </c>
      <c r="D1606" s="54">
        <v>4</v>
      </c>
      <c r="E1606" s="53"/>
      <c r="F1606" s="54">
        <v>1</v>
      </c>
      <c r="G1606" s="53"/>
      <c r="H1606" s="38">
        <f t="shared" si="14"/>
        <v>6</v>
      </c>
      <c r="I1606" s="38">
        <f t="shared" si="16"/>
        <v>2</v>
      </c>
      <c r="J1606" s="55"/>
    </row>
    <row r="1607" spans="1:10" ht="15" customHeight="1" x14ac:dyDescent="0.2">
      <c r="A1607" s="50">
        <f t="array" ref="A1607">+INDEX(Partidas!$A:$J,MATCH('Resultados dashboard'!$B1607,Partidas!$C:$C,0),2)</f>
        <v>45921</v>
      </c>
      <c r="B1607" s="56">
        <f>+IF(COUNTIF($B$2:B1606,B1606)=VLOOKUP(B1606,Partidas!$C:$J,8,0),B1606+1,B1606)</f>
        <v>354</v>
      </c>
      <c r="C1607" s="41" t="str">
        <f t="array" ref="C1607">+INDEX(Partidas!$A:$J,MATCH('Resultados dashboard'!$B1607,Partidas!$C:$C,0),3+COUNTIF($B$2:B1607,'Resultados dashboard'!$B1607))</f>
        <v>Max</v>
      </c>
      <c r="D1607" s="54">
        <v>6</v>
      </c>
      <c r="E1607" s="53"/>
      <c r="F1607" s="53"/>
      <c r="G1607" s="53"/>
      <c r="H1607" s="38">
        <f t="shared" si="14"/>
        <v>6</v>
      </c>
      <c r="I1607" s="38">
        <f t="shared" si="16"/>
        <v>2</v>
      </c>
      <c r="J1607" s="55"/>
    </row>
    <row r="1608" spans="1:10" ht="15" customHeight="1" x14ac:dyDescent="0.2">
      <c r="A1608" s="50">
        <f t="array" ref="A1608">+INDEX(Partidas!$A:$J,MATCH('Resultados dashboard'!$B1608,Partidas!$C:$C,0),2)</f>
        <v>45921</v>
      </c>
      <c r="B1608" s="56">
        <f>+IF(COUNTIF($B$2:B1607,B1607)=VLOOKUP(B1607,Partidas!$C:$J,8,0),B1607+1,B1607)</f>
        <v>354</v>
      </c>
      <c r="C1608" s="41" t="str">
        <f t="array" ref="C1608">+INDEX(Partidas!$A:$J,MATCH('Resultados dashboard'!$B1608,Partidas!$C:$C,0),3+COUNTIF($B$2:B1608,'Resultados dashboard'!$B1608))</f>
        <v>Hugo</v>
      </c>
      <c r="D1608" s="54">
        <v>8</v>
      </c>
      <c r="E1608" s="53"/>
      <c r="F1608" s="53"/>
      <c r="G1608" s="54">
        <v>1</v>
      </c>
      <c r="H1608" s="38">
        <f t="shared" si="14"/>
        <v>10</v>
      </c>
      <c r="I1608" s="38">
        <f t="shared" si="16"/>
        <v>1</v>
      </c>
      <c r="J1608" s="55"/>
    </row>
    <row r="1609" spans="1:10" ht="15" customHeight="1" x14ac:dyDescent="0.2">
      <c r="A1609" s="50">
        <f t="array" ref="A1609">+INDEX(Partidas!$A:$J,MATCH('Resultados dashboard'!$B1609,Partidas!$C:$C,0),2)</f>
        <v>45932</v>
      </c>
      <c r="B1609" s="56">
        <f>+IF(COUNTIF($B$2:B1608,B1608)=VLOOKUP(B1608,Partidas!$C:$J,8,0),B1608+1,B1608)</f>
        <v>355</v>
      </c>
      <c r="C1609" s="41" t="str">
        <f t="array" ref="C1609">+INDEX(Partidas!$A:$J,MATCH('Resultados dashboard'!$B1609,Partidas!$C:$C,0),3+COUNTIF($B$2:B1609,'Resultados dashboard'!$B1609))</f>
        <v>Gallo</v>
      </c>
      <c r="D1609" s="54">
        <v>6</v>
      </c>
      <c r="E1609" s="54">
        <v>1</v>
      </c>
      <c r="F1609" s="54">
        <v>1</v>
      </c>
      <c r="G1609" s="53"/>
      <c r="H1609" s="38">
        <f t="shared" si="14"/>
        <v>9</v>
      </c>
      <c r="I1609" s="38">
        <f t="shared" si="16"/>
        <v>2</v>
      </c>
      <c r="J1609" s="55"/>
    </row>
    <row r="1610" spans="1:10" ht="15" customHeight="1" x14ac:dyDescent="0.2">
      <c r="A1610" s="50">
        <f t="array" ref="A1610">+INDEX(Partidas!$A:$J,MATCH('Resultados dashboard'!$B1610,Partidas!$C:$C,0),2)</f>
        <v>45932</v>
      </c>
      <c r="B1610" s="56">
        <f>+IF(COUNTIF($B$2:B1609,B1609)=VLOOKUP(B1609,Partidas!$C:$J,8,0),B1609+1,B1609)</f>
        <v>355</v>
      </c>
      <c r="C1610" s="41" t="str">
        <f t="array" ref="C1610">+INDEX(Partidas!$A:$J,MATCH('Resultados dashboard'!$B1610,Partidas!$C:$C,0),3+COUNTIF($B$2:B1610,'Resultados dashboard'!$B1610))</f>
        <v>Ivo</v>
      </c>
      <c r="D1610" s="54">
        <v>5</v>
      </c>
      <c r="E1610" s="54">
        <v>1</v>
      </c>
      <c r="F1610" s="53"/>
      <c r="G1610" s="54">
        <v>1</v>
      </c>
      <c r="H1610" s="38">
        <f t="shared" si="14"/>
        <v>8</v>
      </c>
      <c r="I1610" s="38">
        <f t="shared" si="16"/>
        <v>4</v>
      </c>
      <c r="J1610" s="55"/>
    </row>
    <row r="1611" spans="1:10" ht="15" customHeight="1" x14ac:dyDescent="0.2">
      <c r="A1611" s="50">
        <f t="array" ref="A1611">+INDEX(Partidas!$A:$J,MATCH('Resultados dashboard'!$B1611,Partidas!$C:$C,0),2)</f>
        <v>45932</v>
      </c>
      <c r="B1611" s="56">
        <f>+IF(COUNTIF($B$2:B1610,B1610)=VLOOKUP(B1610,Partidas!$C:$J,8,0),B1610+1,B1610)</f>
        <v>355</v>
      </c>
      <c r="C1611" s="41" t="str">
        <f t="array" ref="C1611">+INDEX(Partidas!$A:$J,MATCH('Resultados dashboard'!$B1611,Partidas!$C:$C,0),3+COUNTIF($B$2:B1611,'Resultados dashboard'!$B1611))</f>
        <v>Hugo</v>
      </c>
      <c r="D1611" s="54">
        <v>9</v>
      </c>
      <c r="E1611" s="54">
        <v>1</v>
      </c>
      <c r="F1611" s="53"/>
      <c r="G1611" s="53"/>
      <c r="H1611" s="38">
        <f t="shared" si="14"/>
        <v>10</v>
      </c>
      <c r="I1611" s="38">
        <f t="shared" si="16"/>
        <v>1</v>
      </c>
      <c r="J1611" s="55"/>
    </row>
    <row r="1612" spans="1:10" ht="15" customHeight="1" x14ac:dyDescent="0.2">
      <c r="A1612" s="50">
        <f t="array" ref="A1612">+INDEX(Partidas!$A:$J,MATCH('Resultados dashboard'!$B1612,Partidas!$C:$C,0),2)</f>
        <v>45932</v>
      </c>
      <c r="B1612" s="56">
        <f>+IF(COUNTIF($B$2:B1611,B1611)=VLOOKUP(B1611,Partidas!$C:$J,8,0),B1611+1,B1611)</f>
        <v>355</v>
      </c>
      <c r="C1612" s="41" t="str">
        <f t="array" ref="C1612">+INDEX(Partidas!$A:$J,MATCH('Resultados dashboard'!$B1612,Partidas!$C:$C,0),3+COUNTIF($B$2:B1612,'Resultados dashboard'!$B1612))</f>
        <v>Moch</v>
      </c>
      <c r="D1612" s="54">
        <v>9</v>
      </c>
      <c r="E1612" s="53"/>
      <c r="F1612" s="53"/>
      <c r="G1612" s="53"/>
      <c r="H1612" s="38">
        <f t="shared" si="14"/>
        <v>9</v>
      </c>
      <c r="I1612" s="38">
        <f t="shared" si="16"/>
        <v>2</v>
      </c>
      <c r="J1612" s="55"/>
    </row>
    <row r="1613" spans="1:10" ht="15" customHeight="1" x14ac:dyDescent="0.2">
      <c r="A1613" s="50">
        <f t="array" ref="A1613">+INDEX(Partidas!$A:$J,MATCH('Resultados dashboard'!$B1613,Partidas!$C:$C,0),2)</f>
        <v>45932</v>
      </c>
      <c r="B1613" s="56">
        <f>+IF(COUNTIF($B$2:B1612,B1612)=VLOOKUP(B1612,Partidas!$C:$J,8,0),B1612+1,B1612)</f>
        <v>356</v>
      </c>
      <c r="C1613" s="41" t="str">
        <f t="array" ref="C1613">+INDEX(Partidas!$A:$J,MATCH('Resultados dashboard'!$B1613,Partidas!$C:$C,0),3+COUNTIF($B$2:B1613,'Resultados dashboard'!$B1613))</f>
        <v>Gallo</v>
      </c>
      <c r="D1613" s="54">
        <v>6</v>
      </c>
      <c r="E1613" s="53"/>
      <c r="F1613" s="54">
        <v>1</v>
      </c>
      <c r="G1613" s="54">
        <v>1</v>
      </c>
      <c r="H1613" s="38">
        <f t="shared" si="14"/>
        <v>10</v>
      </c>
      <c r="I1613" s="38">
        <f t="shared" si="16"/>
        <v>1</v>
      </c>
      <c r="J1613" s="55"/>
    </row>
    <row r="1614" spans="1:10" ht="15" customHeight="1" x14ac:dyDescent="0.2">
      <c r="A1614" s="50">
        <f t="array" ref="A1614">+INDEX(Partidas!$A:$J,MATCH('Resultados dashboard'!$B1614,Partidas!$C:$C,0),2)</f>
        <v>45932</v>
      </c>
      <c r="B1614" s="56">
        <f>+IF(COUNTIF($B$2:B1613,B1613)=VLOOKUP(B1613,Partidas!$C:$J,8,0),B1613+1,B1613)</f>
        <v>356</v>
      </c>
      <c r="C1614" s="41" t="str">
        <f t="array" ref="C1614">+INDEX(Partidas!$A:$J,MATCH('Resultados dashboard'!$B1614,Partidas!$C:$C,0),3+COUNTIF($B$2:B1614,'Resultados dashboard'!$B1614))</f>
        <v>Ivo</v>
      </c>
      <c r="D1614" s="54">
        <v>5</v>
      </c>
      <c r="E1614" s="54">
        <v>1</v>
      </c>
      <c r="F1614" s="53"/>
      <c r="G1614" s="53"/>
      <c r="H1614" s="38">
        <f t="shared" si="14"/>
        <v>6</v>
      </c>
      <c r="I1614" s="38">
        <f t="shared" si="16"/>
        <v>3</v>
      </c>
      <c r="J1614" s="55"/>
    </row>
    <row r="1615" spans="1:10" ht="15" customHeight="1" x14ac:dyDescent="0.2">
      <c r="A1615" s="50">
        <f t="array" ref="A1615">+INDEX(Partidas!$A:$J,MATCH('Resultados dashboard'!$B1615,Partidas!$C:$C,0),2)</f>
        <v>45932</v>
      </c>
      <c r="B1615" s="56">
        <f>+IF(COUNTIF($B$2:B1614,B1614)=VLOOKUP(B1614,Partidas!$C:$J,8,0),B1614+1,B1614)</f>
        <v>356</v>
      </c>
      <c r="C1615" s="41" t="str">
        <f t="array" ref="C1615">+INDEX(Partidas!$A:$J,MATCH('Resultados dashboard'!$B1615,Partidas!$C:$C,0),3+COUNTIF($B$2:B1615,'Resultados dashboard'!$B1615))</f>
        <v>Hugo</v>
      </c>
      <c r="D1615" s="54">
        <v>5</v>
      </c>
      <c r="E1615" s="53"/>
      <c r="F1615" s="53"/>
      <c r="G1615" s="53"/>
      <c r="H1615" s="38">
        <f t="shared" si="14"/>
        <v>5</v>
      </c>
      <c r="I1615" s="38">
        <f t="shared" si="16"/>
        <v>4</v>
      </c>
      <c r="J1615" s="55"/>
    </row>
    <row r="1616" spans="1:10" ht="15" customHeight="1" x14ac:dyDescent="0.2">
      <c r="A1616" s="50">
        <f t="array" ref="A1616">+INDEX(Partidas!$A:$J,MATCH('Resultados dashboard'!$B1616,Partidas!$C:$C,0),2)</f>
        <v>45932</v>
      </c>
      <c r="B1616" s="56">
        <f>+IF(COUNTIF($B$2:B1615,B1615)=VLOOKUP(B1615,Partidas!$C:$J,8,0),B1615+1,B1615)</f>
        <v>356</v>
      </c>
      <c r="C1616" s="41" t="str">
        <f t="array" ref="C1616">+INDEX(Partidas!$A:$J,MATCH('Resultados dashboard'!$B1616,Partidas!$C:$C,0),3+COUNTIF($B$2:B1616,'Resultados dashboard'!$B1616))</f>
        <v>Moch</v>
      </c>
      <c r="D1616" s="54">
        <v>5</v>
      </c>
      <c r="E1616" s="54">
        <v>2</v>
      </c>
      <c r="F1616" s="53"/>
      <c r="G1616" s="53"/>
      <c r="H1616" s="38">
        <f t="shared" si="14"/>
        <v>7</v>
      </c>
      <c r="I1616" s="38">
        <f t="shared" si="16"/>
        <v>2</v>
      </c>
      <c r="J1616" s="55"/>
    </row>
    <row r="1617" spans="1:10" ht="15" customHeight="1" x14ac:dyDescent="0.2">
      <c r="A1617" s="50">
        <f t="array" ref="A1617">+INDEX(Partidas!$A:$J,MATCH('Resultados dashboard'!$B1617,Partidas!$C:$C,0),2)</f>
        <v>45932</v>
      </c>
      <c r="B1617" s="56">
        <f>+IF(COUNTIF($B$2:B1616,B1616)=VLOOKUP(B1616,Partidas!$C:$J,8,0),B1616+1,B1616)</f>
        <v>357</v>
      </c>
      <c r="C1617" s="41" t="str">
        <f t="array" ref="C1617">+INDEX(Partidas!$A:$J,MATCH('Resultados dashboard'!$B1617,Partidas!$C:$C,0),3+COUNTIF($B$2:B1617,'Resultados dashboard'!$B1617))</f>
        <v>Gallo</v>
      </c>
      <c r="D1617" s="54">
        <v>8</v>
      </c>
      <c r="E1617" s="54">
        <v>2</v>
      </c>
      <c r="F1617" s="53"/>
      <c r="G1617" s="53"/>
      <c r="H1617" s="38">
        <f t="shared" si="14"/>
        <v>10</v>
      </c>
      <c r="I1617" s="38">
        <f t="shared" si="16"/>
        <v>1</v>
      </c>
      <c r="J1617" s="55"/>
    </row>
    <row r="1618" spans="1:10" ht="15" customHeight="1" x14ac:dyDescent="0.2">
      <c r="A1618" s="50">
        <f t="array" ref="A1618">+INDEX(Partidas!$A:$J,MATCH('Resultados dashboard'!$B1618,Partidas!$C:$C,0),2)</f>
        <v>45932</v>
      </c>
      <c r="B1618" s="56">
        <f>+IF(COUNTIF($B$2:B1617,B1617)=VLOOKUP(B1617,Partidas!$C:$J,8,0),B1617+1,B1617)</f>
        <v>357</v>
      </c>
      <c r="C1618" s="41" t="str">
        <f t="array" ref="C1618">+INDEX(Partidas!$A:$J,MATCH('Resultados dashboard'!$B1618,Partidas!$C:$C,0),3+COUNTIF($B$2:B1618,'Resultados dashboard'!$B1618))</f>
        <v>Ivo</v>
      </c>
      <c r="D1618" s="54">
        <v>5</v>
      </c>
      <c r="E1618" s="53"/>
      <c r="F1618" s="54">
        <v>1</v>
      </c>
      <c r="G1618" s="53"/>
      <c r="H1618" s="38">
        <f t="shared" si="14"/>
        <v>7</v>
      </c>
      <c r="I1618" s="38">
        <f t="shared" si="16"/>
        <v>4</v>
      </c>
      <c r="J1618" s="55"/>
    </row>
    <row r="1619" spans="1:10" ht="15" customHeight="1" x14ac:dyDescent="0.2">
      <c r="A1619" s="50">
        <f t="array" ref="A1619">+INDEX(Partidas!$A:$J,MATCH('Resultados dashboard'!$B1619,Partidas!$C:$C,0),2)</f>
        <v>45932</v>
      </c>
      <c r="B1619" s="56">
        <f>+IF(COUNTIF($B$2:B1618,B1618)=VLOOKUP(B1618,Partidas!$C:$J,8,0),B1618+1,B1618)</f>
        <v>357</v>
      </c>
      <c r="C1619" s="41" t="str">
        <f t="array" ref="C1619">+INDEX(Partidas!$A:$J,MATCH('Resultados dashboard'!$B1619,Partidas!$C:$C,0),3+COUNTIF($B$2:B1619,'Resultados dashboard'!$B1619))</f>
        <v>Hugo</v>
      </c>
      <c r="D1619" s="54">
        <v>6</v>
      </c>
      <c r="E1619" s="53"/>
      <c r="F1619" s="53"/>
      <c r="G1619" s="54">
        <v>1</v>
      </c>
      <c r="H1619" s="38">
        <f t="shared" si="14"/>
        <v>8</v>
      </c>
      <c r="I1619" s="38">
        <f t="shared" si="16"/>
        <v>2</v>
      </c>
      <c r="J1619" s="55"/>
    </row>
    <row r="1620" spans="1:10" ht="15" customHeight="1" x14ac:dyDescent="0.2">
      <c r="A1620" s="50">
        <f t="array" ref="A1620">+INDEX(Partidas!$A:$J,MATCH('Resultados dashboard'!$B1620,Partidas!$C:$C,0),2)</f>
        <v>45932</v>
      </c>
      <c r="B1620" s="56">
        <f>+IF(COUNTIF($B$2:B1619,B1619)=VLOOKUP(B1619,Partidas!$C:$J,8,0),B1619+1,B1619)</f>
        <v>357</v>
      </c>
      <c r="C1620" s="41" t="str">
        <f t="array" ref="C1620">+INDEX(Partidas!$A:$J,MATCH('Resultados dashboard'!$B1620,Partidas!$C:$C,0),3+COUNTIF($B$2:B1620,'Resultados dashboard'!$B1620))</f>
        <v>Moch</v>
      </c>
      <c r="D1620" s="54">
        <v>8</v>
      </c>
      <c r="E1620" s="53"/>
      <c r="F1620" s="53"/>
      <c r="G1620" s="53"/>
      <c r="H1620" s="38">
        <f t="shared" si="14"/>
        <v>8</v>
      </c>
      <c r="I1620" s="38">
        <f t="shared" si="16"/>
        <v>2</v>
      </c>
      <c r="J1620" s="55"/>
    </row>
    <row r="1621" spans="1:10" ht="15" customHeight="1" x14ac:dyDescent="0.2">
      <c r="A1621" s="50">
        <f t="array" ref="A1621">+INDEX(Partidas!$A:$J,MATCH('Resultados dashboard'!$B1621,Partidas!$C:$C,0),2)</f>
        <v>45932</v>
      </c>
      <c r="B1621" s="56">
        <f>+IF(COUNTIF($B$2:B1620,B1620)=VLOOKUP(B1620,Partidas!$C:$J,8,0),B1620+1,B1620)</f>
        <v>358</v>
      </c>
      <c r="C1621" s="41" t="str">
        <f t="array" ref="C1621">+INDEX(Partidas!$A:$J,MATCH('Resultados dashboard'!$B1621,Partidas!$C:$C,0),3+COUNTIF($B$2:B1621,'Resultados dashboard'!$B1621))</f>
        <v>Gallo</v>
      </c>
      <c r="D1621" s="54">
        <v>8</v>
      </c>
      <c r="E1621" s="54">
        <v>1</v>
      </c>
      <c r="F1621" s="53"/>
      <c r="G1621" s="53"/>
      <c r="H1621" s="38">
        <f t="shared" si="14"/>
        <v>9</v>
      </c>
      <c r="I1621" s="38">
        <f t="shared" si="16"/>
        <v>2</v>
      </c>
      <c r="J1621" s="55"/>
    </row>
    <row r="1622" spans="1:10" ht="15" customHeight="1" x14ac:dyDescent="0.2">
      <c r="A1622" s="50">
        <f t="array" ref="A1622">+INDEX(Partidas!$A:$J,MATCH('Resultados dashboard'!$B1622,Partidas!$C:$C,0),2)</f>
        <v>45932</v>
      </c>
      <c r="B1622" s="56">
        <f>+IF(COUNTIF($B$2:B1621,B1621)=VLOOKUP(B1621,Partidas!$C:$J,8,0),B1621+1,B1621)</f>
        <v>358</v>
      </c>
      <c r="C1622" s="41" t="str">
        <f t="array" ref="C1622">+INDEX(Partidas!$A:$J,MATCH('Resultados dashboard'!$B1622,Partidas!$C:$C,0),3+COUNTIF($B$2:B1622,'Resultados dashboard'!$B1622))</f>
        <v>Ivo</v>
      </c>
      <c r="D1622" s="54">
        <v>8</v>
      </c>
      <c r="E1622" s="53"/>
      <c r="F1622" s="54">
        <v>1</v>
      </c>
      <c r="G1622" s="53"/>
      <c r="H1622" s="38">
        <f t="shared" si="14"/>
        <v>10</v>
      </c>
      <c r="I1622" s="38">
        <f t="shared" si="16"/>
        <v>1</v>
      </c>
      <c r="J1622" s="55"/>
    </row>
    <row r="1623" spans="1:10" ht="15" customHeight="1" x14ac:dyDescent="0.2">
      <c r="A1623" s="50">
        <f t="array" ref="A1623">+INDEX(Partidas!$A:$J,MATCH('Resultados dashboard'!$B1623,Partidas!$C:$C,0),2)</f>
        <v>45932</v>
      </c>
      <c r="B1623" s="56">
        <f>+IF(COUNTIF($B$2:B1622,B1622)=VLOOKUP(B1622,Partidas!$C:$J,8,0),B1622+1,B1622)</f>
        <v>358</v>
      </c>
      <c r="C1623" s="41" t="str">
        <f t="array" ref="C1623">+INDEX(Partidas!$A:$J,MATCH('Resultados dashboard'!$B1623,Partidas!$C:$C,0),3+COUNTIF($B$2:B1623,'Resultados dashboard'!$B1623))</f>
        <v>Hugo</v>
      </c>
      <c r="D1623" s="54">
        <v>5</v>
      </c>
      <c r="E1623" s="54">
        <v>2</v>
      </c>
      <c r="F1623" s="53"/>
      <c r="G1623" s="54">
        <v>1</v>
      </c>
      <c r="H1623" s="38">
        <f t="shared" si="14"/>
        <v>9</v>
      </c>
      <c r="I1623" s="38">
        <f t="shared" si="16"/>
        <v>2</v>
      </c>
      <c r="J1623" s="55"/>
    </row>
    <row r="1624" spans="1:10" ht="15" customHeight="1" x14ac:dyDescent="0.2">
      <c r="A1624" s="50">
        <f t="array" ref="A1624">+INDEX(Partidas!$A:$J,MATCH('Resultados dashboard'!$B1624,Partidas!$C:$C,0),2)</f>
        <v>45932</v>
      </c>
      <c r="B1624" s="56">
        <f>+IF(COUNTIF($B$2:B1623,B1623)=VLOOKUP(B1623,Partidas!$C:$J,8,0),B1623+1,B1623)</f>
        <v>358</v>
      </c>
      <c r="C1624" s="41" t="str">
        <f t="array" ref="C1624">+INDEX(Partidas!$A:$J,MATCH('Resultados dashboard'!$B1624,Partidas!$C:$C,0),3+COUNTIF($B$2:B1624,'Resultados dashboard'!$B1624))</f>
        <v>Moch</v>
      </c>
      <c r="D1624" s="54">
        <v>7</v>
      </c>
      <c r="E1624" s="53"/>
      <c r="F1624" s="53"/>
      <c r="G1624" s="53"/>
      <c r="H1624" s="38">
        <f t="shared" si="14"/>
        <v>7</v>
      </c>
      <c r="I1624" s="38">
        <f t="shared" si="16"/>
        <v>4</v>
      </c>
      <c r="J1624" s="55"/>
    </row>
    <row r="1625" spans="1:10" ht="15" customHeight="1" x14ac:dyDescent="0.2">
      <c r="A1625" s="50">
        <f t="array" ref="A1625">+INDEX(Partidas!$A:$J,MATCH('Resultados dashboard'!$B1625,Partidas!$C:$C,0),2)</f>
        <v>45942</v>
      </c>
      <c r="B1625" s="56">
        <f>+IF(COUNTIF($B$2:B1624,B1624)=VLOOKUP(B1624,Partidas!$C:$J,8,0),B1624+1,B1624)</f>
        <v>359</v>
      </c>
      <c r="C1625" s="41" t="str">
        <f t="array" ref="C1625">+INDEX(Partidas!$A:$J,MATCH('Resultados dashboard'!$B1625,Partidas!$C:$C,0),3+COUNTIF($B$2:B1625,'Resultados dashboard'!$B1625))</f>
        <v>Gallo</v>
      </c>
      <c r="D1625" s="54">
        <v>5</v>
      </c>
      <c r="E1625" s="54">
        <v>1</v>
      </c>
      <c r="F1625" s="53"/>
      <c r="G1625" s="53"/>
      <c r="H1625" s="38">
        <f t="shared" si="14"/>
        <v>6</v>
      </c>
      <c r="I1625" s="38">
        <f t="shared" si="16"/>
        <v>3</v>
      </c>
      <c r="J1625" s="55"/>
    </row>
    <row r="1626" spans="1:10" ht="15" customHeight="1" x14ac:dyDescent="0.2">
      <c r="A1626" s="50">
        <f t="array" ref="A1626">+INDEX(Partidas!$A:$J,MATCH('Resultados dashboard'!$B1626,Partidas!$C:$C,0),2)</f>
        <v>45942</v>
      </c>
      <c r="B1626" s="56">
        <f>+IF(COUNTIF($B$2:B1625,B1625)=VLOOKUP(B1625,Partidas!$C:$J,8,0),B1625+1,B1625)</f>
        <v>359</v>
      </c>
      <c r="C1626" s="41" t="str">
        <f t="array" ref="C1626">+INDEX(Partidas!$A:$J,MATCH('Resultados dashboard'!$B1626,Partidas!$C:$C,0),3+COUNTIF($B$2:B1626,'Resultados dashboard'!$B1626))</f>
        <v>Ivo</v>
      </c>
      <c r="D1626" s="54">
        <v>6</v>
      </c>
      <c r="E1626" s="54">
        <v>2</v>
      </c>
      <c r="F1626" s="53"/>
      <c r="G1626" s="54">
        <v>1</v>
      </c>
      <c r="H1626" s="38">
        <f t="shared" si="14"/>
        <v>10</v>
      </c>
      <c r="I1626" s="38">
        <f t="shared" si="16"/>
        <v>1</v>
      </c>
      <c r="J1626" s="55"/>
    </row>
    <row r="1627" spans="1:10" ht="15" customHeight="1" x14ac:dyDescent="0.2">
      <c r="A1627" s="50">
        <f t="array" ref="A1627">+INDEX(Partidas!$A:$J,MATCH('Resultados dashboard'!$B1627,Partidas!$C:$C,0),2)</f>
        <v>45942</v>
      </c>
      <c r="B1627" s="56">
        <f>+IF(COUNTIF($B$2:B1626,B1626)=VLOOKUP(B1626,Partidas!$C:$J,8,0),B1626+1,B1626)</f>
        <v>359</v>
      </c>
      <c r="C1627" s="41" t="str">
        <f t="array" ref="C1627">+INDEX(Partidas!$A:$J,MATCH('Resultados dashboard'!$B1627,Partidas!$C:$C,0),3+COUNTIF($B$2:B1627,'Resultados dashboard'!$B1627))</f>
        <v>Hugo</v>
      </c>
      <c r="D1627" s="54">
        <v>6</v>
      </c>
      <c r="E1627" s="53"/>
      <c r="F1627" s="53"/>
      <c r="G1627" s="53"/>
      <c r="H1627" s="38">
        <f t="shared" si="14"/>
        <v>6</v>
      </c>
      <c r="I1627" s="38">
        <f t="shared" si="16"/>
        <v>3</v>
      </c>
      <c r="J1627" s="55"/>
    </row>
    <row r="1628" spans="1:10" ht="15" customHeight="1" x14ac:dyDescent="0.2">
      <c r="A1628" s="50">
        <f t="array" ref="A1628">+INDEX(Partidas!$A:$J,MATCH('Resultados dashboard'!$B1628,Partidas!$C:$C,0),2)</f>
        <v>45942</v>
      </c>
      <c r="B1628" s="56">
        <f>+IF(COUNTIF($B$2:B1627,B1627)=VLOOKUP(B1627,Partidas!$C:$J,8,0),B1627+1,B1627)</f>
        <v>359</v>
      </c>
      <c r="C1628" s="41" t="str">
        <f t="array" ref="C1628">+INDEX(Partidas!$A:$J,MATCH('Resultados dashboard'!$B1628,Partidas!$C:$C,0),3+COUNTIF($B$2:B1628,'Resultados dashboard'!$B1628))</f>
        <v>Moch</v>
      </c>
      <c r="D1628" s="54">
        <v>4</v>
      </c>
      <c r="E1628" s="54">
        <v>1</v>
      </c>
      <c r="F1628" s="54">
        <v>1</v>
      </c>
      <c r="G1628" s="53"/>
      <c r="H1628" s="38">
        <f t="shared" si="14"/>
        <v>7</v>
      </c>
      <c r="I1628" s="38">
        <f t="shared" si="16"/>
        <v>2</v>
      </c>
      <c r="J1628" s="55"/>
    </row>
    <row r="1629" spans="1:10" ht="15" customHeight="1" x14ac:dyDescent="0.2">
      <c r="A1629" s="50">
        <f t="array" ref="A1629">+INDEX(Partidas!$A:$J,MATCH('Resultados dashboard'!$B1629,Partidas!$C:$C,0),2)</f>
        <v>45942</v>
      </c>
      <c r="B1629" s="56">
        <f>+IF(COUNTIF($B$2:B1628,B1628)=VLOOKUP(B1628,Partidas!$C:$J,8,0),B1628+1,B1628)</f>
        <v>360</v>
      </c>
      <c r="C1629" s="41" t="str">
        <f t="array" ref="C1629">+INDEX(Partidas!$A:$J,MATCH('Resultados dashboard'!$B1629,Partidas!$C:$C,0),3+COUNTIF($B$2:B1629,'Resultados dashboard'!$B1629))</f>
        <v>Gallo</v>
      </c>
      <c r="D1629" s="54">
        <v>7</v>
      </c>
      <c r="E1629" s="54">
        <v>1</v>
      </c>
      <c r="F1629" s="54">
        <v>1</v>
      </c>
      <c r="G1629" s="53"/>
      <c r="H1629" s="38">
        <f t="shared" si="14"/>
        <v>10</v>
      </c>
      <c r="I1629" s="38">
        <f t="shared" si="16"/>
        <v>1</v>
      </c>
      <c r="J1629" s="55"/>
    </row>
    <row r="1630" spans="1:10" ht="15" customHeight="1" x14ac:dyDescent="0.2">
      <c r="A1630" s="50">
        <f t="array" ref="A1630">+INDEX(Partidas!$A:$J,MATCH('Resultados dashboard'!$B1630,Partidas!$C:$C,0),2)</f>
        <v>45942</v>
      </c>
      <c r="B1630" s="56">
        <f>+IF(COUNTIF($B$2:B1629,B1629)=VLOOKUP(B1629,Partidas!$C:$J,8,0),B1629+1,B1629)</f>
        <v>360</v>
      </c>
      <c r="C1630" s="41" t="str">
        <f t="array" ref="C1630">+INDEX(Partidas!$A:$J,MATCH('Resultados dashboard'!$B1630,Partidas!$C:$C,0),3+COUNTIF($B$2:B1630,'Resultados dashboard'!$B1630))</f>
        <v>Ivo</v>
      </c>
      <c r="D1630" s="54">
        <v>6</v>
      </c>
      <c r="E1630" s="54">
        <v>1</v>
      </c>
      <c r="F1630" s="53"/>
      <c r="G1630" s="53"/>
      <c r="H1630" s="38">
        <f t="shared" si="14"/>
        <v>7</v>
      </c>
      <c r="I1630" s="38">
        <f t="shared" si="16"/>
        <v>3</v>
      </c>
      <c r="J1630" s="55"/>
    </row>
    <row r="1631" spans="1:10" ht="15" customHeight="1" x14ac:dyDescent="0.2">
      <c r="A1631" s="50">
        <f t="array" ref="A1631">+INDEX(Partidas!$A:$J,MATCH('Resultados dashboard'!$B1631,Partidas!$C:$C,0),2)</f>
        <v>45942</v>
      </c>
      <c r="B1631" s="56">
        <f>+IF(COUNTIF($B$2:B1630,B1630)=VLOOKUP(B1630,Partidas!$C:$J,8,0),B1630+1,B1630)</f>
        <v>360</v>
      </c>
      <c r="C1631" s="41" t="str">
        <f t="array" ref="C1631">+INDEX(Partidas!$A:$J,MATCH('Resultados dashboard'!$B1631,Partidas!$C:$C,0),3+COUNTIF($B$2:B1631,'Resultados dashboard'!$B1631))</f>
        <v>Hugo</v>
      </c>
      <c r="D1631" s="54">
        <v>5</v>
      </c>
      <c r="E1631" s="54">
        <v>2</v>
      </c>
      <c r="F1631" s="53"/>
      <c r="G1631" s="53"/>
      <c r="H1631" s="38">
        <f t="shared" si="14"/>
        <v>7</v>
      </c>
      <c r="I1631" s="38">
        <f t="shared" si="16"/>
        <v>3</v>
      </c>
      <c r="J1631" s="55"/>
    </row>
    <row r="1632" spans="1:10" ht="15" customHeight="1" x14ac:dyDescent="0.2">
      <c r="A1632" s="50">
        <f t="array" ref="A1632">+INDEX(Partidas!$A:$J,MATCH('Resultados dashboard'!$B1632,Partidas!$C:$C,0),2)</f>
        <v>45942</v>
      </c>
      <c r="B1632" s="56">
        <f>+IF(COUNTIF($B$2:B1631,B1631)=VLOOKUP(B1631,Partidas!$C:$J,8,0),B1631+1,B1631)</f>
        <v>360</v>
      </c>
      <c r="C1632" s="41" t="str">
        <f t="array" ref="C1632">+INDEX(Partidas!$A:$J,MATCH('Resultados dashboard'!$B1632,Partidas!$C:$C,0),3+COUNTIF($B$2:B1632,'Resultados dashboard'!$B1632))</f>
        <v>Moch</v>
      </c>
      <c r="D1632" s="54">
        <v>5</v>
      </c>
      <c r="E1632" s="54">
        <v>1</v>
      </c>
      <c r="F1632" s="53"/>
      <c r="G1632" s="54">
        <v>1</v>
      </c>
      <c r="H1632" s="38">
        <f t="shared" si="14"/>
        <v>8</v>
      </c>
      <c r="I1632" s="38">
        <f t="shared" si="16"/>
        <v>2</v>
      </c>
      <c r="J1632" s="55"/>
    </row>
    <row r="1633" spans="1:10" ht="15" customHeight="1" x14ac:dyDescent="0.2">
      <c r="A1633" s="50">
        <f t="array" ref="A1633">+INDEX(Partidas!$A:$J,MATCH('Resultados dashboard'!$B1633,Partidas!$C:$C,0),2)</f>
        <v>45942</v>
      </c>
      <c r="B1633" s="56">
        <f>+IF(COUNTIF($B$2:B1632,B1632)=VLOOKUP(B1632,Partidas!$C:$J,8,0),B1632+1,B1632)</f>
        <v>361</v>
      </c>
      <c r="C1633" s="41" t="str">
        <f t="array" ref="C1633">+INDEX(Partidas!$A:$J,MATCH('Resultados dashboard'!$B1633,Partidas!$C:$C,0),3+COUNTIF($B$2:B1633,'Resultados dashboard'!$B1633))</f>
        <v>Gallo</v>
      </c>
      <c r="D1633" s="54">
        <v>6</v>
      </c>
      <c r="E1633" s="53"/>
      <c r="F1633" s="54">
        <v>1</v>
      </c>
      <c r="G1633" s="53"/>
      <c r="H1633" s="38">
        <f t="shared" si="14"/>
        <v>8</v>
      </c>
      <c r="I1633" s="38">
        <f t="shared" si="16"/>
        <v>2</v>
      </c>
      <c r="J1633" s="55"/>
    </row>
    <row r="1634" spans="1:10" ht="15" customHeight="1" x14ac:dyDescent="0.2">
      <c r="A1634" s="50">
        <f t="array" ref="A1634">+INDEX(Partidas!$A:$J,MATCH('Resultados dashboard'!$B1634,Partidas!$C:$C,0),2)</f>
        <v>45942</v>
      </c>
      <c r="B1634" s="56">
        <f>+IF(COUNTIF($B$2:B1633,B1633)=VLOOKUP(B1633,Partidas!$C:$J,8,0),B1633+1,B1633)</f>
        <v>361</v>
      </c>
      <c r="C1634" s="41" t="str">
        <f t="array" ref="C1634">+INDEX(Partidas!$A:$J,MATCH('Resultados dashboard'!$B1634,Partidas!$C:$C,0),3+COUNTIF($B$2:B1634,'Resultados dashboard'!$B1634))</f>
        <v>Ivo</v>
      </c>
      <c r="D1634" s="54">
        <v>5</v>
      </c>
      <c r="E1634" s="54">
        <v>2</v>
      </c>
      <c r="F1634" s="53"/>
      <c r="G1634" s="53"/>
      <c r="H1634" s="38">
        <f t="shared" si="14"/>
        <v>7</v>
      </c>
      <c r="I1634" s="38">
        <f t="shared" si="16"/>
        <v>3</v>
      </c>
      <c r="J1634" s="55"/>
    </row>
    <row r="1635" spans="1:10" ht="15" customHeight="1" x14ac:dyDescent="0.2">
      <c r="A1635" s="50">
        <f t="array" ref="A1635">+INDEX(Partidas!$A:$J,MATCH('Resultados dashboard'!$B1635,Partidas!$C:$C,0),2)</f>
        <v>45942</v>
      </c>
      <c r="B1635" s="56">
        <f>+IF(COUNTIF($B$2:B1634,B1634)=VLOOKUP(B1634,Partidas!$C:$J,8,0),B1634+1,B1634)</f>
        <v>361</v>
      </c>
      <c r="C1635" s="41" t="str">
        <f t="array" ref="C1635">+INDEX(Partidas!$A:$J,MATCH('Resultados dashboard'!$B1635,Partidas!$C:$C,0),3+COUNTIF($B$2:B1635,'Resultados dashboard'!$B1635))</f>
        <v>Hugo</v>
      </c>
      <c r="D1635" s="54">
        <v>5</v>
      </c>
      <c r="E1635" s="54">
        <v>1</v>
      </c>
      <c r="F1635" s="53"/>
      <c r="G1635" s="53"/>
      <c r="H1635" s="38">
        <f t="shared" si="14"/>
        <v>6</v>
      </c>
      <c r="I1635" s="38">
        <f t="shared" si="16"/>
        <v>4</v>
      </c>
      <c r="J1635" s="55"/>
    </row>
    <row r="1636" spans="1:10" ht="15" customHeight="1" x14ac:dyDescent="0.2">
      <c r="A1636" s="50">
        <f t="array" ref="A1636">+INDEX(Partidas!$A:$J,MATCH('Resultados dashboard'!$B1636,Partidas!$C:$C,0),2)</f>
        <v>45942</v>
      </c>
      <c r="B1636" s="56">
        <f>+IF(COUNTIF($B$2:B1635,B1635)=VLOOKUP(B1635,Partidas!$C:$J,8,0),B1635+1,B1635)</f>
        <v>361</v>
      </c>
      <c r="C1636" s="41" t="str">
        <f t="array" ref="C1636">+INDEX(Partidas!$A:$J,MATCH('Resultados dashboard'!$B1636,Partidas!$C:$C,0),3+COUNTIF($B$2:B1636,'Resultados dashboard'!$B1636))</f>
        <v>Moch</v>
      </c>
      <c r="D1636" s="54">
        <v>8</v>
      </c>
      <c r="E1636" s="53"/>
      <c r="F1636" s="53"/>
      <c r="G1636" s="54">
        <v>1</v>
      </c>
      <c r="H1636" s="38">
        <f t="shared" si="14"/>
        <v>10</v>
      </c>
      <c r="I1636" s="38">
        <f t="shared" si="16"/>
        <v>1</v>
      </c>
      <c r="J1636" s="55"/>
    </row>
    <row r="1637" spans="1:10" ht="15" customHeight="1" x14ac:dyDescent="0.2">
      <c r="A1637" s="50">
        <f t="array" ref="A1637">+INDEX(Partidas!$A:$J,MATCH('Resultados dashboard'!$B1637,Partidas!$C:$C,0),2)</f>
        <v>45947</v>
      </c>
      <c r="B1637" s="56">
        <f>+IF(COUNTIF($B$2:B1636,B1636)=VLOOKUP(B1636,Partidas!$C:$J,8,0),B1636+1,B1636)</f>
        <v>362</v>
      </c>
      <c r="C1637" s="41" t="str">
        <f t="array" ref="C1637">+INDEX(Partidas!$A:$J,MATCH('Resultados dashboard'!$B1637,Partidas!$C:$C,0),3+COUNTIF($B$2:B1637,'Resultados dashboard'!$B1637))</f>
        <v>Gallo</v>
      </c>
      <c r="D1637" s="54">
        <v>7</v>
      </c>
      <c r="E1637" s="54">
        <v>2</v>
      </c>
      <c r="F1637" s="54">
        <v>1</v>
      </c>
      <c r="G1637" s="53"/>
      <c r="H1637" s="38">
        <f t="shared" si="14"/>
        <v>11</v>
      </c>
      <c r="I1637" s="38">
        <f t="shared" si="16"/>
        <v>1</v>
      </c>
      <c r="J1637" s="55"/>
    </row>
    <row r="1638" spans="1:10" ht="15" customHeight="1" x14ac:dyDescent="0.2">
      <c r="A1638" s="50">
        <f t="array" ref="A1638">+INDEX(Partidas!$A:$J,MATCH('Resultados dashboard'!$B1638,Partidas!$C:$C,0),2)</f>
        <v>45947</v>
      </c>
      <c r="B1638" s="56">
        <f>+IF(COUNTIF($B$2:B1637,B1637)=VLOOKUP(B1637,Partidas!$C:$J,8,0),B1637+1,B1637)</f>
        <v>362</v>
      </c>
      <c r="C1638" s="41" t="str">
        <f t="array" ref="C1638">+INDEX(Partidas!$A:$J,MATCH('Resultados dashboard'!$B1638,Partidas!$C:$C,0),3+COUNTIF($B$2:B1638,'Resultados dashboard'!$B1638))</f>
        <v>Ivo</v>
      </c>
      <c r="D1638" s="54">
        <v>2</v>
      </c>
      <c r="E1638" s="54">
        <v>1</v>
      </c>
      <c r="F1638" s="53"/>
      <c r="G1638" s="53"/>
      <c r="H1638" s="38">
        <f t="shared" si="14"/>
        <v>3</v>
      </c>
      <c r="I1638" s="38">
        <f t="shared" si="16"/>
        <v>4</v>
      </c>
      <c r="J1638" s="55"/>
    </row>
    <row r="1639" spans="1:10" ht="15" customHeight="1" x14ac:dyDescent="0.2">
      <c r="A1639" s="50">
        <f t="array" ref="A1639">+INDEX(Partidas!$A:$J,MATCH('Resultados dashboard'!$B1639,Partidas!$C:$C,0),2)</f>
        <v>45947</v>
      </c>
      <c r="B1639" s="56">
        <f>+IF(COUNTIF($B$2:B1638,B1638)=VLOOKUP(B1638,Partidas!$C:$J,8,0),B1638+1,B1638)</f>
        <v>362</v>
      </c>
      <c r="C1639" s="41" t="str">
        <f t="array" ref="C1639">+INDEX(Partidas!$A:$J,MATCH('Resultados dashboard'!$B1639,Partidas!$C:$C,0),3+COUNTIF($B$2:B1639,'Resultados dashboard'!$B1639))</f>
        <v>Moch</v>
      </c>
      <c r="D1639" s="54">
        <v>5</v>
      </c>
      <c r="E1639" s="54">
        <v>1</v>
      </c>
      <c r="F1639" s="53"/>
      <c r="G1639" s="53"/>
      <c r="H1639" s="38">
        <f t="shared" si="14"/>
        <v>6</v>
      </c>
      <c r="I1639" s="38">
        <f t="shared" si="16"/>
        <v>3</v>
      </c>
      <c r="J1639" s="55"/>
    </row>
    <row r="1640" spans="1:10" ht="15" customHeight="1" x14ac:dyDescent="0.2">
      <c r="A1640" s="50">
        <f t="array" ref="A1640">+INDEX(Partidas!$A:$J,MATCH('Resultados dashboard'!$B1640,Partidas!$C:$C,0),2)</f>
        <v>45947</v>
      </c>
      <c r="B1640" s="56">
        <f>+IF(COUNTIF($B$2:B1639,B1639)=VLOOKUP(B1639,Partidas!$C:$J,8,0),B1639+1,B1639)</f>
        <v>362</v>
      </c>
      <c r="C1640" s="41" t="str">
        <f t="array" ref="C1640">+INDEX(Partidas!$A:$J,MATCH('Resultados dashboard'!$B1640,Partidas!$C:$C,0),3+COUNTIF($B$2:B1640,'Resultados dashboard'!$B1640))</f>
        <v>Gaspa</v>
      </c>
      <c r="D1640" s="54">
        <v>6</v>
      </c>
      <c r="E1640" s="53"/>
      <c r="F1640" s="53"/>
      <c r="G1640" s="54">
        <v>1</v>
      </c>
      <c r="H1640" s="38">
        <f t="shared" si="14"/>
        <v>8</v>
      </c>
      <c r="I1640" s="38">
        <f t="shared" si="16"/>
        <v>2</v>
      </c>
      <c r="J1640" s="55"/>
    </row>
    <row r="1641" spans="1:10" ht="15" customHeight="1" x14ac:dyDescent="0.2">
      <c r="A1641" s="50">
        <f t="array" ref="A1641">+INDEX(Partidas!$A:$J,MATCH('Resultados dashboard'!$B1641,Partidas!$C:$C,0),2)</f>
        <v>45947</v>
      </c>
      <c r="B1641" s="56">
        <f>+IF(COUNTIF($B$2:B1640,B1640)=VLOOKUP(B1640,Partidas!$C:$J,8,0),B1640+1,B1640)</f>
        <v>363</v>
      </c>
      <c r="C1641" s="41" t="str">
        <f t="array" ref="C1641">+INDEX(Partidas!$A:$J,MATCH('Resultados dashboard'!$B1641,Partidas!$C:$C,0),3+COUNTIF($B$2:B1641,'Resultados dashboard'!$B1641))</f>
        <v>Gallo</v>
      </c>
      <c r="D1641" s="54">
        <v>3</v>
      </c>
      <c r="E1641" s="54">
        <v>1</v>
      </c>
      <c r="F1641" s="53"/>
      <c r="G1641" s="53"/>
      <c r="H1641" s="38">
        <f t="shared" si="14"/>
        <v>4</v>
      </c>
      <c r="I1641" s="38">
        <f t="shared" si="16"/>
        <v>4</v>
      </c>
      <c r="J1641" s="55"/>
    </row>
    <row r="1642" spans="1:10" ht="15" customHeight="1" x14ac:dyDescent="0.2">
      <c r="A1642" s="50">
        <f t="array" ref="A1642">+INDEX(Partidas!$A:$J,MATCH('Resultados dashboard'!$B1642,Partidas!$C:$C,0),2)</f>
        <v>45947</v>
      </c>
      <c r="B1642" s="56">
        <f>+IF(COUNTIF($B$2:B1641,B1641)=VLOOKUP(B1641,Partidas!$C:$J,8,0),B1641+1,B1641)</f>
        <v>363</v>
      </c>
      <c r="C1642" s="41" t="str">
        <f t="array" ref="C1642">+INDEX(Partidas!$A:$J,MATCH('Resultados dashboard'!$B1642,Partidas!$C:$C,0),3+COUNTIF($B$2:B1642,'Resultados dashboard'!$B1642))</f>
        <v>Ivo</v>
      </c>
      <c r="D1642" s="54">
        <v>3</v>
      </c>
      <c r="E1642" s="53"/>
      <c r="F1642" s="53"/>
      <c r="G1642" s="53"/>
      <c r="H1642" s="38">
        <f t="shared" si="14"/>
        <v>3</v>
      </c>
      <c r="I1642" s="38">
        <f t="shared" si="16"/>
        <v>5</v>
      </c>
      <c r="J1642" s="55"/>
    </row>
    <row r="1643" spans="1:10" ht="15" customHeight="1" x14ac:dyDescent="0.2">
      <c r="A1643" s="50">
        <f t="array" ref="A1643">+INDEX(Partidas!$A:$J,MATCH('Resultados dashboard'!$B1643,Partidas!$C:$C,0),2)</f>
        <v>45947</v>
      </c>
      <c r="B1643" s="56">
        <f>+IF(COUNTIF($B$2:B1642,B1642)=VLOOKUP(B1642,Partidas!$C:$J,8,0),B1642+1,B1642)</f>
        <v>363</v>
      </c>
      <c r="C1643" s="41" t="str">
        <f t="array" ref="C1643">+INDEX(Partidas!$A:$J,MATCH('Resultados dashboard'!$B1643,Partidas!$C:$C,0),3+COUNTIF($B$2:B1643,'Resultados dashboard'!$B1643))</f>
        <v>Moch</v>
      </c>
      <c r="D1643" s="54">
        <v>5</v>
      </c>
      <c r="E1643" s="53"/>
      <c r="F1643" s="53"/>
      <c r="G1643" s="53"/>
      <c r="H1643" s="38">
        <f t="shared" si="14"/>
        <v>5</v>
      </c>
      <c r="I1643" s="38">
        <f t="shared" si="16"/>
        <v>3</v>
      </c>
      <c r="J1643" s="55"/>
    </row>
    <row r="1644" spans="1:10" ht="15" customHeight="1" x14ac:dyDescent="0.2">
      <c r="A1644" s="50">
        <f t="array" ref="A1644">+INDEX(Partidas!$A:$J,MATCH('Resultados dashboard'!$B1644,Partidas!$C:$C,0),2)</f>
        <v>45947</v>
      </c>
      <c r="B1644" s="56">
        <f>+IF(COUNTIF($B$2:B1643,B1643)=VLOOKUP(B1643,Partidas!$C:$J,8,0),B1643+1,B1643)</f>
        <v>363</v>
      </c>
      <c r="C1644" s="41" t="str">
        <f t="array" ref="C1644">+INDEX(Partidas!$A:$J,MATCH('Resultados dashboard'!$B1644,Partidas!$C:$C,0),3+COUNTIF($B$2:B1644,'Resultados dashboard'!$B1644))</f>
        <v>Gaspa</v>
      </c>
      <c r="D1644" s="54">
        <v>5</v>
      </c>
      <c r="E1644" s="54">
        <v>1</v>
      </c>
      <c r="F1644" s="53"/>
      <c r="G1644" s="53"/>
      <c r="H1644" s="38">
        <f t="shared" si="14"/>
        <v>6</v>
      </c>
      <c r="I1644" s="38">
        <f t="shared" si="16"/>
        <v>2</v>
      </c>
      <c r="J1644" s="55"/>
    </row>
    <row r="1645" spans="1:10" ht="15" customHeight="1" x14ac:dyDescent="0.2">
      <c r="A1645" s="50">
        <f t="array" ref="A1645">+INDEX(Partidas!$A:$J,MATCH('Resultados dashboard'!$B1645,Partidas!$C:$C,0),2)</f>
        <v>45947</v>
      </c>
      <c r="B1645" s="56">
        <f>+IF(COUNTIF($B$2:B1644,B1644)=VLOOKUP(B1644,Partidas!$C:$J,8,0),B1644+1,B1644)</f>
        <v>363</v>
      </c>
      <c r="C1645" s="41" t="str">
        <f t="array" ref="C1645">+INDEX(Partidas!$A:$J,MATCH('Resultados dashboard'!$B1645,Partidas!$C:$C,0),3+COUNTIF($B$2:B1645,'Resultados dashboard'!$B1645))</f>
        <v>Hugo</v>
      </c>
      <c r="D1645" s="54">
        <v>8</v>
      </c>
      <c r="E1645" s="53"/>
      <c r="F1645" s="53"/>
      <c r="G1645" s="54">
        <v>1</v>
      </c>
      <c r="H1645" s="38">
        <f t="shared" si="14"/>
        <v>10</v>
      </c>
      <c r="I1645" s="38">
        <f t="shared" si="16"/>
        <v>1</v>
      </c>
      <c r="J1645" s="55"/>
    </row>
    <row r="1646" spans="1:10" ht="15" customHeight="1" x14ac:dyDescent="0.2">
      <c r="A1646" s="50">
        <f t="array" ref="A1646">+INDEX(Partidas!$A:$J,MATCH('Resultados dashboard'!$B1646,Partidas!$C:$C,0),2)</f>
        <v>45947</v>
      </c>
      <c r="B1646" s="56">
        <f>+IF(COUNTIF($B$2:B1645,B1645)=VLOOKUP(B1645,Partidas!$C:$J,8,0),B1645+1,B1645)</f>
        <v>364</v>
      </c>
      <c r="C1646" s="41" t="str">
        <f t="array" ref="C1646">+INDEX(Partidas!$A:$J,MATCH('Resultados dashboard'!$B1646,Partidas!$C:$C,0),3+COUNTIF($B$2:B1646,'Resultados dashboard'!$B1646))</f>
        <v>Gallo</v>
      </c>
      <c r="D1646" s="54">
        <v>8</v>
      </c>
      <c r="E1646" s="53"/>
      <c r="F1646" s="53"/>
      <c r="G1646" s="53"/>
      <c r="H1646" s="38">
        <f t="shared" si="14"/>
        <v>8</v>
      </c>
      <c r="I1646" s="38">
        <f t="shared" si="16"/>
        <v>3</v>
      </c>
      <c r="J1646" s="55"/>
    </row>
    <row r="1647" spans="1:10" ht="15" customHeight="1" x14ac:dyDescent="0.2">
      <c r="A1647" s="50">
        <f t="array" ref="A1647">+INDEX(Partidas!$A:$J,MATCH('Resultados dashboard'!$B1647,Partidas!$C:$C,0),2)</f>
        <v>45947</v>
      </c>
      <c r="B1647" s="56">
        <f>+IF(COUNTIF($B$2:B1646,B1646)=VLOOKUP(B1646,Partidas!$C:$J,8,0),B1646+1,B1646)</f>
        <v>364</v>
      </c>
      <c r="C1647" s="41" t="str">
        <f t="array" ref="C1647">+INDEX(Partidas!$A:$J,MATCH('Resultados dashboard'!$B1647,Partidas!$C:$C,0),3+COUNTIF($B$2:B1647,'Resultados dashboard'!$B1647))</f>
        <v>Ivo</v>
      </c>
      <c r="D1647" s="54">
        <v>7</v>
      </c>
      <c r="E1647" s="54">
        <v>1</v>
      </c>
      <c r="F1647" s="54">
        <v>1</v>
      </c>
      <c r="G1647" s="53"/>
      <c r="H1647" s="38">
        <f t="shared" si="14"/>
        <v>10</v>
      </c>
      <c r="I1647" s="38">
        <f t="shared" si="16"/>
        <v>1</v>
      </c>
      <c r="J1647" s="55"/>
    </row>
    <row r="1648" spans="1:10" ht="15" customHeight="1" x14ac:dyDescent="0.2">
      <c r="A1648" s="50">
        <f t="array" ref="A1648">+INDEX(Partidas!$A:$J,MATCH('Resultados dashboard'!$B1648,Partidas!$C:$C,0),2)</f>
        <v>45947</v>
      </c>
      <c r="B1648" s="56">
        <f>+IF(COUNTIF($B$2:B1647,B1647)=VLOOKUP(B1647,Partidas!$C:$J,8,0),B1647+1,B1647)</f>
        <v>364</v>
      </c>
      <c r="C1648" s="41" t="str">
        <f t="array" ref="C1648">+INDEX(Partidas!$A:$J,MATCH('Resultados dashboard'!$B1648,Partidas!$C:$C,0),3+COUNTIF($B$2:B1648,'Resultados dashboard'!$B1648))</f>
        <v>Moch</v>
      </c>
      <c r="D1648" s="54">
        <v>5</v>
      </c>
      <c r="E1648" s="54">
        <v>1</v>
      </c>
      <c r="F1648" s="53"/>
      <c r="G1648" s="54">
        <v>1</v>
      </c>
      <c r="H1648" s="38">
        <f t="shared" si="14"/>
        <v>8</v>
      </c>
      <c r="I1648" s="38">
        <f t="shared" si="16"/>
        <v>3</v>
      </c>
      <c r="J1648" s="55"/>
    </row>
    <row r="1649" spans="1:10" ht="15" customHeight="1" x14ac:dyDescent="0.2">
      <c r="A1649" s="50">
        <f t="array" ref="A1649">+INDEX(Partidas!$A:$J,MATCH('Resultados dashboard'!$B1649,Partidas!$C:$C,0),2)</f>
        <v>45947</v>
      </c>
      <c r="B1649" s="56">
        <f>+IF(COUNTIF($B$2:B1648,B1648)=VLOOKUP(B1648,Partidas!$C:$J,8,0),B1648+1,B1648)</f>
        <v>364</v>
      </c>
      <c r="C1649" s="41" t="str">
        <f t="array" ref="C1649">+INDEX(Partidas!$A:$J,MATCH('Resultados dashboard'!$B1649,Partidas!$C:$C,0),3+COUNTIF($B$2:B1649,'Resultados dashboard'!$B1649))</f>
        <v>Gaspa</v>
      </c>
      <c r="D1649" s="54">
        <v>8</v>
      </c>
      <c r="E1649" s="53"/>
      <c r="F1649" s="53"/>
      <c r="G1649" s="53"/>
      <c r="H1649" s="38">
        <f t="shared" si="14"/>
        <v>8</v>
      </c>
      <c r="I1649" s="38">
        <f t="shared" si="16"/>
        <v>3</v>
      </c>
      <c r="J1649" s="55"/>
    </row>
    <row r="1650" spans="1:10" ht="15" customHeight="1" x14ac:dyDescent="0.2">
      <c r="A1650" s="50">
        <f t="array" ref="A1650">+INDEX(Partidas!$A:$J,MATCH('Resultados dashboard'!$B1650,Partidas!$C:$C,0),2)</f>
        <v>45947</v>
      </c>
      <c r="B1650" s="56">
        <f>+IF(COUNTIF($B$2:B1649,B1649)=VLOOKUP(B1649,Partidas!$C:$J,8,0),B1649+1,B1649)</f>
        <v>364</v>
      </c>
      <c r="C1650" s="41" t="str">
        <f t="array" ref="C1650">+INDEX(Partidas!$A:$J,MATCH('Resultados dashboard'!$B1650,Partidas!$C:$C,0),3+COUNTIF($B$2:B1650,'Resultados dashboard'!$B1650))</f>
        <v>Hugo</v>
      </c>
      <c r="D1650" s="54">
        <v>6</v>
      </c>
      <c r="E1650" s="54">
        <v>3</v>
      </c>
      <c r="F1650" s="53"/>
      <c r="G1650" s="53"/>
      <c r="H1650" s="38">
        <f t="shared" si="14"/>
        <v>9</v>
      </c>
      <c r="I1650" s="38">
        <f t="shared" si="16"/>
        <v>2</v>
      </c>
      <c r="J1650" s="55"/>
    </row>
    <row r="1651" spans="1:10" ht="15" customHeight="1" x14ac:dyDescent="0.2">
      <c r="A1651" s="50">
        <f t="array" ref="A1651">+INDEX(Partidas!$A:$J,MATCH('Resultados dashboard'!$B1651,Partidas!$C:$C,0),2)</f>
        <v>45954</v>
      </c>
      <c r="B1651" s="56">
        <f>+IF(COUNTIF($B$2:B1650,B1650)=VLOOKUP(B1650,Partidas!$C:$J,8,0),B1650+1,B1650)</f>
        <v>365</v>
      </c>
      <c r="C1651" s="41" t="str">
        <f t="array" ref="C1651">+INDEX(Partidas!$A:$J,MATCH('Resultados dashboard'!$B1651,Partidas!$C:$C,0),3+COUNTIF($B$2:B1651,'Resultados dashboard'!$B1651))</f>
        <v>Gallo</v>
      </c>
      <c r="D1651" s="54">
        <v>7</v>
      </c>
      <c r="E1651" s="53"/>
      <c r="F1651" s="53"/>
      <c r="G1651" s="53"/>
      <c r="H1651" s="38">
        <f t="shared" si="14"/>
        <v>7</v>
      </c>
      <c r="I1651" s="38">
        <f t="shared" si="16"/>
        <v>4</v>
      </c>
      <c r="J1651" s="55"/>
    </row>
    <row r="1652" spans="1:10" ht="15" customHeight="1" x14ac:dyDescent="0.2">
      <c r="A1652" s="50">
        <f t="array" ref="A1652">+INDEX(Partidas!$A:$J,MATCH('Resultados dashboard'!$B1652,Partidas!$C:$C,0),2)</f>
        <v>45954</v>
      </c>
      <c r="B1652" s="56">
        <f>+IF(COUNTIF($B$2:B1651,B1651)=VLOOKUP(B1651,Partidas!$C:$J,8,0),B1651+1,B1651)</f>
        <v>365</v>
      </c>
      <c r="C1652" s="41" t="str">
        <f t="array" ref="C1652">+INDEX(Partidas!$A:$J,MATCH('Resultados dashboard'!$B1652,Partidas!$C:$C,0),3+COUNTIF($B$2:B1652,'Resultados dashboard'!$B1652))</f>
        <v>Gaspa</v>
      </c>
      <c r="D1652" s="54">
        <v>5</v>
      </c>
      <c r="E1652" s="54">
        <v>1</v>
      </c>
      <c r="F1652" s="54">
        <v>1</v>
      </c>
      <c r="G1652" s="53"/>
      <c r="H1652" s="38">
        <f t="shared" si="14"/>
        <v>8</v>
      </c>
      <c r="I1652" s="38">
        <f t="shared" si="16"/>
        <v>2</v>
      </c>
      <c r="J1652" s="55"/>
    </row>
    <row r="1653" spans="1:10" ht="15" customHeight="1" x14ac:dyDescent="0.2">
      <c r="A1653" s="50">
        <f t="array" ref="A1653">+INDEX(Partidas!$A:$J,MATCH('Resultados dashboard'!$B1653,Partidas!$C:$C,0),2)</f>
        <v>45954</v>
      </c>
      <c r="B1653" s="56">
        <f>+IF(COUNTIF($B$2:B1652,B1652)=VLOOKUP(B1652,Partidas!$C:$J,8,0),B1652+1,B1652)</f>
        <v>365</v>
      </c>
      <c r="C1653" s="41" t="str">
        <f t="array" ref="C1653">+INDEX(Partidas!$A:$J,MATCH('Resultados dashboard'!$B1653,Partidas!$C:$C,0),3+COUNTIF($B$2:B1653,'Resultados dashboard'!$B1653))</f>
        <v>Moch</v>
      </c>
      <c r="D1653" s="54">
        <v>5</v>
      </c>
      <c r="E1653" s="54">
        <v>1</v>
      </c>
      <c r="F1653" s="53"/>
      <c r="G1653" s="53"/>
      <c r="H1653" s="38">
        <f t="shared" si="14"/>
        <v>6</v>
      </c>
      <c r="I1653" s="38">
        <f t="shared" si="16"/>
        <v>5</v>
      </c>
      <c r="J1653" s="55"/>
    </row>
    <row r="1654" spans="1:10" ht="15" customHeight="1" x14ac:dyDescent="0.2">
      <c r="A1654" s="50">
        <f t="array" ref="A1654">+INDEX(Partidas!$A:$J,MATCH('Resultados dashboard'!$B1654,Partidas!$C:$C,0),2)</f>
        <v>45954</v>
      </c>
      <c r="B1654" s="56">
        <f>+IF(COUNTIF($B$2:B1653,B1653)=VLOOKUP(B1653,Partidas!$C:$J,8,0),B1653+1,B1653)</f>
        <v>365</v>
      </c>
      <c r="C1654" s="41" t="str">
        <f t="array" ref="C1654">+INDEX(Partidas!$A:$J,MATCH('Resultados dashboard'!$B1654,Partidas!$C:$C,0),3+COUNTIF($B$2:B1654,'Resultados dashboard'!$B1654))</f>
        <v>Hugo</v>
      </c>
      <c r="D1654" s="54">
        <v>8</v>
      </c>
      <c r="E1654" s="53"/>
      <c r="F1654" s="53"/>
      <c r="G1654" s="53"/>
      <c r="H1654" s="38">
        <f t="shared" si="14"/>
        <v>8</v>
      </c>
      <c r="I1654" s="38">
        <f t="shared" si="16"/>
        <v>2</v>
      </c>
      <c r="J1654" s="55"/>
    </row>
    <row r="1655" spans="1:10" ht="15" customHeight="1" x14ac:dyDescent="0.2">
      <c r="A1655" s="50">
        <f t="array" ref="A1655">+INDEX(Partidas!$A:$J,MATCH('Resultados dashboard'!$B1655,Partidas!$C:$C,0),2)</f>
        <v>45954</v>
      </c>
      <c r="B1655" s="56">
        <f>+IF(COUNTIF($B$2:B1654,B1654)=VLOOKUP(B1654,Partidas!$C:$J,8,0),B1654+1,B1654)</f>
        <v>365</v>
      </c>
      <c r="C1655" s="41" t="str">
        <f t="array" ref="C1655">+INDEX(Partidas!$A:$J,MATCH('Resultados dashboard'!$B1655,Partidas!$C:$C,0),3+COUNTIF($B$2:B1655,'Resultados dashboard'!$B1655))</f>
        <v>Max</v>
      </c>
      <c r="D1655" s="54">
        <v>8</v>
      </c>
      <c r="E1655" s="53"/>
      <c r="F1655" s="53"/>
      <c r="G1655" s="54">
        <v>1</v>
      </c>
      <c r="H1655" s="38">
        <f t="shared" si="14"/>
        <v>10</v>
      </c>
      <c r="I1655" s="38">
        <f t="shared" si="16"/>
        <v>1</v>
      </c>
      <c r="J1655" s="55"/>
    </row>
    <row r="1656" spans="1:10" ht="15" customHeight="1" x14ac:dyDescent="0.2">
      <c r="A1656" s="50">
        <f t="array" ref="A1656">+INDEX(Partidas!$A:$J,MATCH('Resultados dashboard'!$B1656,Partidas!$C:$C,0),2)</f>
        <v>45954</v>
      </c>
      <c r="B1656" s="56">
        <f>+IF(COUNTIF($B$2:B1655,B1655)=VLOOKUP(B1655,Partidas!$C:$J,8,0),B1655+1,B1655)</f>
        <v>366</v>
      </c>
      <c r="C1656" s="41" t="str">
        <f t="array" ref="C1656">+INDEX(Partidas!$A:$J,MATCH('Resultados dashboard'!$B1656,Partidas!$C:$C,0),3+COUNTIF($B$2:B1656,'Resultados dashboard'!$B1656))</f>
        <v>Gallo</v>
      </c>
      <c r="D1656" s="54">
        <v>8</v>
      </c>
      <c r="E1656" s="53"/>
      <c r="F1656" s="53"/>
      <c r="G1656" s="54">
        <v>1</v>
      </c>
      <c r="H1656" s="38">
        <f t="shared" si="14"/>
        <v>10</v>
      </c>
      <c r="I1656" s="38">
        <f t="shared" si="16"/>
        <v>1</v>
      </c>
      <c r="J1656" s="55"/>
    </row>
    <row r="1657" spans="1:10" ht="15" customHeight="1" x14ac:dyDescent="0.2">
      <c r="A1657" s="50">
        <f t="array" ref="A1657">+INDEX(Partidas!$A:$J,MATCH('Resultados dashboard'!$B1657,Partidas!$C:$C,0),2)</f>
        <v>45954</v>
      </c>
      <c r="B1657" s="56">
        <f>+IF(COUNTIF($B$2:B1656,B1656)=VLOOKUP(B1656,Partidas!$C:$J,8,0),B1656+1,B1656)</f>
        <v>366</v>
      </c>
      <c r="C1657" s="41" t="str">
        <f t="array" ref="C1657">+INDEX(Partidas!$A:$J,MATCH('Resultados dashboard'!$B1657,Partidas!$C:$C,0),3+COUNTIF($B$2:B1657,'Resultados dashboard'!$B1657))</f>
        <v>Gaspa</v>
      </c>
      <c r="D1657" s="54">
        <v>5</v>
      </c>
      <c r="E1657" s="53"/>
      <c r="F1657" s="53"/>
      <c r="G1657" s="53"/>
      <c r="H1657" s="38">
        <f t="shared" si="14"/>
        <v>5</v>
      </c>
      <c r="I1657" s="38">
        <f t="shared" si="16"/>
        <v>3</v>
      </c>
      <c r="J1657" s="55"/>
    </row>
    <row r="1658" spans="1:10" ht="15" customHeight="1" x14ac:dyDescent="0.2">
      <c r="A1658" s="50">
        <f t="array" ref="A1658">+INDEX(Partidas!$A:$J,MATCH('Resultados dashboard'!$B1658,Partidas!$C:$C,0),2)</f>
        <v>45954</v>
      </c>
      <c r="B1658" s="56">
        <f>+IF(COUNTIF($B$2:B1657,B1657)=VLOOKUP(B1657,Partidas!$C:$J,8,0),B1657+1,B1657)</f>
        <v>366</v>
      </c>
      <c r="C1658" s="41" t="str">
        <f t="array" ref="C1658">+INDEX(Partidas!$A:$J,MATCH('Resultados dashboard'!$B1658,Partidas!$C:$C,0),3+COUNTIF($B$2:B1658,'Resultados dashboard'!$B1658))</f>
        <v>Moch</v>
      </c>
      <c r="D1658" s="54">
        <v>4</v>
      </c>
      <c r="E1658" s="53"/>
      <c r="F1658" s="53"/>
      <c r="G1658" s="53"/>
      <c r="H1658" s="38">
        <f t="shared" si="14"/>
        <v>4</v>
      </c>
      <c r="I1658" s="38">
        <f t="shared" si="16"/>
        <v>4</v>
      </c>
      <c r="J1658" s="55"/>
    </row>
    <row r="1659" spans="1:10" ht="15" customHeight="1" x14ac:dyDescent="0.2">
      <c r="A1659" s="50">
        <f t="array" ref="A1659">+INDEX(Partidas!$A:$J,MATCH('Resultados dashboard'!$B1659,Partidas!$C:$C,0),2)</f>
        <v>45954</v>
      </c>
      <c r="B1659" s="56">
        <f>+IF(COUNTIF($B$2:B1658,B1658)=VLOOKUP(B1658,Partidas!$C:$J,8,0),B1658+1,B1658)</f>
        <v>366</v>
      </c>
      <c r="C1659" s="41" t="str">
        <f t="array" ref="C1659">+INDEX(Partidas!$A:$J,MATCH('Resultados dashboard'!$B1659,Partidas!$C:$C,0),3+COUNTIF($B$2:B1659,'Resultados dashboard'!$B1659))</f>
        <v>Hugo</v>
      </c>
      <c r="D1659" s="54">
        <v>3</v>
      </c>
      <c r="E1659" s="54">
        <v>1</v>
      </c>
      <c r="F1659" s="54">
        <v>1</v>
      </c>
      <c r="G1659" s="53"/>
      <c r="H1659" s="38">
        <f t="shared" si="14"/>
        <v>6</v>
      </c>
      <c r="I1659" s="38">
        <f t="shared" si="16"/>
        <v>2</v>
      </c>
      <c r="J1659" s="55"/>
    </row>
    <row r="1660" spans="1:10" ht="15" customHeight="1" x14ac:dyDescent="0.2">
      <c r="A1660" s="50">
        <f t="array" ref="A1660">+INDEX(Partidas!$A:$J,MATCH('Resultados dashboard'!$B1660,Partidas!$C:$C,0),2)</f>
        <v>45954</v>
      </c>
      <c r="B1660" s="56">
        <f>+IF(COUNTIF($B$2:B1659,B1659)=VLOOKUP(B1659,Partidas!$C:$J,8,0),B1659+1,B1659)</f>
        <v>366</v>
      </c>
      <c r="C1660" s="41" t="str">
        <f t="array" ref="C1660">+INDEX(Partidas!$A:$J,MATCH('Resultados dashboard'!$B1660,Partidas!$C:$C,0),3+COUNTIF($B$2:B1660,'Resultados dashboard'!$B1660))</f>
        <v>Max</v>
      </c>
      <c r="D1660" s="54">
        <v>4</v>
      </c>
      <c r="E1660" s="53"/>
      <c r="F1660" s="53"/>
      <c r="G1660" s="53"/>
      <c r="H1660" s="38">
        <f t="shared" si="14"/>
        <v>4</v>
      </c>
      <c r="I1660" s="38">
        <f t="shared" si="16"/>
        <v>4</v>
      </c>
      <c r="J1660" s="55"/>
    </row>
    <row r="1661" spans="1:10" ht="15" customHeight="1" x14ac:dyDescent="0.2">
      <c r="A1661" s="50">
        <f t="array" ref="A1661">+INDEX(Partidas!$A:$J,MATCH('Resultados dashboard'!$B1661,Partidas!$C:$C,0),2)</f>
        <v>45954</v>
      </c>
      <c r="B1661" s="56">
        <f>+IF(COUNTIF($B$2:B1660,B1660)=VLOOKUP(B1660,Partidas!$C:$J,8,0),B1660+1,B1660)</f>
        <v>367</v>
      </c>
      <c r="C1661" s="41" t="str">
        <f t="array" ref="C1661">+INDEX(Partidas!$A:$J,MATCH('Resultados dashboard'!$B1661,Partidas!$C:$C,0),3+COUNTIF($B$2:B1661,'Resultados dashboard'!$B1661))</f>
        <v>Gallo</v>
      </c>
      <c r="D1661" s="54">
        <v>5</v>
      </c>
      <c r="E1661" s="54">
        <v>1</v>
      </c>
      <c r="F1661" s="53"/>
      <c r="G1661" s="53"/>
      <c r="H1661" s="38">
        <f t="shared" si="14"/>
        <v>6</v>
      </c>
      <c r="I1661" s="38">
        <f t="shared" si="16"/>
        <v>5</v>
      </c>
      <c r="J1661" s="55"/>
    </row>
    <row r="1662" spans="1:10" ht="15" customHeight="1" x14ac:dyDescent="0.2">
      <c r="A1662" s="50">
        <f t="array" ref="A1662">+INDEX(Partidas!$A:$J,MATCH('Resultados dashboard'!$B1662,Partidas!$C:$C,0),2)</f>
        <v>45954</v>
      </c>
      <c r="B1662" s="56">
        <f>+IF(COUNTIF($B$2:B1661,B1661)=VLOOKUP(B1661,Partidas!$C:$J,8,0),B1661+1,B1661)</f>
        <v>367</v>
      </c>
      <c r="C1662" s="41" t="str">
        <f t="array" ref="C1662">+INDEX(Partidas!$A:$J,MATCH('Resultados dashboard'!$B1662,Partidas!$C:$C,0),3+COUNTIF($B$2:B1662,'Resultados dashboard'!$B1662))</f>
        <v>Gaspa</v>
      </c>
      <c r="D1662" s="54">
        <v>7</v>
      </c>
      <c r="E1662" s="54">
        <v>1</v>
      </c>
      <c r="F1662" s="54">
        <v>1</v>
      </c>
      <c r="G1662" s="53"/>
      <c r="H1662" s="38">
        <f t="shared" si="14"/>
        <v>10</v>
      </c>
      <c r="I1662" s="38">
        <f t="shared" si="16"/>
        <v>1</v>
      </c>
      <c r="J1662" s="55"/>
    </row>
    <row r="1663" spans="1:10" ht="15" customHeight="1" x14ac:dyDescent="0.2">
      <c r="A1663" s="50">
        <f t="array" ref="A1663">+INDEX(Partidas!$A:$J,MATCH('Resultados dashboard'!$B1663,Partidas!$C:$C,0),2)</f>
        <v>45954</v>
      </c>
      <c r="B1663" s="56">
        <f>+IF(COUNTIF($B$2:B1662,B1662)=VLOOKUP(B1662,Partidas!$C:$J,8,0),B1662+1,B1662)</f>
        <v>367</v>
      </c>
      <c r="C1663" s="41" t="str">
        <f t="array" ref="C1663">+INDEX(Partidas!$A:$J,MATCH('Resultados dashboard'!$B1663,Partidas!$C:$C,0),3+COUNTIF($B$2:B1663,'Resultados dashboard'!$B1663))</f>
        <v>Moch</v>
      </c>
      <c r="D1663" s="54">
        <v>7</v>
      </c>
      <c r="E1663" s="53"/>
      <c r="F1663" s="53"/>
      <c r="G1663" s="54">
        <v>1</v>
      </c>
      <c r="H1663" s="38">
        <f t="shared" si="14"/>
        <v>9</v>
      </c>
      <c r="I1663" s="38">
        <f t="shared" si="16"/>
        <v>2</v>
      </c>
      <c r="J1663" s="55"/>
    </row>
    <row r="1664" spans="1:10" ht="15" customHeight="1" x14ac:dyDescent="0.2">
      <c r="A1664" s="50">
        <f t="array" ref="A1664">+INDEX(Partidas!$A:$J,MATCH('Resultados dashboard'!$B1664,Partidas!$C:$C,0),2)</f>
        <v>45954</v>
      </c>
      <c r="B1664" s="56">
        <f>+IF(COUNTIF($B$2:B1663,B1663)=VLOOKUP(B1663,Partidas!$C:$J,8,0),B1663+1,B1663)</f>
        <v>367</v>
      </c>
      <c r="C1664" s="41" t="str">
        <f t="array" ref="C1664">+INDEX(Partidas!$A:$J,MATCH('Resultados dashboard'!$B1664,Partidas!$C:$C,0),3+COUNTIF($B$2:B1664,'Resultados dashboard'!$B1664))</f>
        <v>Hugo</v>
      </c>
      <c r="D1664" s="54">
        <v>8</v>
      </c>
      <c r="E1664" s="53"/>
      <c r="F1664" s="53"/>
      <c r="G1664" s="53"/>
      <c r="H1664" s="38">
        <f t="shared" si="14"/>
        <v>8</v>
      </c>
      <c r="I1664" s="38">
        <f t="shared" si="16"/>
        <v>3</v>
      </c>
      <c r="J1664" s="55"/>
    </row>
    <row r="1665" spans="1:10" ht="15" customHeight="1" x14ac:dyDescent="0.2">
      <c r="A1665" s="50">
        <f t="array" ref="A1665">+INDEX(Partidas!$A:$J,MATCH('Resultados dashboard'!$B1665,Partidas!$C:$C,0),2)</f>
        <v>45954</v>
      </c>
      <c r="B1665" s="56">
        <f>+IF(COUNTIF($B$2:B1664,B1664)=VLOOKUP(B1664,Partidas!$C:$J,8,0),B1664+1,B1664)</f>
        <v>367</v>
      </c>
      <c r="C1665" s="41" t="str">
        <f t="array" ref="C1665">+INDEX(Partidas!$A:$J,MATCH('Resultados dashboard'!$B1665,Partidas!$C:$C,0),3+COUNTIF($B$2:B1665,'Resultados dashboard'!$B1665))</f>
        <v>Max</v>
      </c>
      <c r="D1665" s="54">
        <v>8</v>
      </c>
      <c r="E1665" s="53"/>
      <c r="F1665" s="53"/>
      <c r="G1665" s="53"/>
      <c r="H1665" s="38">
        <f t="shared" si="14"/>
        <v>8</v>
      </c>
      <c r="I1665" s="38">
        <f t="shared" si="16"/>
        <v>3</v>
      </c>
      <c r="J1665" s="55"/>
    </row>
    <row r="1666" spans="1:10" ht="15" customHeight="1" x14ac:dyDescent="0.2">
      <c r="A1666" s="50">
        <f t="array" ref="A1666">+INDEX(Partidas!$A:$J,MATCH('Resultados dashboard'!$B1666,Partidas!$C:$C,0),2)</f>
        <v>45954</v>
      </c>
      <c r="B1666" s="56">
        <f>+IF(COUNTIF($B$2:B1665,B1665)=VLOOKUP(B1665,Partidas!$C:$J,8,0),B1665+1,B1665)</f>
        <v>368</v>
      </c>
      <c r="C1666" s="41" t="str">
        <f t="array" ref="C1666">+INDEX(Partidas!$A:$J,MATCH('Resultados dashboard'!$B1666,Partidas!$C:$C,0),3+COUNTIF($B$2:B1666,'Resultados dashboard'!$B1666))</f>
        <v>Gallo</v>
      </c>
      <c r="D1666" s="54">
        <v>6</v>
      </c>
      <c r="E1666" s="53"/>
      <c r="F1666" s="53"/>
      <c r="G1666" s="53"/>
      <c r="H1666" s="38">
        <f t="shared" si="14"/>
        <v>6</v>
      </c>
      <c r="I1666" s="38">
        <f t="shared" si="16"/>
        <v>2</v>
      </c>
      <c r="J1666" s="55"/>
    </row>
    <row r="1667" spans="1:10" ht="15" customHeight="1" x14ac:dyDescent="0.2">
      <c r="A1667" s="50">
        <f t="array" ref="A1667">+INDEX(Partidas!$A:$J,MATCH('Resultados dashboard'!$B1667,Partidas!$C:$C,0),2)</f>
        <v>45954</v>
      </c>
      <c r="B1667" s="56">
        <f>+IF(COUNTIF($B$2:B1666,B1666)=VLOOKUP(B1666,Partidas!$C:$J,8,0),B1666+1,B1666)</f>
        <v>368</v>
      </c>
      <c r="C1667" s="41" t="str">
        <f t="array" ref="C1667">+INDEX(Partidas!$A:$J,MATCH('Resultados dashboard'!$B1667,Partidas!$C:$C,0),3+COUNTIF($B$2:B1667,'Resultados dashboard'!$B1667))</f>
        <v>Gaspa</v>
      </c>
      <c r="D1667" s="54">
        <v>6</v>
      </c>
      <c r="E1667" s="53"/>
      <c r="F1667" s="53"/>
      <c r="G1667" s="53"/>
      <c r="H1667" s="38">
        <f t="shared" si="14"/>
        <v>6</v>
      </c>
      <c r="I1667" s="38">
        <f t="shared" si="16"/>
        <v>2</v>
      </c>
      <c r="J1667" s="55"/>
    </row>
    <row r="1668" spans="1:10" ht="15" customHeight="1" x14ac:dyDescent="0.2">
      <c r="A1668" s="50">
        <f t="array" ref="A1668">+INDEX(Partidas!$A:$J,MATCH('Resultados dashboard'!$B1668,Partidas!$C:$C,0),2)</f>
        <v>45954</v>
      </c>
      <c r="B1668" s="56">
        <f>+IF(COUNTIF($B$2:B1667,B1667)=VLOOKUP(B1667,Partidas!$C:$J,8,0),B1667+1,B1667)</f>
        <v>368</v>
      </c>
      <c r="C1668" s="41" t="str">
        <f t="array" ref="C1668">+INDEX(Partidas!$A:$J,MATCH('Resultados dashboard'!$B1668,Partidas!$C:$C,0),3+COUNTIF($B$2:B1668,'Resultados dashboard'!$B1668))</f>
        <v>Moch</v>
      </c>
      <c r="D1668" s="54">
        <v>7</v>
      </c>
      <c r="E1668" s="53"/>
      <c r="F1668" s="54">
        <v>1</v>
      </c>
      <c r="G1668" s="54">
        <v>1</v>
      </c>
      <c r="H1668" s="38">
        <f t="shared" si="14"/>
        <v>11</v>
      </c>
      <c r="I1668" s="38">
        <f t="shared" si="16"/>
        <v>1</v>
      </c>
      <c r="J1668" s="55"/>
    </row>
    <row r="1669" spans="1:10" ht="15" customHeight="1" x14ac:dyDescent="0.2">
      <c r="A1669" s="50">
        <f t="array" ref="A1669">+INDEX(Partidas!$A:$J,MATCH('Resultados dashboard'!$B1669,Partidas!$C:$C,0),2)</f>
        <v>45954</v>
      </c>
      <c r="B1669" s="56">
        <f>+IF(COUNTIF($B$2:B1668,B1668)=VLOOKUP(B1668,Partidas!$C:$J,8,0),B1668+1,B1668)</f>
        <v>368</v>
      </c>
      <c r="C1669" s="41" t="str">
        <f t="array" ref="C1669">+INDEX(Partidas!$A:$J,MATCH('Resultados dashboard'!$B1669,Partidas!$C:$C,0),3+COUNTIF($B$2:B1669,'Resultados dashboard'!$B1669))</f>
        <v>Hugo</v>
      </c>
      <c r="D1669" s="54">
        <v>3</v>
      </c>
      <c r="E1669" s="54">
        <v>2</v>
      </c>
      <c r="F1669" s="53"/>
      <c r="G1669" s="53"/>
      <c r="H1669" s="38">
        <f t="shared" si="14"/>
        <v>5</v>
      </c>
      <c r="I1669" s="38">
        <f t="shared" si="16"/>
        <v>5</v>
      </c>
      <c r="J1669" s="55"/>
    </row>
    <row r="1670" spans="1:10" ht="15" customHeight="1" x14ac:dyDescent="0.2">
      <c r="A1670" s="50">
        <f t="array" ref="A1670">+INDEX(Partidas!$A:$J,MATCH('Resultados dashboard'!$B1670,Partidas!$C:$C,0),2)</f>
        <v>45954</v>
      </c>
      <c r="B1670" s="56">
        <f>+IF(COUNTIF($B$2:B1669,B1669)=VLOOKUP(B1669,Partidas!$C:$J,8,0),B1669+1,B1669)</f>
        <v>368</v>
      </c>
      <c r="C1670" s="41" t="str">
        <f t="array" ref="C1670">+INDEX(Partidas!$A:$J,MATCH('Resultados dashboard'!$B1670,Partidas!$C:$C,0),3+COUNTIF($B$2:B1670,'Resultados dashboard'!$B1670))</f>
        <v>Max</v>
      </c>
      <c r="D1670" s="54">
        <v>6</v>
      </c>
      <c r="E1670" s="53"/>
      <c r="F1670" s="53"/>
      <c r="G1670" s="53"/>
      <c r="H1670" s="38">
        <f t="shared" si="14"/>
        <v>6</v>
      </c>
      <c r="I1670" s="38">
        <f t="shared" si="16"/>
        <v>2</v>
      </c>
      <c r="J1670" s="55"/>
    </row>
    <row r="1671" spans="1:10" ht="15" customHeight="1" x14ac:dyDescent="0.2">
      <c r="A1671" s="50">
        <f t="array" ref="A1671">+INDEX(Partidas!$A:$J,MATCH('Resultados dashboard'!$B1671,Partidas!$C:$C,0),2)</f>
        <v>45989</v>
      </c>
      <c r="B1671" s="56">
        <f>+IF(COUNTIF($B$2:B1670,B1670)=VLOOKUP(B1670,Partidas!$C:$J,8,0),B1670+1,B1670)</f>
        <v>369</v>
      </c>
      <c r="C1671" s="41" t="str">
        <f t="array" ref="C1671">+INDEX(Partidas!$A:$J,MATCH('Resultados dashboard'!$B1671,Partidas!$C:$C,0),3+COUNTIF($B$2:B1671,'Resultados dashboard'!$B1671))</f>
        <v>Ivo</v>
      </c>
      <c r="D1671" s="54">
        <v>6</v>
      </c>
      <c r="E1671" s="54">
        <v>1</v>
      </c>
      <c r="F1671" s="53"/>
      <c r="G1671" s="53"/>
      <c r="H1671" s="38">
        <f t="shared" si="14"/>
        <v>7</v>
      </c>
      <c r="I1671" s="38">
        <f t="shared" si="16"/>
        <v>3</v>
      </c>
      <c r="J1671" s="55"/>
    </row>
    <row r="1672" spans="1:10" ht="15" customHeight="1" x14ac:dyDescent="0.2">
      <c r="A1672" s="50">
        <f t="array" ref="A1672">+INDEX(Partidas!$A:$J,MATCH('Resultados dashboard'!$B1672,Partidas!$C:$C,0),2)</f>
        <v>45989</v>
      </c>
      <c r="B1672" s="56">
        <f>+IF(COUNTIF($B$2:B1671,B1671)=VLOOKUP(B1671,Partidas!$C:$J,8,0),B1671+1,B1671)</f>
        <v>369</v>
      </c>
      <c r="C1672" s="41" t="str">
        <f t="array" ref="C1672">+INDEX(Partidas!$A:$J,MATCH('Resultados dashboard'!$B1672,Partidas!$C:$C,0),3+COUNTIF($B$2:B1672,'Resultados dashboard'!$B1672))</f>
        <v>Gaspa</v>
      </c>
      <c r="D1672" s="54">
        <v>6</v>
      </c>
      <c r="E1672" s="54">
        <v>1</v>
      </c>
      <c r="F1672" s="53"/>
      <c r="G1672" s="53"/>
      <c r="H1672" s="38">
        <f t="shared" si="14"/>
        <v>7</v>
      </c>
      <c r="I1672" s="38">
        <f t="shared" si="16"/>
        <v>3</v>
      </c>
      <c r="J1672" s="55"/>
    </row>
    <row r="1673" spans="1:10" ht="15" customHeight="1" x14ac:dyDescent="0.2">
      <c r="A1673" s="50">
        <f t="array" ref="A1673">+INDEX(Partidas!$A:$J,MATCH('Resultados dashboard'!$B1673,Partidas!$C:$C,0),2)</f>
        <v>45989</v>
      </c>
      <c r="B1673" s="56">
        <f>+IF(COUNTIF($B$2:B1672,B1672)=VLOOKUP(B1672,Partidas!$C:$J,8,0),B1672+1,B1672)</f>
        <v>369</v>
      </c>
      <c r="C1673" s="41" t="str">
        <f t="array" ref="C1673">+INDEX(Partidas!$A:$J,MATCH('Resultados dashboard'!$B1673,Partidas!$C:$C,0),3+COUNTIF($B$2:B1673,'Resultados dashboard'!$B1673))</f>
        <v>Moch</v>
      </c>
      <c r="D1673" s="54">
        <v>7</v>
      </c>
      <c r="E1673" s="54">
        <v>1</v>
      </c>
      <c r="F1673" s="53"/>
      <c r="G1673" s="54">
        <v>1</v>
      </c>
      <c r="H1673" s="38">
        <f t="shared" si="14"/>
        <v>10</v>
      </c>
      <c r="I1673" s="38">
        <f t="shared" si="16"/>
        <v>1</v>
      </c>
      <c r="J1673" s="55"/>
    </row>
    <row r="1674" spans="1:10" ht="15" customHeight="1" x14ac:dyDescent="0.2">
      <c r="A1674" s="50">
        <f t="array" ref="A1674">+INDEX(Partidas!$A:$J,MATCH('Resultados dashboard'!$B1674,Partidas!$C:$C,0),2)</f>
        <v>45989</v>
      </c>
      <c r="B1674" s="56">
        <f>+IF(COUNTIF($B$2:B1673,B1673)=VLOOKUP(B1673,Partidas!$C:$J,8,0),B1673+1,B1673)</f>
        <v>369</v>
      </c>
      <c r="C1674" s="41" t="str">
        <f t="array" ref="C1674">+INDEX(Partidas!$A:$J,MATCH('Resultados dashboard'!$B1674,Partidas!$C:$C,0),3+COUNTIF($B$2:B1674,'Resultados dashboard'!$B1674))</f>
        <v>Hugo</v>
      </c>
      <c r="D1674" s="54">
        <v>6</v>
      </c>
      <c r="E1674" s="54">
        <v>1</v>
      </c>
      <c r="F1674" s="54">
        <v>1</v>
      </c>
      <c r="G1674" s="53"/>
      <c r="H1674" s="38">
        <f t="shared" si="14"/>
        <v>9</v>
      </c>
      <c r="I1674" s="38">
        <f t="shared" si="16"/>
        <v>2</v>
      </c>
      <c r="J1674" s="55"/>
    </row>
    <row r="1675" spans="1:10" ht="15" customHeight="1" x14ac:dyDescent="0.2">
      <c r="A1675" s="50">
        <f t="array" ref="A1675">+INDEX(Partidas!$A:$J,MATCH('Resultados dashboard'!$B1675,Partidas!$C:$C,0),2)</f>
        <v>45989</v>
      </c>
      <c r="B1675" s="56">
        <f>+IF(COUNTIF($B$2:B1674,B1674)=VLOOKUP(B1674,Partidas!$C:$J,8,0),B1674+1,B1674)</f>
        <v>369</v>
      </c>
      <c r="C1675" s="41" t="str">
        <f t="array" ref="C1675">+INDEX(Partidas!$A:$J,MATCH('Resultados dashboard'!$B1675,Partidas!$C:$C,0),3+COUNTIF($B$2:B1675,'Resultados dashboard'!$B1675))</f>
        <v>Abegol</v>
      </c>
      <c r="D1675" s="54">
        <v>4</v>
      </c>
      <c r="E1675" s="54">
        <v>1</v>
      </c>
      <c r="F1675" s="53"/>
      <c r="G1675" s="53"/>
      <c r="H1675" s="38">
        <f t="shared" si="14"/>
        <v>5</v>
      </c>
      <c r="I1675" s="38">
        <f t="shared" si="16"/>
        <v>5</v>
      </c>
      <c r="J1675" s="55"/>
    </row>
    <row r="1676" spans="1:10" ht="15" customHeight="1" x14ac:dyDescent="0.2">
      <c r="A1676" s="50">
        <f t="array" ref="A1676">+INDEX(Partidas!$A:$J,MATCH('Resultados dashboard'!$B1676,Partidas!$C:$C,0),2)</f>
        <v>45990</v>
      </c>
      <c r="B1676" s="56">
        <f>+IF(COUNTIF($B$2:B1675,B1675)=VLOOKUP(B1675,Partidas!$C:$J,8,0),B1675+1,B1675)</f>
        <v>370</v>
      </c>
      <c r="C1676" s="41" t="str">
        <f t="array" ref="C1676">+INDEX(Partidas!$A:$J,MATCH('Resultados dashboard'!$B1676,Partidas!$C:$C,0),3+COUNTIF($B$2:B1676,'Resultados dashboard'!$B1676))</f>
        <v>Ivo</v>
      </c>
      <c r="D1676" s="54">
        <v>6</v>
      </c>
      <c r="E1676" s="53"/>
      <c r="F1676" s="54">
        <v>1</v>
      </c>
      <c r="G1676" s="53"/>
      <c r="H1676" s="38">
        <f t="shared" si="14"/>
        <v>8</v>
      </c>
      <c r="I1676" s="38">
        <f t="shared" si="16"/>
        <v>2</v>
      </c>
      <c r="J1676" s="55"/>
    </row>
    <row r="1677" spans="1:10" ht="15" customHeight="1" x14ac:dyDescent="0.2">
      <c r="A1677" s="50">
        <f t="array" ref="A1677">+INDEX(Partidas!$A:$J,MATCH('Resultados dashboard'!$B1677,Partidas!$C:$C,0),2)</f>
        <v>45990</v>
      </c>
      <c r="B1677" s="56">
        <f>+IF(COUNTIF($B$2:B1676,B1676)=VLOOKUP(B1676,Partidas!$C:$J,8,0),B1676+1,B1676)</f>
        <v>370</v>
      </c>
      <c r="C1677" s="41" t="str">
        <f t="array" ref="C1677">+INDEX(Partidas!$A:$J,MATCH('Resultados dashboard'!$B1677,Partidas!$C:$C,0),3+COUNTIF($B$2:B1677,'Resultados dashboard'!$B1677))</f>
        <v>Gaspa</v>
      </c>
      <c r="D1677" s="54">
        <v>5</v>
      </c>
      <c r="E1677" s="54">
        <v>1</v>
      </c>
      <c r="F1677" s="53"/>
      <c r="G1677" s="53"/>
      <c r="H1677" s="38">
        <f t="shared" si="14"/>
        <v>6</v>
      </c>
      <c r="I1677" s="38">
        <f t="shared" si="16"/>
        <v>4</v>
      </c>
      <c r="J1677" s="55"/>
    </row>
    <row r="1678" spans="1:10" ht="15" customHeight="1" x14ac:dyDescent="0.2">
      <c r="A1678" s="50">
        <f t="array" ref="A1678">+INDEX(Partidas!$A:$J,MATCH('Resultados dashboard'!$B1678,Partidas!$C:$C,0),2)</f>
        <v>45990</v>
      </c>
      <c r="B1678" s="56">
        <f>+IF(COUNTIF($B$2:B1677,B1677)=VLOOKUP(B1677,Partidas!$C:$J,8,0),B1677+1,B1677)</f>
        <v>370</v>
      </c>
      <c r="C1678" s="41" t="str">
        <f t="array" ref="C1678">+INDEX(Partidas!$A:$J,MATCH('Resultados dashboard'!$B1678,Partidas!$C:$C,0),3+COUNTIF($B$2:B1678,'Resultados dashboard'!$B1678))</f>
        <v>Hugo</v>
      </c>
      <c r="D1678" s="54">
        <v>7</v>
      </c>
      <c r="E1678" s="54">
        <v>1</v>
      </c>
      <c r="F1678" s="53"/>
      <c r="G1678" s="53"/>
      <c r="H1678" s="38">
        <f t="shared" si="14"/>
        <v>8</v>
      </c>
      <c r="I1678" s="38">
        <f t="shared" si="16"/>
        <v>2</v>
      </c>
      <c r="J1678" s="55"/>
    </row>
    <row r="1679" spans="1:10" ht="15" customHeight="1" x14ac:dyDescent="0.2">
      <c r="A1679" s="50">
        <f t="array" ref="A1679">+INDEX(Partidas!$A:$J,MATCH('Resultados dashboard'!$B1679,Partidas!$C:$C,0),2)</f>
        <v>45990</v>
      </c>
      <c r="B1679" s="56">
        <f>+IF(COUNTIF($B$2:B1678,B1678)=VLOOKUP(B1678,Partidas!$C:$J,8,0),B1678+1,B1678)</f>
        <v>370</v>
      </c>
      <c r="C1679" s="41" t="str">
        <f t="array" ref="C1679">+INDEX(Partidas!$A:$J,MATCH('Resultados dashboard'!$B1679,Partidas!$C:$C,0),3+COUNTIF($B$2:B1679,'Resultados dashboard'!$B1679))</f>
        <v>Abegol</v>
      </c>
      <c r="D1679" s="54">
        <v>5</v>
      </c>
      <c r="E1679" s="54">
        <v>3</v>
      </c>
      <c r="F1679" s="53"/>
      <c r="G1679" s="54">
        <v>1</v>
      </c>
      <c r="H1679" s="38">
        <f t="shared" si="14"/>
        <v>10</v>
      </c>
      <c r="I1679" s="38">
        <f t="shared" si="16"/>
        <v>1</v>
      </c>
      <c r="J1679" s="55"/>
    </row>
    <row r="1680" spans="1:10" ht="15" customHeight="1" x14ac:dyDescent="0.2">
      <c r="A1680" s="50">
        <f t="array" ref="A1680">+INDEX(Partidas!$A:$J,MATCH('Resultados dashboard'!$B1680,Partidas!$C:$C,0),2)</f>
        <v>45990</v>
      </c>
      <c r="B1680" s="56">
        <f>+IF(COUNTIF($B$2:B1679,B1679)=VLOOKUP(B1679,Partidas!$C:$J,8,0),B1679+1,B1679)</f>
        <v>371</v>
      </c>
      <c r="C1680" s="41" t="str">
        <f t="array" ref="C1680">+INDEX(Partidas!$A:$J,MATCH('Resultados dashboard'!$B1680,Partidas!$C:$C,0),3+COUNTIF($B$2:B1680,'Resultados dashboard'!$B1680))</f>
        <v>Ivo</v>
      </c>
      <c r="D1680" s="54">
        <v>7</v>
      </c>
      <c r="E1680" s="53"/>
      <c r="F1680" s="53"/>
      <c r="G1680" s="53"/>
      <c r="H1680" s="38">
        <f t="shared" si="14"/>
        <v>7</v>
      </c>
      <c r="I1680" s="38">
        <f t="shared" si="16"/>
        <v>3</v>
      </c>
      <c r="J1680" s="55"/>
    </row>
    <row r="1681" spans="1:10" ht="15" customHeight="1" x14ac:dyDescent="0.2">
      <c r="A1681" s="50">
        <f t="array" ref="A1681">+INDEX(Partidas!$A:$J,MATCH('Resultados dashboard'!$B1681,Partidas!$C:$C,0),2)</f>
        <v>45990</v>
      </c>
      <c r="B1681" s="56">
        <f>+IF(COUNTIF($B$2:B1680,B1680)=VLOOKUP(B1680,Partidas!$C:$J,8,0),B1680+1,B1680)</f>
        <v>371</v>
      </c>
      <c r="C1681" s="41" t="str">
        <f t="array" ref="C1681">+INDEX(Partidas!$A:$J,MATCH('Resultados dashboard'!$B1681,Partidas!$C:$C,0),3+COUNTIF($B$2:B1681,'Resultados dashboard'!$B1681))</f>
        <v>Gaspa</v>
      </c>
      <c r="D1681" s="54">
        <v>6</v>
      </c>
      <c r="E1681" s="53"/>
      <c r="F1681" s="53"/>
      <c r="G1681" s="53"/>
      <c r="H1681" s="38">
        <f t="shared" si="14"/>
        <v>6</v>
      </c>
      <c r="I1681" s="38">
        <f t="shared" si="16"/>
        <v>4</v>
      </c>
      <c r="J1681" s="55"/>
    </row>
    <row r="1682" spans="1:10" ht="15" customHeight="1" x14ac:dyDescent="0.2">
      <c r="A1682" s="50">
        <f t="array" ref="A1682">+INDEX(Partidas!$A:$J,MATCH('Resultados dashboard'!$B1682,Partidas!$C:$C,0),2)</f>
        <v>45990</v>
      </c>
      <c r="B1682" s="56">
        <f>+IF(COUNTIF($B$2:B1681,B1681)=VLOOKUP(B1681,Partidas!$C:$J,8,0),B1681+1,B1681)</f>
        <v>371</v>
      </c>
      <c r="C1682" s="41" t="str">
        <f t="array" ref="C1682">+INDEX(Partidas!$A:$J,MATCH('Resultados dashboard'!$B1682,Partidas!$C:$C,0),3+COUNTIF($B$2:B1682,'Resultados dashboard'!$B1682))</f>
        <v>Moch</v>
      </c>
      <c r="D1682" s="54">
        <v>5</v>
      </c>
      <c r="E1682" s="54">
        <v>1</v>
      </c>
      <c r="F1682" s="53"/>
      <c r="G1682" s="53"/>
      <c r="H1682" s="38">
        <f t="shared" si="14"/>
        <v>6</v>
      </c>
      <c r="I1682" s="38">
        <f t="shared" si="16"/>
        <v>4</v>
      </c>
      <c r="J1682" s="55"/>
    </row>
    <row r="1683" spans="1:10" ht="15" customHeight="1" x14ac:dyDescent="0.2">
      <c r="A1683" s="50">
        <f t="array" ref="A1683">+INDEX(Partidas!$A:$J,MATCH('Resultados dashboard'!$B1683,Partidas!$C:$C,0),2)</f>
        <v>45990</v>
      </c>
      <c r="B1683" s="56">
        <f>+IF(COUNTIF($B$2:B1682,B1682)=VLOOKUP(B1682,Partidas!$C:$J,8,0),B1682+1,B1682)</f>
        <v>371</v>
      </c>
      <c r="C1683" s="41" t="str">
        <f t="array" ref="C1683">+INDEX(Partidas!$A:$J,MATCH('Resultados dashboard'!$B1683,Partidas!$C:$C,0),3+COUNTIF($B$2:B1683,'Resultados dashboard'!$B1683))</f>
        <v>Hugo</v>
      </c>
      <c r="D1683" s="54">
        <v>9</v>
      </c>
      <c r="E1683" s="54">
        <v>1</v>
      </c>
      <c r="F1683" s="53"/>
      <c r="G1683" s="53"/>
      <c r="H1683" s="38">
        <f t="shared" si="14"/>
        <v>10</v>
      </c>
      <c r="I1683" s="38">
        <f t="shared" si="16"/>
        <v>1</v>
      </c>
      <c r="J1683" s="55"/>
    </row>
    <row r="1684" spans="1:10" ht="15" customHeight="1" x14ac:dyDescent="0.2">
      <c r="A1684" s="50">
        <f t="array" ref="A1684">+INDEX(Partidas!$A:$J,MATCH('Resultados dashboard'!$B1684,Partidas!$C:$C,0),2)</f>
        <v>45990</v>
      </c>
      <c r="B1684" s="56">
        <f>+IF(COUNTIF($B$2:B1683,B1683)=VLOOKUP(B1683,Partidas!$C:$J,8,0),B1683+1,B1683)</f>
        <v>371</v>
      </c>
      <c r="C1684" s="41" t="str">
        <f t="array" ref="C1684">+INDEX(Partidas!$A:$J,MATCH('Resultados dashboard'!$B1684,Partidas!$C:$C,0),3+COUNTIF($B$2:B1684,'Resultados dashboard'!$B1684))</f>
        <v>Abegol</v>
      </c>
      <c r="D1684" s="54">
        <v>5</v>
      </c>
      <c r="E1684" s="53"/>
      <c r="F1684" s="54">
        <v>1</v>
      </c>
      <c r="G1684" s="54">
        <v>1</v>
      </c>
      <c r="H1684" s="38">
        <f t="shared" si="14"/>
        <v>9</v>
      </c>
      <c r="I1684" s="38">
        <f t="shared" si="16"/>
        <v>2</v>
      </c>
      <c r="J1684" s="55"/>
    </row>
    <row r="1685" spans="1:10" ht="15" customHeight="1" x14ac:dyDescent="0.2">
      <c r="A1685" s="50">
        <f t="array" ref="A1685">+INDEX(Partidas!$A:$J,MATCH('Resultados dashboard'!$B1685,Partidas!$C:$C,0),2)</f>
        <v>45990</v>
      </c>
      <c r="B1685" s="56">
        <f>+IF(COUNTIF($B$2:B1684,B1684)=VLOOKUP(B1684,Partidas!$C:$J,8,0),B1684+1,B1684)</f>
        <v>372</v>
      </c>
      <c r="C1685" s="41" t="str">
        <f t="array" ref="C1685">+INDEX(Partidas!$A:$J,MATCH('Resultados dashboard'!$B1685,Partidas!$C:$C,0),3+COUNTIF($B$2:B1685,'Resultados dashboard'!$B1685))</f>
        <v>Ivo</v>
      </c>
      <c r="D1685" s="54">
        <v>7</v>
      </c>
      <c r="E1685" s="53"/>
      <c r="F1685" s="53"/>
      <c r="G1685" s="54">
        <v>1</v>
      </c>
      <c r="H1685" s="38">
        <f t="shared" si="14"/>
        <v>9</v>
      </c>
      <c r="I1685" s="38">
        <f t="shared" si="16"/>
        <v>2</v>
      </c>
      <c r="J1685" s="55"/>
    </row>
    <row r="1686" spans="1:10" ht="15" customHeight="1" x14ac:dyDescent="0.2">
      <c r="A1686" s="50">
        <f t="array" ref="A1686">+INDEX(Partidas!$A:$J,MATCH('Resultados dashboard'!$B1686,Partidas!$C:$C,0),2)</f>
        <v>45990</v>
      </c>
      <c r="B1686" s="56">
        <f>+IF(COUNTIF($B$2:B1685,B1685)=VLOOKUP(B1685,Partidas!$C:$J,8,0),B1685+1,B1685)</f>
        <v>372</v>
      </c>
      <c r="C1686" s="41" t="str">
        <f t="array" ref="C1686">+INDEX(Partidas!$A:$J,MATCH('Resultados dashboard'!$B1686,Partidas!$C:$C,0),3+COUNTIF($B$2:B1686,'Resultados dashboard'!$B1686))</f>
        <v>Gaspa</v>
      </c>
      <c r="D1686" s="54">
        <v>8</v>
      </c>
      <c r="E1686" s="54">
        <v>2</v>
      </c>
      <c r="F1686" s="53"/>
      <c r="G1686" s="53"/>
      <c r="H1686" s="38">
        <f t="shared" si="14"/>
        <v>10</v>
      </c>
      <c r="I1686" s="38">
        <f t="shared" si="16"/>
        <v>1</v>
      </c>
      <c r="J1686" s="55"/>
    </row>
    <row r="1687" spans="1:10" ht="15" customHeight="1" x14ac:dyDescent="0.2">
      <c r="A1687" s="50">
        <f t="array" ref="A1687">+INDEX(Partidas!$A:$J,MATCH('Resultados dashboard'!$B1687,Partidas!$C:$C,0),2)</f>
        <v>45990</v>
      </c>
      <c r="B1687" s="56">
        <f>+IF(COUNTIF($B$2:B1686,B1686)=VLOOKUP(B1686,Partidas!$C:$J,8,0),B1686+1,B1686)</f>
        <v>372</v>
      </c>
      <c r="C1687" s="41" t="str">
        <f t="array" ref="C1687">+INDEX(Partidas!$A:$J,MATCH('Resultados dashboard'!$B1687,Partidas!$C:$C,0),3+COUNTIF($B$2:B1687,'Resultados dashboard'!$B1687))</f>
        <v>Moch</v>
      </c>
      <c r="D1687" s="54">
        <v>3</v>
      </c>
      <c r="E1687" s="54">
        <v>2</v>
      </c>
      <c r="F1687" s="53"/>
      <c r="G1687" s="53"/>
      <c r="H1687" s="38">
        <f t="shared" si="14"/>
        <v>5</v>
      </c>
      <c r="I1687" s="38">
        <f t="shared" si="16"/>
        <v>4</v>
      </c>
      <c r="J1687" s="55"/>
    </row>
    <row r="1688" spans="1:10" ht="15" customHeight="1" x14ac:dyDescent="0.2">
      <c r="A1688" s="50">
        <f t="array" ref="A1688">+INDEX(Partidas!$A:$J,MATCH('Resultados dashboard'!$B1688,Partidas!$C:$C,0),2)</f>
        <v>45990</v>
      </c>
      <c r="B1688" s="56">
        <f>+IF(COUNTIF($B$2:B1687,B1687)=VLOOKUP(B1687,Partidas!$C:$J,8,0),B1687+1,B1687)</f>
        <v>372</v>
      </c>
      <c r="C1688" s="41" t="str">
        <f t="array" ref="C1688">+INDEX(Partidas!$A:$J,MATCH('Resultados dashboard'!$B1688,Partidas!$C:$C,0),3+COUNTIF($B$2:B1688,'Resultados dashboard'!$B1688))</f>
        <v>Hugo</v>
      </c>
      <c r="D1688" s="54">
        <v>6</v>
      </c>
      <c r="E1688" s="53"/>
      <c r="F1688" s="53"/>
      <c r="G1688" s="53"/>
      <c r="H1688" s="38">
        <f t="shared" si="14"/>
        <v>6</v>
      </c>
      <c r="I1688" s="38">
        <f t="shared" si="16"/>
        <v>3</v>
      </c>
      <c r="J1688" s="55"/>
    </row>
    <row r="1689" spans="1:10" ht="15" customHeight="1" x14ac:dyDescent="0.2">
      <c r="A1689" s="50">
        <f t="array" ref="A1689">+INDEX(Partidas!$A:$J,MATCH('Resultados dashboard'!$B1689,Partidas!$C:$C,0),2)</f>
        <v>45991</v>
      </c>
      <c r="B1689" s="56">
        <f>+IF(COUNTIF($B$2:B1688,B1688)=VLOOKUP(B1688,Partidas!$C:$J,8,0),B1688+1,B1688)</f>
        <v>373</v>
      </c>
      <c r="C1689" s="41" t="str">
        <f t="array" ref="C1689">+INDEX(Partidas!$A:$J,MATCH('Resultados dashboard'!$B1689,Partidas!$C:$C,0),3+COUNTIF($B$2:B1689,'Resultados dashboard'!$B1689))</f>
        <v>Ivo</v>
      </c>
      <c r="D1689" s="54">
        <v>6</v>
      </c>
      <c r="E1689" s="53"/>
      <c r="F1689" s="54">
        <v>1</v>
      </c>
      <c r="G1689" s="54">
        <v>1</v>
      </c>
      <c r="H1689" s="38">
        <f t="shared" si="14"/>
        <v>10</v>
      </c>
      <c r="I1689" s="38">
        <f t="shared" si="16"/>
        <v>1</v>
      </c>
      <c r="J1689" s="55"/>
    </row>
    <row r="1690" spans="1:10" ht="15" customHeight="1" x14ac:dyDescent="0.2">
      <c r="A1690" s="50">
        <f t="array" ref="A1690">+INDEX(Partidas!$A:$J,MATCH('Resultados dashboard'!$B1690,Partidas!$C:$C,0),2)</f>
        <v>45991</v>
      </c>
      <c r="B1690" s="56">
        <f>+IF(COUNTIF($B$2:B1689,B1689)=VLOOKUP(B1689,Partidas!$C:$J,8,0),B1689+1,B1689)</f>
        <v>373</v>
      </c>
      <c r="C1690" s="41" t="str">
        <f t="array" ref="C1690">+INDEX(Partidas!$A:$J,MATCH('Resultados dashboard'!$B1690,Partidas!$C:$C,0),3+COUNTIF($B$2:B1690,'Resultados dashboard'!$B1690))</f>
        <v>Gaspa</v>
      </c>
      <c r="D1690" s="54">
        <v>6</v>
      </c>
      <c r="E1690" s="54">
        <v>1</v>
      </c>
      <c r="F1690" s="53"/>
      <c r="G1690" s="53"/>
      <c r="H1690" s="38">
        <f t="shared" si="14"/>
        <v>7</v>
      </c>
      <c r="I1690" s="38">
        <f t="shared" si="16"/>
        <v>3</v>
      </c>
      <c r="J1690" s="55"/>
    </row>
    <row r="1691" spans="1:10" ht="15" customHeight="1" x14ac:dyDescent="0.2">
      <c r="A1691" s="50">
        <f t="array" ref="A1691">+INDEX(Partidas!$A:$J,MATCH('Resultados dashboard'!$B1691,Partidas!$C:$C,0),2)</f>
        <v>45991</v>
      </c>
      <c r="B1691" s="56">
        <f>+IF(COUNTIF($B$2:B1690,B1690)=VLOOKUP(B1690,Partidas!$C:$J,8,0),B1690+1,B1690)</f>
        <v>373</v>
      </c>
      <c r="C1691" s="41" t="str">
        <f t="array" ref="C1691">+INDEX(Partidas!$A:$J,MATCH('Resultados dashboard'!$B1691,Partidas!$C:$C,0),3+COUNTIF($B$2:B1691,'Resultados dashboard'!$B1691))</f>
        <v>Moch</v>
      </c>
      <c r="D1691" s="54">
        <v>8</v>
      </c>
      <c r="E1691" s="53"/>
      <c r="F1691" s="53"/>
      <c r="G1691" s="53"/>
      <c r="H1691" s="38">
        <f t="shared" si="14"/>
        <v>8</v>
      </c>
      <c r="I1691" s="38">
        <f t="shared" si="16"/>
        <v>2</v>
      </c>
      <c r="J1691" s="55"/>
    </row>
    <row r="1692" spans="1:10" ht="15" customHeight="1" x14ac:dyDescent="0.2">
      <c r="A1692" s="50">
        <f t="array" ref="A1692">+INDEX(Partidas!$A:$J,MATCH('Resultados dashboard'!$B1692,Partidas!$C:$C,0),2)</f>
        <v>45991</v>
      </c>
      <c r="B1692" s="56">
        <f>+IF(COUNTIF($B$2:B1691,B1691)=VLOOKUP(B1691,Partidas!$C:$J,8,0),B1691+1,B1691)</f>
        <v>373</v>
      </c>
      <c r="C1692" s="41" t="str">
        <f t="array" ref="C1692">+INDEX(Partidas!$A:$J,MATCH('Resultados dashboard'!$B1692,Partidas!$C:$C,0),3+COUNTIF($B$2:B1692,'Resultados dashboard'!$B1692))</f>
        <v>Abegol</v>
      </c>
      <c r="D1692" s="54">
        <v>6</v>
      </c>
      <c r="E1692" s="54">
        <v>1</v>
      </c>
      <c r="F1692" s="53"/>
      <c r="G1692" s="53"/>
      <c r="H1692" s="38">
        <f t="shared" si="14"/>
        <v>7</v>
      </c>
      <c r="I1692" s="38">
        <f t="shared" si="16"/>
        <v>3</v>
      </c>
      <c r="J1692" s="55"/>
    </row>
    <row r="1693" spans="1:10" ht="15" customHeight="1" x14ac:dyDescent="0.2">
      <c r="A1693" s="50">
        <f t="array" ref="A1693">+INDEX(Partidas!$A:$J,MATCH('Resultados dashboard'!$B1693,Partidas!$C:$C,0),2)</f>
        <v>45996</v>
      </c>
      <c r="B1693" s="56">
        <f>+IF(COUNTIF($B$2:B1692,B1692)=VLOOKUP(B1692,Partidas!$C:$J,8,0),B1692+1,B1692)</f>
        <v>374</v>
      </c>
      <c r="C1693" s="41" t="str">
        <f t="array" ref="C1693">+INDEX(Partidas!$A:$J,MATCH('Resultados dashboard'!$B1693,Partidas!$C:$C,0),3+COUNTIF($B$2:B1693,'Resultados dashboard'!$B1693))</f>
        <v>Gallo</v>
      </c>
      <c r="D1693" s="54">
        <v>6</v>
      </c>
      <c r="E1693" s="54">
        <v>2</v>
      </c>
      <c r="F1693" s="54">
        <v>1</v>
      </c>
      <c r="G1693" s="53"/>
      <c r="H1693" s="38">
        <f t="shared" si="14"/>
        <v>10</v>
      </c>
      <c r="I1693" s="38">
        <f t="shared" si="16"/>
        <v>1</v>
      </c>
      <c r="J1693" s="55"/>
    </row>
    <row r="1694" spans="1:10" ht="15" customHeight="1" x14ac:dyDescent="0.2">
      <c r="A1694" s="50">
        <f t="array" ref="A1694">+INDEX(Partidas!$A:$J,MATCH('Resultados dashboard'!$B1694,Partidas!$C:$C,0),2)</f>
        <v>45996</v>
      </c>
      <c r="B1694" s="56">
        <f>+IF(COUNTIF($B$2:B1693,B1693)=VLOOKUP(B1693,Partidas!$C:$J,8,0),B1693+1,B1693)</f>
        <v>374</v>
      </c>
      <c r="C1694" s="41" t="str">
        <f t="array" ref="C1694">+INDEX(Partidas!$A:$J,MATCH('Resultados dashboard'!$B1694,Partidas!$C:$C,0),3+COUNTIF($B$2:B1694,'Resultados dashboard'!$B1694))</f>
        <v>Ivo</v>
      </c>
      <c r="D1694" s="54">
        <v>6</v>
      </c>
      <c r="E1694" s="53"/>
      <c r="F1694" s="53"/>
      <c r="G1694" s="53"/>
      <c r="H1694" s="38">
        <f t="shared" si="14"/>
        <v>6</v>
      </c>
      <c r="I1694" s="38">
        <f t="shared" si="16"/>
        <v>4</v>
      </c>
      <c r="J1694" s="55"/>
    </row>
    <row r="1695" spans="1:10" ht="15" customHeight="1" x14ac:dyDescent="0.2">
      <c r="A1695" s="50">
        <f t="array" ref="A1695">+INDEX(Partidas!$A:$J,MATCH('Resultados dashboard'!$B1695,Partidas!$C:$C,0),2)</f>
        <v>45996</v>
      </c>
      <c r="B1695" s="56">
        <f>+IF(COUNTIF($B$2:B1694,B1694)=VLOOKUP(B1694,Partidas!$C:$J,8,0),B1694+1,B1694)</f>
        <v>374</v>
      </c>
      <c r="C1695" s="41" t="str">
        <f t="array" ref="C1695">+INDEX(Partidas!$A:$J,MATCH('Resultados dashboard'!$B1695,Partidas!$C:$C,0),3+COUNTIF($B$2:B1695,'Resultados dashboard'!$B1695))</f>
        <v>Hugo</v>
      </c>
      <c r="D1695" s="54">
        <v>6</v>
      </c>
      <c r="E1695" s="54">
        <v>1</v>
      </c>
      <c r="F1695" s="53"/>
      <c r="G1695" s="54">
        <v>1</v>
      </c>
      <c r="H1695" s="38">
        <f t="shared" si="14"/>
        <v>9</v>
      </c>
      <c r="I1695" s="38">
        <f t="shared" si="16"/>
        <v>2</v>
      </c>
      <c r="J1695" s="55"/>
    </row>
    <row r="1696" spans="1:10" ht="15" customHeight="1" x14ac:dyDescent="0.2">
      <c r="A1696" s="50">
        <f t="array" ref="A1696">+INDEX(Partidas!$A:$J,MATCH('Resultados dashboard'!$B1696,Partidas!$C:$C,0),2)</f>
        <v>45996</v>
      </c>
      <c r="B1696" s="56">
        <f>+IF(COUNTIF($B$2:B1695,B1695)=VLOOKUP(B1695,Partidas!$C:$J,8,0),B1695+1,B1695)</f>
        <v>374</v>
      </c>
      <c r="C1696" s="41" t="str">
        <f t="array" ref="C1696">+INDEX(Partidas!$A:$J,MATCH('Resultados dashboard'!$B1696,Partidas!$C:$C,0),3+COUNTIF($B$2:B1696,'Resultados dashboard'!$B1696))</f>
        <v>Gaspa</v>
      </c>
      <c r="D1696" s="54">
        <v>6</v>
      </c>
      <c r="E1696" s="53"/>
      <c r="F1696" s="53"/>
      <c r="G1696" s="53"/>
      <c r="H1696" s="38">
        <f t="shared" si="14"/>
        <v>6</v>
      </c>
      <c r="I1696" s="38">
        <f t="shared" si="16"/>
        <v>4</v>
      </c>
      <c r="J1696" s="55"/>
    </row>
    <row r="1697" spans="1:10" ht="15" customHeight="1" x14ac:dyDescent="0.2">
      <c r="A1697" s="50">
        <f t="array" ref="A1697">+INDEX(Partidas!$A:$J,MATCH('Resultados dashboard'!$B1697,Partidas!$C:$C,0),2)</f>
        <v>45996</v>
      </c>
      <c r="B1697" s="56">
        <f>+IF(COUNTIF($B$2:B1696,B1696)=VLOOKUP(B1696,Partidas!$C:$J,8,0),B1696+1,B1696)</f>
        <v>374</v>
      </c>
      <c r="C1697" s="41" t="str">
        <f t="array" ref="C1697">+INDEX(Partidas!$A:$J,MATCH('Resultados dashboard'!$B1697,Partidas!$C:$C,0),3+COUNTIF($B$2:B1697,'Resultados dashboard'!$B1697))</f>
        <v>Moch</v>
      </c>
      <c r="D1697" s="54">
        <v>7</v>
      </c>
      <c r="E1697" s="53"/>
      <c r="F1697" s="53"/>
      <c r="G1697" s="53"/>
      <c r="H1697" s="38">
        <f t="shared" si="14"/>
        <v>7</v>
      </c>
      <c r="I1697" s="38">
        <f t="shared" si="16"/>
        <v>3</v>
      </c>
      <c r="J1697" s="55"/>
    </row>
    <row r="1698" spans="1:10" ht="15" customHeight="1" x14ac:dyDescent="0.2">
      <c r="A1698" s="50">
        <f t="array" ref="A1698">+INDEX(Partidas!$A:$J,MATCH('Resultados dashboard'!$B1698,Partidas!$C:$C,0),2)</f>
        <v>45996</v>
      </c>
      <c r="B1698" s="56">
        <f>+IF(COUNTIF($B$2:B1697,B1697)=VLOOKUP(B1697,Partidas!$C:$J,8,0),B1697+1,B1697)</f>
        <v>374</v>
      </c>
      <c r="C1698" s="41" t="str">
        <f t="array" ref="C1698">+INDEX(Partidas!$A:$J,MATCH('Resultados dashboard'!$B1698,Partidas!$C:$C,0),3+COUNTIF($B$2:B1698,'Resultados dashboard'!$B1698))</f>
        <v>Abegol</v>
      </c>
      <c r="D1698" s="54">
        <v>4</v>
      </c>
      <c r="E1698" s="54">
        <v>1</v>
      </c>
      <c r="F1698" s="53"/>
      <c r="G1698" s="53"/>
      <c r="H1698" s="38">
        <f t="shared" si="14"/>
        <v>5</v>
      </c>
      <c r="I1698" s="38">
        <f t="shared" si="16"/>
        <v>6</v>
      </c>
      <c r="J1698" s="55"/>
    </row>
    <row r="1699" spans="1:10" ht="15" customHeight="1" x14ac:dyDescent="0.2">
      <c r="A1699" s="50">
        <f t="array" ref="A1699">+INDEX(Partidas!$A:$J,MATCH('Resultados dashboard'!$B1699,Partidas!$C:$C,0),2)</f>
        <v>45999</v>
      </c>
      <c r="B1699" s="56">
        <f>+IF(COUNTIF($B$2:B1698,B1698)=VLOOKUP(B1698,Partidas!$C:$J,8,0),B1698+1,B1698)</f>
        <v>375</v>
      </c>
      <c r="C1699" s="41" t="str">
        <f t="array" ref="C1699">+INDEX(Partidas!$A:$J,MATCH('Resultados dashboard'!$B1699,Partidas!$C:$C,0),3+COUNTIF($B$2:B1699,'Resultados dashboard'!$B1699))</f>
        <v>Gallo</v>
      </c>
      <c r="D1699" s="54">
        <v>4</v>
      </c>
      <c r="E1699" s="53"/>
      <c r="F1699" s="53"/>
      <c r="G1699" s="53"/>
      <c r="H1699" s="38">
        <f t="shared" si="14"/>
        <v>4</v>
      </c>
      <c r="I1699" s="38">
        <f t="shared" si="16"/>
        <v>4</v>
      </c>
      <c r="J1699" s="55"/>
    </row>
    <row r="1700" spans="1:10" ht="15" customHeight="1" x14ac:dyDescent="0.2">
      <c r="A1700" s="50">
        <f t="array" ref="A1700">+INDEX(Partidas!$A:$J,MATCH('Resultados dashboard'!$B1700,Partidas!$C:$C,0),2)</f>
        <v>45999</v>
      </c>
      <c r="B1700" s="56">
        <f>+IF(COUNTIF($B$2:B1699,B1699)=VLOOKUP(B1699,Partidas!$C:$J,8,0),B1699+1,B1699)</f>
        <v>375</v>
      </c>
      <c r="C1700" s="41" t="str">
        <f t="array" ref="C1700">+INDEX(Partidas!$A:$J,MATCH('Resultados dashboard'!$B1700,Partidas!$C:$C,0),3+COUNTIF($B$2:B1700,'Resultados dashboard'!$B1700))</f>
        <v>Ivo</v>
      </c>
      <c r="D1700" s="54">
        <v>7</v>
      </c>
      <c r="E1700" s="54">
        <v>1</v>
      </c>
      <c r="F1700" s="54">
        <v>1</v>
      </c>
      <c r="G1700" s="53"/>
      <c r="H1700" s="38">
        <f t="shared" si="14"/>
        <v>10</v>
      </c>
      <c r="I1700" s="38">
        <f t="shared" si="16"/>
        <v>1</v>
      </c>
      <c r="J1700" s="55"/>
    </row>
    <row r="1701" spans="1:10" ht="15" customHeight="1" x14ac:dyDescent="0.2">
      <c r="A1701" s="50">
        <f t="array" ref="A1701">+INDEX(Partidas!$A:$J,MATCH('Resultados dashboard'!$B1701,Partidas!$C:$C,0),2)</f>
        <v>45999</v>
      </c>
      <c r="B1701" s="56">
        <f>+IF(COUNTIF($B$2:B1700,B1700)=VLOOKUP(B1700,Partidas!$C:$J,8,0),B1700+1,B1700)</f>
        <v>375</v>
      </c>
      <c r="C1701" s="41" t="str">
        <f t="array" ref="C1701">+INDEX(Partidas!$A:$J,MATCH('Resultados dashboard'!$B1701,Partidas!$C:$C,0),3+COUNTIF($B$2:B1701,'Resultados dashboard'!$B1701))</f>
        <v>Moch</v>
      </c>
      <c r="D1701" s="54">
        <v>5</v>
      </c>
      <c r="E1701" s="54">
        <v>2</v>
      </c>
      <c r="F1701" s="53"/>
      <c r="G1701" s="54">
        <v>1</v>
      </c>
      <c r="H1701" s="38">
        <f t="shared" si="14"/>
        <v>9</v>
      </c>
      <c r="I1701" s="38">
        <f t="shared" si="16"/>
        <v>2</v>
      </c>
      <c r="J1701" s="55"/>
    </row>
    <row r="1702" spans="1:10" ht="15" customHeight="1" x14ac:dyDescent="0.2">
      <c r="A1702" s="50">
        <f t="array" ref="A1702">+INDEX(Partidas!$A:$J,MATCH('Resultados dashboard'!$B1702,Partidas!$C:$C,0),2)</f>
        <v>45999</v>
      </c>
      <c r="B1702" s="56">
        <f>+IF(COUNTIF($B$2:B1701,B1701)=VLOOKUP(B1701,Partidas!$C:$J,8,0),B1701+1,B1701)</f>
        <v>375</v>
      </c>
      <c r="C1702" s="41" t="str">
        <f t="array" ref="C1702">+INDEX(Partidas!$A:$J,MATCH('Resultados dashboard'!$B1702,Partidas!$C:$C,0),3+COUNTIF($B$2:B1702,'Resultados dashboard'!$B1702))</f>
        <v>Sofi</v>
      </c>
      <c r="D1702" s="54">
        <v>5</v>
      </c>
      <c r="E1702" s="53"/>
      <c r="F1702" s="53"/>
      <c r="G1702" s="53"/>
      <c r="H1702" s="38">
        <f t="shared" si="14"/>
        <v>5</v>
      </c>
      <c r="I1702" s="38">
        <f t="shared" si="16"/>
        <v>3</v>
      </c>
      <c r="J1702" s="55"/>
    </row>
    <row r="1703" spans="1:10" ht="15" customHeight="1" x14ac:dyDescent="0.2">
      <c r="A1703" s="50">
        <f t="array" ref="A1703">+INDEX(Partidas!$A:$J,MATCH('Resultados dashboard'!$B1703,Partidas!$C:$C,0),2)</f>
        <v>45999</v>
      </c>
      <c r="B1703" s="56">
        <f>+IF(COUNTIF($B$2:B1702,B1702)=VLOOKUP(B1702,Partidas!$C:$J,8,0),B1702+1,B1702)</f>
        <v>376</v>
      </c>
      <c r="C1703" s="41" t="str">
        <f t="array" ref="C1703">+INDEX(Partidas!$A:$J,MATCH('Resultados dashboard'!$B1703,Partidas!$C:$C,0),3+COUNTIF($B$2:B1703,'Resultados dashboard'!$B1703))</f>
        <v>Gallo</v>
      </c>
      <c r="D1703" s="54">
        <v>7</v>
      </c>
      <c r="E1703" s="54">
        <v>1</v>
      </c>
      <c r="F1703" s="53"/>
      <c r="G1703" s="54">
        <v>1</v>
      </c>
      <c r="H1703" s="38">
        <f t="shared" si="14"/>
        <v>10</v>
      </c>
      <c r="I1703" s="38">
        <f t="shared" si="16"/>
        <v>1</v>
      </c>
      <c r="J1703" s="55"/>
    </row>
    <row r="1704" spans="1:10" ht="15" customHeight="1" x14ac:dyDescent="0.2">
      <c r="A1704" s="50">
        <f t="array" ref="A1704">+INDEX(Partidas!$A:$J,MATCH('Resultados dashboard'!$B1704,Partidas!$C:$C,0),2)</f>
        <v>45999</v>
      </c>
      <c r="B1704" s="56">
        <f>+IF(COUNTIF($B$2:B1703,B1703)=VLOOKUP(B1703,Partidas!$C:$J,8,0),B1703+1,B1703)</f>
        <v>376</v>
      </c>
      <c r="C1704" s="41" t="str">
        <f t="array" ref="C1704">+INDEX(Partidas!$A:$J,MATCH('Resultados dashboard'!$B1704,Partidas!$C:$C,0),3+COUNTIF($B$2:B1704,'Resultados dashboard'!$B1704))</f>
        <v>Ivo</v>
      </c>
      <c r="D1704" s="54">
        <v>4</v>
      </c>
      <c r="E1704" s="53"/>
      <c r="F1704" s="53"/>
      <c r="G1704" s="53"/>
      <c r="H1704" s="38">
        <f t="shared" si="14"/>
        <v>4</v>
      </c>
      <c r="I1704" s="38">
        <f t="shared" si="16"/>
        <v>3</v>
      </c>
      <c r="J1704" s="55"/>
    </row>
    <row r="1705" spans="1:10" ht="15" customHeight="1" x14ac:dyDescent="0.2">
      <c r="A1705" s="50">
        <f t="array" ref="A1705">+INDEX(Partidas!$A:$J,MATCH('Resultados dashboard'!$B1705,Partidas!$C:$C,0),2)</f>
        <v>45999</v>
      </c>
      <c r="B1705" s="56">
        <f>+IF(COUNTIF($B$2:B1704,B1704)=VLOOKUP(B1704,Partidas!$C:$J,8,0),B1704+1,B1704)</f>
        <v>376</v>
      </c>
      <c r="C1705" s="41" t="str">
        <f t="array" ref="C1705">+INDEX(Partidas!$A:$J,MATCH('Resultados dashboard'!$B1705,Partidas!$C:$C,0),3+COUNTIF($B$2:B1705,'Resultados dashboard'!$B1705))</f>
        <v>Moch</v>
      </c>
      <c r="D1705" s="54">
        <v>4</v>
      </c>
      <c r="E1705" s="53"/>
      <c r="F1705" s="53"/>
      <c r="G1705" s="53"/>
      <c r="H1705" s="38">
        <f t="shared" si="14"/>
        <v>4</v>
      </c>
      <c r="I1705" s="38">
        <f t="shared" si="16"/>
        <v>3</v>
      </c>
      <c r="J1705" s="55"/>
    </row>
    <row r="1706" spans="1:10" ht="15" customHeight="1" x14ac:dyDescent="0.2">
      <c r="A1706" s="50">
        <f t="array" ref="A1706">+INDEX(Partidas!$A:$J,MATCH('Resultados dashboard'!$B1706,Partidas!$C:$C,0),2)</f>
        <v>45999</v>
      </c>
      <c r="B1706" s="56">
        <f>+IF(COUNTIF($B$2:B1705,B1705)=VLOOKUP(B1705,Partidas!$C:$J,8,0),B1705+1,B1705)</f>
        <v>376</v>
      </c>
      <c r="C1706" s="41" t="str">
        <f t="array" ref="C1706">+INDEX(Partidas!$A:$J,MATCH('Resultados dashboard'!$B1706,Partidas!$C:$C,0),3+COUNTIF($B$2:B1706,'Resultados dashboard'!$B1706))</f>
        <v>Sofi</v>
      </c>
      <c r="D1706" s="54">
        <v>6</v>
      </c>
      <c r="E1706" s="53"/>
      <c r="F1706" s="53"/>
      <c r="G1706" s="53"/>
      <c r="H1706" s="38">
        <f t="shared" si="14"/>
        <v>6</v>
      </c>
      <c r="I1706" s="38">
        <f t="shared" si="16"/>
        <v>2</v>
      </c>
      <c r="J1706" s="55"/>
    </row>
    <row r="1707" spans="1:10" ht="15" customHeight="1" x14ac:dyDescent="0.2">
      <c r="A1707" s="50">
        <f t="array" ref="A1707">+INDEX(Partidas!$A:$J,MATCH('Resultados dashboard'!$B1707,Partidas!$C:$C,0),2)</f>
        <v>45999</v>
      </c>
      <c r="B1707" s="56">
        <f>+IF(COUNTIF($B$2:B1706,B1706)=VLOOKUP(B1706,Partidas!$C:$J,8,0),B1706+1,B1706)</f>
        <v>377</v>
      </c>
      <c r="C1707" s="41" t="str">
        <f t="array" ref="C1707">+INDEX(Partidas!$A:$J,MATCH('Resultados dashboard'!$B1707,Partidas!$C:$C,0),3+COUNTIF($B$2:B1707,'Resultados dashboard'!$B1707))</f>
        <v>Gallo</v>
      </c>
      <c r="D1707" s="54">
        <v>5</v>
      </c>
      <c r="E1707" s="53"/>
      <c r="F1707" s="53"/>
      <c r="G1707" s="53"/>
      <c r="H1707" s="38">
        <f t="shared" si="14"/>
        <v>5</v>
      </c>
      <c r="I1707" s="38">
        <f t="shared" si="16"/>
        <v>3</v>
      </c>
      <c r="J1707" s="55"/>
    </row>
    <row r="1708" spans="1:10" ht="15" customHeight="1" x14ac:dyDescent="0.2">
      <c r="A1708" s="50">
        <f t="array" ref="A1708">+INDEX(Partidas!$A:$J,MATCH('Resultados dashboard'!$B1708,Partidas!$C:$C,0),2)</f>
        <v>45999</v>
      </c>
      <c r="B1708" s="56">
        <f>+IF(COUNTIF($B$2:B1707,B1707)=VLOOKUP(B1707,Partidas!$C:$J,8,0),B1707+1,B1707)</f>
        <v>377</v>
      </c>
      <c r="C1708" s="41" t="str">
        <f t="array" ref="C1708">+INDEX(Partidas!$A:$J,MATCH('Resultados dashboard'!$B1708,Partidas!$C:$C,0),3+COUNTIF($B$2:B1708,'Resultados dashboard'!$B1708))</f>
        <v>Ivo</v>
      </c>
      <c r="D1708" s="54">
        <v>4</v>
      </c>
      <c r="E1708" s="53"/>
      <c r="F1708" s="53"/>
      <c r="G1708" s="53"/>
      <c r="H1708" s="38">
        <f t="shared" si="14"/>
        <v>4</v>
      </c>
      <c r="I1708" s="38">
        <f t="shared" si="16"/>
        <v>4</v>
      </c>
      <c r="J1708" s="55"/>
    </row>
    <row r="1709" spans="1:10" ht="15" customHeight="1" x14ac:dyDescent="0.2">
      <c r="A1709" s="50">
        <f t="array" ref="A1709">+INDEX(Partidas!$A:$J,MATCH('Resultados dashboard'!$B1709,Partidas!$C:$C,0),2)</f>
        <v>45999</v>
      </c>
      <c r="B1709" s="56">
        <f>+IF(COUNTIF($B$2:B1708,B1708)=VLOOKUP(B1708,Partidas!$C:$J,8,0),B1708+1,B1708)</f>
        <v>377</v>
      </c>
      <c r="C1709" s="41" t="str">
        <f t="array" ref="C1709">+INDEX(Partidas!$A:$J,MATCH('Resultados dashboard'!$B1709,Partidas!$C:$C,0),3+COUNTIF($B$2:B1709,'Resultados dashboard'!$B1709))</f>
        <v>Moch</v>
      </c>
      <c r="D1709" s="54">
        <v>6</v>
      </c>
      <c r="E1709" s="54">
        <v>1</v>
      </c>
      <c r="F1709" s="54">
        <v>1</v>
      </c>
      <c r="G1709" s="53"/>
      <c r="H1709" s="38">
        <f t="shared" si="14"/>
        <v>9</v>
      </c>
      <c r="I1709" s="38">
        <f t="shared" si="16"/>
        <v>2</v>
      </c>
      <c r="J1709" s="55"/>
    </row>
    <row r="1710" spans="1:10" ht="15" customHeight="1" x14ac:dyDescent="0.2">
      <c r="A1710" s="50">
        <f t="array" ref="A1710">+INDEX(Partidas!$A:$J,MATCH('Resultados dashboard'!$B1710,Partidas!$C:$C,0),2)</f>
        <v>45999</v>
      </c>
      <c r="B1710" s="56">
        <f>+IF(COUNTIF($B$2:B1709,B1709)=VLOOKUP(B1709,Partidas!$C:$J,8,0),B1709+1,B1709)</f>
        <v>377</v>
      </c>
      <c r="C1710" s="41" t="str">
        <f t="array" ref="C1710">+INDEX(Partidas!$A:$J,MATCH('Resultados dashboard'!$B1710,Partidas!$C:$C,0),3+COUNTIF($B$2:B1710,'Resultados dashboard'!$B1710))</f>
        <v>Sofi</v>
      </c>
      <c r="D1710" s="54">
        <v>7</v>
      </c>
      <c r="E1710" s="54">
        <v>1</v>
      </c>
      <c r="F1710" s="53"/>
      <c r="G1710" s="54">
        <v>1</v>
      </c>
      <c r="H1710" s="38">
        <f t="shared" si="14"/>
        <v>10</v>
      </c>
      <c r="I1710" s="38">
        <f t="shared" si="16"/>
        <v>1</v>
      </c>
      <c r="J1710" s="55"/>
    </row>
    <row r="1711" spans="1:10" ht="15" customHeight="1" x14ac:dyDescent="0.2">
      <c r="A1711" s="50">
        <f t="array" ref="A1711">+INDEX(Partidas!$A:$J,MATCH('Resultados dashboard'!$B1711,Partidas!$C:$C,0),2)</f>
        <v>45999</v>
      </c>
      <c r="B1711" s="56">
        <f>+IF(COUNTIF($B$2:B1710,B1710)=VLOOKUP(B1710,Partidas!$C:$J,8,0),B1710+1,B1710)</f>
        <v>378</v>
      </c>
      <c r="C1711" s="41" t="str">
        <f t="array" ref="C1711">+INDEX(Partidas!$A:$J,MATCH('Resultados dashboard'!$B1711,Partidas!$C:$C,0),3+COUNTIF($B$2:B1711,'Resultados dashboard'!$B1711))</f>
        <v>Gallo</v>
      </c>
      <c r="D1711" s="54">
        <v>6</v>
      </c>
      <c r="E1711" s="54">
        <v>1</v>
      </c>
      <c r="F1711" s="54">
        <v>1</v>
      </c>
      <c r="G1711" s="53"/>
      <c r="H1711" s="38">
        <f t="shared" si="14"/>
        <v>9</v>
      </c>
      <c r="I1711" s="38">
        <f t="shared" si="16"/>
        <v>2</v>
      </c>
      <c r="J1711" s="55"/>
    </row>
    <row r="1712" spans="1:10" ht="15" customHeight="1" x14ac:dyDescent="0.2">
      <c r="A1712" s="50">
        <f t="array" ref="A1712">+INDEX(Partidas!$A:$J,MATCH('Resultados dashboard'!$B1712,Partidas!$C:$C,0),2)</f>
        <v>45999</v>
      </c>
      <c r="B1712" s="56">
        <f>+IF(COUNTIF($B$2:B1711,B1711)=VLOOKUP(B1711,Partidas!$C:$J,8,0),B1711+1,B1711)</f>
        <v>378</v>
      </c>
      <c r="C1712" s="41" t="str">
        <f t="array" ref="C1712">+INDEX(Partidas!$A:$J,MATCH('Resultados dashboard'!$B1712,Partidas!$C:$C,0),3+COUNTIF($B$2:B1712,'Resultados dashboard'!$B1712))</f>
        <v>Ivo</v>
      </c>
      <c r="D1712" s="54">
        <v>5</v>
      </c>
      <c r="E1712" s="54">
        <v>1</v>
      </c>
      <c r="F1712" s="53"/>
      <c r="G1712" s="53"/>
      <c r="H1712" s="38">
        <f t="shared" si="14"/>
        <v>6</v>
      </c>
      <c r="I1712" s="38">
        <f t="shared" si="16"/>
        <v>4</v>
      </c>
      <c r="J1712" s="55"/>
    </row>
    <row r="1713" spans="1:10" ht="15" customHeight="1" x14ac:dyDescent="0.2">
      <c r="A1713" s="50">
        <f t="array" ref="A1713">+INDEX(Partidas!$A:$J,MATCH('Resultados dashboard'!$B1713,Partidas!$C:$C,0),2)</f>
        <v>45999</v>
      </c>
      <c r="B1713" s="56">
        <f>+IF(COUNTIF($B$2:B1712,B1712)=VLOOKUP(B1712,Partidas!$C:$J,8,0),B1712+1,B1712)</f>
        <v>378</v>
      </c>
      <c r="C1713" s="41" t="str">
        <f t="array" ref="C1713">+INDEX(Partidas!$A:$J,MATCH('Resultados dashboard'!$B1713,Partidas!$C:$C,0),3+COUNTIF($B$2:B1713,'Resultados dashboard'!$B1713))</f>
        <v>Moch</v>
      </c>
      <c r="D1713" s="54">
        <v>6</v>
      </c>
      <c r="E1713" s="54">
        <v>1</v>
      </c>
      <c r="F1713" s="53"/>
      <c r="G1713" s="53"/>
      <c r="H1713" s="38">
        <f t="shared" si="14"/>
        <v>7</v>
      </c>
      <c r="I1713" s="38">
        <f t="shared" si="16"/>
        <v>3</v>
      </c>
      <c r="J1713" s="55"/>
    </row>
    <row r="1714" spans="1:10" ht="15" customHeight="1" x14ac:dyDescent="0.2">
      <c r="A1714" s="50">
        <f t="array" ref="A1714">+INDEX(Partidas!$A:$J,MATCH('Resultados dashboard'!$B1714,Partidas!$C:$C,0),2)</f>
        <v>45999</v>
      </c>
      <c r="B1714" s="56">
        <f>+IF(COUNTIF($B$2:B1713,B1713)=VLOOKUP(B1713,Partidas!$C:$J,8,0),B1713+1,B1713)</f>
        <v>378</v>
      </c>
      <c r="C1714" s="41" t="str">
        <f t="array" ref="C1714">+INDEX(Partidas!$A:$J,MATCH('Resultados dashboard'!$B1714,Partidas!$C:$C,0),3+COUNTIF($B$2:B1714,'Resultados dashboard'!$B1714))</f>
        <v>Sofi</v>
      </c>
      <c r="D1714" s="54">
        <v>7</v>
      </c>
      <c r="E1714" s="54">
        <v>1</v>
      </c>
      <c r="F1714" s="53"/>
      <c r="G1714" s="54">
        <v>1</v>
      </c>
      <c r="H1714" s="38">
        <f t="shared" si="14"/>
        <v>10</v>
      </c>
      <c r="I1714" s="38">
        <f t="shared" si="16"/>
        <v>1</v>
      </c>
      <c r="J1714" s="55"/>
    </row>
    <row r="1715" spans="1:10" ht="15" customHeight="1" x14ac:dyDescent="0.2">
      <c r="A1715" s="50">
        <f t="array" ref="A1715">+INDEX(Partidas!$A:$J,MATCH('Resultados dashboard'!$B1715,Partidas!$C:$C,0),2)</f>
        <v>46003</v>
      </c>
      <c r="B1715" s="56">
        <f>+IF(COUNTIF($B$2:B1714,B1714)=VLOOKUP(B1714,Partidas!$C:$J,8,0),B1714+1,B1714)</f>
        <v>379</v>
      </c>
      <c r="C1715" s="41" t="str">
        <f t="array" ref="C1715">+INDEX(Partidas!$A:$J,MATCH('Resultados dashboard'!$B1715,Partidas!$C:$C,0),3+COUNTIF($B$2:B1715,'Resultados dashboard'!$B1715))</f>
        <v>Gallo</v>
      </c>
      <c r="D1715" s="54">
        <v>7</v>
      </c>
      <c r="E1715" s="53"/>
      <c r="F1715" s="53"/>
      <c r="G1715" s="53"/>
      <c r="H1715" s="38">
        <f t="shared" si="14"/>
        <v>7</v>
      </c>
      <c r="I1715" s="38">
        <f t="shared" si="16"/>
        <v>2</v>
      </c>
      <c r="J1715" s="55"/>
    </row>
    <row r="1716" spans="1:10" ht="15" customHeight="1" x14ac:dyDescent="0.2">
      <c r="A1716" s="50">
        <f t="array" ref="A1716">+INDEX(Partidas!$A:$J,MATCH('Resultados dashboard'!$B1716,Partidas!$C:$C,0),2)</f>
        <v>46003</v>
      </c>
      <c r="B1716" s="56">
        <f>+IF(COUNTIF($B$2:B1715,B1715)=VLOOKUP(B1715,Partidas!$C:$J,8,0),B1715+1,B1715)</f>
        <v>379</v>
      </c>
      <c r="C1716" s="41" t="str">
        <f t="array" ref="C1716">+INDEX(Partidas!$A:$J,MATCH('Resultados dashboard'!$B1716,Partidas!$C:$C,0),3+COUNTIF($B$2:B1716,'Resultados dashboard'!$B1716))</f>
        <v>Ivo</v>
      </c>
      <c r="D1716" s="54">
        <v>7</v>
      </c>
      <c r="E1716" s="53"/>
      <c r="F1716" s="53"/>
      <c r="G1716" s="53"/>
      <c r="H1716" s="38">
        <f t="shared" si="14"/>
        <v>7</v>
      </c>
      <c r="I1716" s="38">
        <f t="shared" si="16"/>
        <v>2</v>
      </c>
      <c r="J1716" s="55"/>
    </row>
    <row r="1717" spans="1:10" ht="15" customHeight="1" x14ac:dyDescent="0.2">
      <c r="A1717" s="50">
        <f t="array" ref="A1717">+INDEX(Partidas!$A:$J,MATCH('Resultados dashboard'!$B1717,Partidas!$C:$C,0),2)</f>
        <v>46003</v>
      </c>
      <c r="B1717" s="56">
        <f>+IF(COUNTIF($B$2:B1716,B1716)=VLOOKUP(B1716,Partidas!$C:$J,8,0),B1716+1,B1716)</f>
        <v>379</v>
      </c>
      <c r="C1717" s="41" t="str">
        <f t="array" ref="C1717">+INDEX(Partidas!$A:$J,MATCH('Resultados dashboard'!$B1717,Partidas!$C:$C,0),3+COUNTIF($B$2:B1717,'Resultados dashboard'!$B1717))</f>
        <v>Gaspa</v>
      </c>
      <c r="D1717" s="54">
        <v>6</v>
      </c>
      <c r="E1717" s="54">
        <v>2</v>
      </c>
      <c r="F1717" s="53"/>
      <c r="G1717" s="54">
        <v>1</v>
      </c>
      <c r="H1717" s="38">
        <f t="shared" si="14"/>
        <v>10</v>
      </c>
      <c r="I1717" s="38">
        <f t="shared" si="16"/>
        <v>1</v>
      </c>
      <c r="J1717" s="55"/>
    </row>
    <row r="1718" spans="1:10" ht="15" customHeight="1" x14ac:dyDescent="0.2">
      <c r="A1718" s="50">
        <f t="array" ref="A1718">+INDEX(Partidas!$A:$J,MATCH('Resultados dashboard'!$B1718,Partidas!$C:$C,0),2)</f>
        <v>46003</v>
      </c>
      <c r="B1718" s="56">
        <f>+IF(COUNTIF($B$2:B1717,B1717)=VLOOKUP(B1717,Partidas!$C:$J,8,0),B1717+1,B1717)</f>
        <v>379</v>
      </c>
      <c r="C1718" s="41" t="str">
        <f t="array" ref="C1718">+INDEX(Partidas!$A:$J,MATCH('Resultados dashboard'!$B1718,Partidas!$C:$C,0),3+COUNTIF($B$2:B1718,'Resultados dashboard'!$B1718))</f>
        <v>Gasta</v>
      </c>
      <c r="D1718" s="54">
        <v>4</v>
      </c>
      <c r="E1718" s="54">
        <v>1</v>
      </c>
      <c r="F1718" s="54">
        <v>1</v>
      </c>
      <c r="G1718" s="53"/>
      <c r="H1718" s="38">
        <f t="shared" si="14"/>
        <v>7</v>
      </c>
      <c r="I1718" s="38">
        <f t="shared" si="16"/>
        <v>2</v>
      </c>
      <c r="J1718" s="55"/>
    </row>
    <row r="1719" spans="1:10" ht="15" customHeight="1" x14ac:dyDescent="0.2">
      <c r="A1719" s="50">
        <f t="array" ref="A1719">+INDEX(Partidas!$A:$J,MATCH('Resultados dashboard'!$B1719,Partidas!$C:$C,0),2)</f>
        <v>46003</v>
      </c>
      <c r="B1719" s="56">
        <f>+IF(COUNTIF($B$2:B1718,B1718)=VLOOKUP(B1718,Partidas!$C:$J,8,0),B1718+1,B1718)</f>
        <v>380</v>
      </c>
      <c r="C1719" s="41" t="str">
        <f t="array" ref="C1719">+INDEX(Partidas!$A:$J,MATCH('Resultados dashboard'!$B1719,Partidas!$C:$C,0),3+COUNTIF($B$2:B1719,'Resultados dashboard'!$B1719))</f>
        <v>Gallo</v>
      </c>
      <c r="D1719" s="54">
        <v>6</v>
      </c>
      <c r="E1719" s="53"/>
      <c r="F1719" s="54">
        <v>1</v>
      </c>
      <c r="G1719" s="53"/>
      <c r="H1719" s="38">
        <f t="shared" si="14"/>
        <v>8</v>
      </c>
      <c r="I1719" s="38">
        <f t="shared" si="16"/>
        <v>2</v>
      </c>
      <c r="J1719" s="55"/>
    </row>
    <row r="1720" spans="1:10" ht="15" customHeight="1" x14ac:dyDescent="0.2">
      <c r="A1720" s="50">
        <f t="array" ref="A1720">+INDEX(Partidas!$A:$J,MATCH('Resultados dashboard'!$B1720,Partidas!$C:$C,0),2)</f>
        <v>46003</v>
      </c>
      <c r="B1720" s="56">
        <f>+IF(COUNTIF($B$2:B1719,B1719)=VLOOKUP(B1719,Partidas!$C:$J,8,0),B1719+1,B1719)</f>
        <v>380</v>
      </c>
      <c r="C1720" s="41" t="str">
        <f t="array" ref="C1720">+INDEX(Partidas!$A:$J,MATCH('Resultados dashboard'!$B1720,Partidas!$C:$C,0),3+COUNTIF($B$2:B1720,'Resultados dashboard'!$B1720))</f>
        <v>Ivo</v>
      </c>
      <c r="D1720" s="54">
        <v>6</v>
      </c>
      <c r="E1720" s="53"/>
      <c r="F1720" s="53"/>
      <c r="G1720" s="53"/>
      <c r="H1720" s="38">
        <f t="shared" si="14"/>
        <v>6</v>
      </c>
      <c r="I1720" s="38">
        <f t="shared" si="16"/>
        <v>3</v>
      </c>
      <c r="J1720" s="55"/>
    </row>
    <row r="1721" spans="1:10" ht="15" customHeight="1" x14ac:dyDescent="0.2">
      <c r="A1721" s="50">
        <f t="array" ref="A1721">+INDEX(Partidas!$A:$J,MATCH('Resultados dashboard'!$B1721,Partidas!$C:$C,0),2)</f>
        <v>46003</v>
      </c>
      <c r="B1721" s="56">
        <f>+IF(COUNTIF($B$2:B1720,B1720)=VLOOKUP(B1720,Partidas!$C:$J,8,0),B1720+1,B1720)</f>
        <v>380</v>
      </c>
      <c r="C1721" s="41" t="str">
        <f t="array" ref="C1721">+INDEX(Partidas!$A:$J,MATCH('Resultados dashboard'!$B1721,Partidas!$C:$C,0),3+COUNTIF($B$2:B1721,'Resultados dashboard'!$B1721))</f>
        <v>Gaspa</v>
      </c>
      <c r="D1721" s="54">
        <v>5</v>
      </c>
      <c r="E1721" s="54">
        <v>1</v>
      </c>
      <c r="F1721" s="53"/>
      <c r="G1721" s="53"/>
      <c r="H1721" s="38">
        <f t="shared" si="14"/>
        <v>6</v>
      </c>
      <c r="I1721" s="38">
        <f t="shared" si="16"/>
        <v>3</v>
      </c>
      <c r="J1721" s="55"/>
    </row>
    <row r="1722" spans="1:10" ht="15" customHeight="1" x14ac:dyDescent="0.2">
      <c r="A1722" s="50">
        <f t="array" ref="A1722">+INDEX(Partidas!$A:$J,MATCH('Resultados dashboard'!$B1722,Partidas!$C:$C,0),2)</f>
        <v>46003</v>
      </c>
      <c r="B1722" s="56">
        <f>+IF(COUNTIF($B$2:B1721,B1721)=VLOOKUP(B1721,Partidas!$C:$J,8,0),B1721+1,B1721)</f>
        <v>380</v>
      </c>
      <c r="C1722" s="41" t="str">
        <f t="array" ref="C1722">+INDEX(Partidas!$A:$J,MATCH('Resultados dashboard'!$B1722,Partidas!$C:$C,0),3+COUNTIF($B$2:B1722,'Resultados dashboard'!$B1722))</f>
        <v>Gasta</v>
      </c>
      <c r="D1722" s="54">
        <v>8</v>
      </c>
      <c r="E1722" s="53"/>
      <c r="F1722" s="53"/>
      <c r="G1722" s="54">
        <v>1</v>
      </c>
      <c r="H1722" s="38">
        <f t="shared" si="14"/>
        <v>10</v>
      </c>
      <c r="I1722" s="38">
        <f t="shared" si="16"/>
        <v>1</v>
      </c>
      <c r="J1722" s="55"/>
    </row>
    <row r="1723" spans="1:10" ht="15" customHeight="1" x14ac:dyDescent="0.2">
      <c r="A1723" s="50">
        <f t="array" ref="A1723">+INDEX(Partidas!$A:$J,MATCH('Resultados dashboard'!$B1723,Partidas!$C:$C,0),2)</f>
        <v>46003</v>
      </c>
      <c r="B1723" s="56">
        <f>+IF(COUNTIF($B$2:B1722,B1722)=VLOOKUP(B1722,Partidas!$C:$J,8,0),B1722+1,B1722)</f>
        <v>380</v>
      </c>
      <c r="C1723" s="41" t="str">
        <f t="array" ref="C1723">+INDEX(Partidas!$A:$J,MATCH('Resultados dashboard'!$B1723,Partidas!$C:$C,0),3+COUNTIF($B$2:B1723,'Resultados dashboard'!$B1723))</f>
        <v>Hugo</v>
      </c>
      <c r="D1723" s="54">
        <v>5</v>
      </c>
      <c r="E1723" s="54">
        <v>1</v>
      </c>
      <c r="F1723" s="53"/>
      <c r="G1723" s="53"/>
      <c r="H1723" s="38">
        <f t="shared" si="14"/>
        <v>6</v>
      </c>
      <c r="I1723" s="38">
        <f t="shared" si="16"/>
        <v>3</v>
      </c>
      <c r="J1723" s="55"/>
    </row>
    <row r="1724" spans="1:10" ht="15" customHeight="1" x14ac:dyDescent="0.2">
      <c r="A1724" s="50">
        <f t="array" ref="A1724">+INDEX(Partidas!$A:$J,MATCH('Resultados dashboard'!$B1724,Partidas!$C:$C,0),2)</f>
        <v>46003</v>
      </c>
      <c r="B1724" s="56">
        <f>+IF(COUNTIF($B$2:B1723,B1723)=VLOOKUP(B1723,Partidas!$C:$J,8,0),B1723+1,B1723)</f>
        <v>381</v>
      </c>
      <c r="C1724" s="41" t="str">
        <f t="array" ref="C1724">+INDEX(Partidas!$A:$J,MATCH('Resultados dashboard'!$B1724,Partidas!$C:$C,0),3+COUNTIF($B$2:B1724,'Resultados dashboard'!$B1724))</f>
        <v>Gallo</v>
      </c>
      <c r="D1724" s="54">
        <v>7</v>
      </c>
      <c r="E1724" s="53"/>
      <c r="F1724" s="53"/>
      <c r="G1724" s="53"/>
      <c r="H1724" s="38">
        <f t="shared" si="14"/>
        <v>7</v>
      </c>
      <c r="I1724" s="38">
        <f t="shared" si="16"/>
        <v>4</v>
      </c>
      <c r="J1724" s="55"/>
    </row>
    <row r="1725" spans="1:10" ht="15" customHeight="1" x14ac:dyDescent="0.2">
      <c r="A1725" s="50">
        <f t="array" ref="A1725">+INDEX(Partidas!$A:$J,MATCH('Resultados dashboard'!$B1725,Partidas!$C:$C,0),2)</f>
        <v>46003</v>
      </c>
      <c r="B1725" s="56">
        <f>+IF(COUNTIF($B$2:B1724,B1724)=VLOOKUP(B1724,Partidas!$C:$J,8,0),B1724+1,B1724)</f>
        <v>381</v>
      </c>
      <c r="C1725" s="41" t="str">
        <f t="array" ref="C1725">+INDEX(Partidas!$A:$J,MATCH('Resultados dashboard'!$B1725,Partidas!$C:$C,0),3+COUNTIF($B$2:B1725,'Resultados dashboard'!$B1725))</f>
        <v>Ivo</v>
      </c>
      <c r="D1725" s="54">
        <v>8</v>
      </c>
      <c r="E1725" s="53"/>
      <c r="F1725" s="53"/>
      <c r="G1725" s="53"/>
      <c r="H1725" s="38">
        <f t="shared" si="14"/>
        <v>8</v>
      </c>
      <c r="I1725" s="38">
        <f t="shared" si="16"/>
        <v>3</v>
      </c>
      <c r="J1725" s="55"/>
    </row>
    <row r="1726" spans="1:10" ht="15" customHeight="1" x14ac:dyDescent="0.2">
      <c r="A1726" s="50">
        <f t="array" ref="A1726">+INDEX(Partidas!$A:$J,MATCH('Resultados dashboard'!$B1726,Partidas!$C:$C,0),2)</f>
        <v>46003</v>
      </c>
      <c r="B1726" s="56">
        <f>+IF(COUNTIF($B$2:B1725,B1725)=VLOOKUP(B1725,Partidas!$C:$J,8,0),B1725+1,B1725)</f>
        <v>381</v>
      </c>
      <c r="C1726" s="41" t="str">
        <f t="array" ref="C1726">+INDEX(Partidas!$A:$J,MATCH('Resultados dashboard'!$B1726,Partidas!$C:$C,0),3+COUNTIF($B$2:B1726,'Resultados dashboard'!$B1726))</f>
        <v>Gaspa</v>
      </c>
      <c r="D1726" s="54">
        <v>5</v>
      </c>
      <c r="E1726" s="53"/>
      <c r="F1726" s="53"/>
      <c r="G1726" s="53"/>
      <c r="H1726" s="38">
        <f t="shared" si="14"/>
        <v>5</v>
      </c>
      <c r="I1726" s="38">
        <f t="shared" si="16"/>
        <v>5</v>
      </c>
      <c r="J1726" s="55"/>
    </row>
    <row r="1727" spans="1:10" ht="15" customHeight="1" x14ac:dyDescent="0.2">
      <c r="A1727" s="50">
        <f t="array" ref="A1727">+INDEX(Partidas!$A:$J,MATCH('Resultados dashboard'!$B1727,Partidas!$C:$C,0),2)</f>
        <v>46003</v>
      </c>
      <c r="B1727" s="56">
        <f>+IF(COUNTIF($B$2:B1726,B1726)=VLOOKUP(B1726,Partidas!$C:$J,8,0),B1726+1,B1726)</f>
        <v>381</v>
      </c>
      <c r="C1727" s="41" t="str">
        <f t="array" ref="C1727">+INDEX(Partidas!$A:$J,MATCH('Resultados dashboard'!$B1727,Partidas!$C:$C,0),3+COUNTIF($B$2:B1727,'Resultados dashboard'!$B1727))</f>
        <v>Gasta</v>
      </c>
      <c r="D1727" s="54">
        <v>7</v>
      </c>
      <c r="E1727" s="53"/>
      <c r="F1727" s="53"/>
      <c r="G1727" s="54">
        <v>1</v>
      </c>
      <c r="H1727" s="38">
        <f t="shared" si="14"/>
        <v>9</v>
      </c>
      <c r="I1727" s="38">
        <f t="shared" si="16"/>
        <v>2</v>
      </c>
      <c r="J1727" s="55"/>
    </row>
    <row r="1728" spans="1:10" ht="15" customHeight="1" x14ac:dyDescent="0.2">
      <c r="A1728" s="50">
        <f t="array" ref="A1728">+INDEX(Partidas!$A:$J,MATCH('Resultados dashboard'!$B1728,Partidas!$C:$C,0),2)</f>
        <v>46003</v>
      </c>
      <c r="B1728" s="56">
        <f>+IF(COUNTIF($B$2:B1727,B1727)=VLOOKUP(B1727,Partidas!$C:$J,8,0),B1727+1,B1727)</f>
        <v>381</v>
      </c>
      <c r="C1728" s="41" t="str">
        <f t="array" ref="C1728">+INDEX(Partidas!$A:$J,MATCH('Resultados dashboard'!$B1728,Partidas!$C:$C,0),3+COUNTIF($B$2:B1728,'Resultados dashboard'!$B1728))</f>
        <v>Hugo</v>
      </c>
      <c r="D1728" s="54">
        <v>5</v>
      </c>
      <c r="E1728" s="54">
        <v>3</v>
      </c>
      <c r="F1728" s="54">
        <v>1</v>
      </c>
      <c r="G1728" s="53"/>
      <c r="H1728" s="38">
        <f t="shared" si="14"/>
        <v>10</v>
      </c>
      <c r="I1728" s="38">
        <f t="shared" si="16"/>
        <v>1</v>
      </c>
      <c r="J1728" s="55"/>
    </row>
    <row r="1729" spans="1:10" ht="15" customHeight="1" x14ac:dyDescent="0.2">
      <c r="A1729" s="50">
        <f t="array" ref="A1729">+INDEX(Partidas!$A:$J,MATCH('Resultados dashboard'!$B1729,Partidas!$C:$C,0),2)</f>
        <v>46011</v>
      </c>
      <c r="B1729" s="56">
        <f>+IF(COUNTIF($B$2:B1728,B1728)=VLOOKUP(B1728,Partidas!$C:$J,8,0),B1728+1,B1728)</f>
        <v>382</v>
      </c>
      <c r="C1729" s="41" t="str">
        <f t="array" ref="C1729">+INDEX(Partidas!$A:$J,MATCH('Resultados dashboard'!$B1729,Partidas!$C:$C,0),3+COUNTIF($B$2:B1729,'Resultados dashboard'!$B1729))</f>
        <v>Gallo</v>
      </c>
      <c r="D1729" s="54">
        <v>6</v>
      </c>
      <c r="E1729" s="54">
        <v>2</v>
      </c>
      <c r="F1729" s="54">
        <v>1</v>
      </c>
      <c r="G1729" s="53"/>
      <c r="H1729" s="38">
        <f t="shared" si="14"/>
        <v>10</v>
      </c>
      <c r="I1729" s="38">
        <f t="shared" si="16"/>
        <v>1</v>
      </c>
      <c r="J1729" s="55"/>
    </row>
    <row r="1730" spans="1:10" ht="15" customHeight="1" x14ac:dyDescent="0.2">
      <c r="A1730" s="50">
        <f t="array" ref="A1730">+INDEX(Partidas!$A:$J,MATCH('Resultados dashboard'!$B1730,Partidas!$C:$C,0),2)</f>
        <v>46011</v>
      </c>
      <c r="B1730" s="56">
        <f>+IF(COUNTIF($B$2:B1729,B1729)=VLOOKUP(B1729,Partidas!$C:$J,8,0),B1729+1,B1729)</f>
        <v>382</v>
      </c>
      <c r="C1730" s="41" t="str">
        <f t="array" ref="C1730">+INDEX(Partidas!$A:$J,MATCH('Resultados dashboard'!$B1730,Partidas!$C:$C,0),3+COUNTIF($B$2:B1730,'Resultados dashboard'!$B1730))</f>
        <v>Ivo</v>
      </c>
      <c r="D1730" s="54">
        <v>8</v>
      </c>
      <c r="E1730" s="53"/>
      <c r="F1730" s="53"/>
      <c r="G1730" s="53"/>
      <c r="H1730" s="38">
        <f t="shared" si="14"/>
        <v>8</v>
      </c>
      <c r="I1730" s="38">
        <f t="shared" si="16"/>
        <v>2</v>
      </c>
      <c r="J1730" s="55"/>
    </row>
    <row r="1731" spans="1:10" ht="15" customHeight="1" x14ac:dyDescent="0.2">
      <c r="A1731" s="50">
        <f t="array" ref="A1731">+INDEX(Partidas!$A:$J,MATCH('Resultados dashboard'!$B1731,Partidas!$C:$C,0),2)</f>
        <v>46011</v>
      </c>
      <c r="B1731" s="56">
        <f>+IF(COUNTIF($B$2:B1730,B1730)=VLOOKUP(B1730,Partidas!$C:$J,8,0),B1730+1,B1730)</f>
        <v>382</v>
      </c>
      <c r="C1731" s="41" t="str">
        <f t="array" ref="C1731">+INDEX(Partidas!$A:$J,MATCH('Resultados dashboard'!$B1731,Partidas!$C:$C,0),3+COUNTIF($B$2:B1731,'Resultados dashboard'!$B1731))</f>
        <v>Gaspa</v>
      </c>
      <c r="D1731" s="54">
        <v>4</v>
      </c>
      <c r="E1731" s="54">
        <v>1</v>
      </c>
      <c r="F1731" s="53"/>
      <c r="G1731" s="54">
        <v>1</v>
      </c>
      <c r="H1731" s="38">
        <f t="shared" si="14"/>
        <v>7</v>
      </c>
      <c r="I1731" s="38">
        <f t="shared" si="16"/>
        <v>3</v>
      </c>
      <c r="J1731" s="55"/>
    </row>
    <row r="1732" spans="1:10" ht="15" customHeight="1" x14ac:dyDescent="0.2">
      <c r="A1732" s="50">
        <f t="array" ref="A1732">+INDEX(Partidas!$A:$J,MATCH('Resultados dashboard'!$B1732,Partidas!$C:$C,0),2)</f>
        <v>46011</v>
      </c>
      <c r="B1732" s="56">
        <f>+IF(COUNTIF($B$2:B1731,B1731)=VLOOKUP(B1731,Partidas!$C:$J,8,0),B1731+1,B1731)</f>
        <v>382</v>
      </c>
      <c r="C1732" s="41" t="str">
        <f t="array" ref="C1732">+INDEX(Partidas!$A:$J,MATCH('Resultados dashboard'!$B1732,Partidas!$C:$C,0),3+COUNTIF($B$2:B1732,'Resultados dashboard'!$B1732))</f>
        <v>Moch</v>
      </c>
      <c r="D1732" s="54">
        <v>4</v>
      </c>
      <c r="E1732" s="53"/>
      <c r="F1732" s="53"/>
      <c r="G1732" s="53"/>
      <c r="H1732" s="38">
        <f t="shared" si="14"/>
        <v>4</v>
      </c>
      <c r="I1732" s="38">
        <f t="shared" si="16"/>
        <v>5</v>
      </c>
      <c r="J1732" s="55"/>
    </row>
    <row r="1733" spans="1:10" ht="15" customHeight="1" x14ac:dyDescent="0.2">
      <c r="A1733" s="50">
        <f t="array" ref="A1733">+INDEX(Partidas!$A:$J,MATCH('Resultados dashboard'!$B1733,Partidas!$C:$C,0),2)</f>
        <v>46011</v>
      </c>
      <c r="B1733" s="56">
        <f>+IF(COUNTIF($B$2:B1732,B1732)=VLOOKUP(B1732,Partidas!$C:$J,8,0),B1732+1,B1732)</f>
        <v>382</v>
      </c>
      <c r="C1733" s="41" t="str">
        <f t="array" ref="C1733">+INDEX(Partidas!$A:$J,MATCH('Resultados dashboard'!$B1733,Partidas!$C:$C,0),3+COUNTIF($B$2:B1733,'Resultados dashboard'!$B1733))</f>
        <v>Hugo</v>
      </c>
      <c r="D1733" s="54">
        <v>6</v>
      </c>
      <c r="E1733" s="53"/>
      <c r="F1733" s="53"/>
      <c r="G1733" s="53"/>
      <c r="H1733" s="38">
        <f t="shared" si="14"/>
        <v>6</v>
      </c>
      <c r="I1733" s="38">
        <f t="shared" si="16"/>
        <v>4</v>
      </c>
      <c r="J1733" s="55"/>
    </row>
    <row r="1734" spans="1:10" ht="15" customHeight="1" x14ac:dyDescent="0.2">
      <c r="A1734" s="50">
        <f t="array" ref="A1734">+INDEX(Partidas!$A:$J,MATCH('Resultados dashboard'!$B1734,Partidas!$C:$C,0),2)</f>
        <v>46011</v>
      </c>
      <c r="B1734" s="56">
        <f>+IF(COUNTIF($B$2:B1733,B1733)=VLOOKUP(B1733,Partidas!$C:$J,8,0),B1733+1,B1733)</f>
        <v>383</v>
      </c>
      <c r="C1734" s="41" t="str">
        <f t="array" ref="C1734">+INDEX(Partidas!$A:$J,MATCH('Resultados dashboard'!$B1734,Partidas!$C:$C,0),3+COUNTIF($B$2:B1734,'Resultados dashboard'!$B1734))</f>
        <v>Gallo</v>
      </c>
      <c r="D1734" s="54">
        <v>8</v>
      </c>
      <c r="E1734" s="54">
        <v>1</v>
      </c>
      <c r="F1734" s="53"/>
      <c r="G1734" s="53"/>
      <c r="H1734" s="38">
        <f t="shared" si="14"/>
        <v>9</v>
      </c>
      <c r="I1734" s="38">
        <f t="shared" si="16"/>
        <v>2</v>
      </c>
      <c r="J1734" s="55"/>
    </row>
    <row r="1735" spans="1:10" ht="15" customHeight="1" x14ac:dyDescent="0.2">
      <c r="A1735" s="50">
        <f t="array" ref="A1735">+INDEX(Partidas!$A:$J,MATCH('Resultados dashboard'!$B1735,Partidas!$C:$C,0),2)</f>
        <v>46011</v>
      </c>
      <c r="B1735" s="56">
        <f>+IF(COUNTIF($B$2:B1734,B1734)=VLOOKUP(B1734,Partidas!$C:$J,8,0),B1734+1,B1734)</f>
        <v>383</v>
      </c>
      <c r="C1735" s="41" t="str">
        <f t="array" ref="C1735">+INDEX(Partidas!$A:$J,MATCH('Resultados dashboard'!$B1735,Partidas!$C:$C,0),3+COUNTIF($B$2:B1735,'Resultados dashboard'!$B1735))</f>
        <v>Ivo</v>
      </c>
      <c r="D1735" s="54">
        <v>4</v>
      </c>
      <c r="E1735" s="54">
        <v>1</v>
      </c>
      <c r="F1735" s="53"/>
      <c r="G1735" s="53"/>
      <c r="H1735" s="38">
        <f t="shared" si="14"/>
        <v>5</v>
      </c>
      <c r="I1735" s="38">
        <f t="shared" si="16"/>
        <v>5</v>
      </c>
      <c r="J1735" s="55"/>
    </row>
    <row r="1736" spans="1:10" ht="15" customHeight="1" x14ac:dyDescent="0.2">
      <c r="A1736" s="50">
        <f t="array" ref="A1736">+INDEX(Partidas!$A:$J,MATCH('Resultados dashboard'!$B1736,Partidas!$C:$C,0),2)</f>
        <v>46011</v>
      </c>
      <c r="B1736" s="56">
        <f>+IF(COUNTIF($B$2:B1735,B1735)=VLOOKUP(B1735,Partidas!$C:$J,8,0),B1735+1,B1735)</f>
        <v>383</v>
      </c>
      <c r="C1736" s="41" t="str">
        <f t="array" ref="C1736">+INDEX(Partidas!$A:$J,MATCH('Resultados dashboard'!$B1736,Partidas!$C:$C,0),3+COUNTIF($B$2:B1736,'Resultados dashboard'!$B1736))</f>
        <v>Gaspa</v>
      </c>
      <c r="D1736" s="54">
        <v>7</v>
      </c>
      <c r="E1736" s="53"/>
      <c r="F1736" s="53"/>
      <c r="G1736" s="53"/>
      <c r="H1736" s="38">
        <f t="shared" si="14"/>
        <v>7</v>
      </c>
      <c r="I1736" s="38">
        <f t="shared" si="16"/>
        <v>3</v>
      </c>
      <c r="J1736" s="55"/>
    </row>
    <row r="1737" spans="1:10" ht="15" customHeight="1" x14ac:dyDescent="0.2">
      <c r="A1737" s="50">
        <f t="array" ref="A1737">+INDEX(Partidas!$A:$J,MATCH('Resultados dashboard'!$B1737,Partidas!$C:$C,0),2)</f>
        <v>46011</v>
      </c>
      <c r="B1737" s="56">
        <f>+IF(COUNTIF($B$2:B1736,B1736)=VLOOKUP(B1736,Partidas!$C:$J,8,0),B1736+1,B1736)</f>
        <v>383</v>
      </c>
      <c r="C1737" s="41" t="str">
        <f t="array" ref="C1737">+INDEX(Partidas!$A:$J,MATCH('Resultados dashboard'!$B1737,Partidas!$C:$C,0),3+COUNTIF($B$2:B1737,'Resultados dashboard'!$B1737))</f>
        <v>Moch</v>
      </c>
      <c r="D1737" s="54">
        <v>8</v>
      </c>
      <c r="E1737" s="53"/>
      <c r="F1737" s="53"/>
      <c r="G1737" s="54">
        <v>1</v>
      </c>
      <c r="H1737" s="38">
        <f t="shared" si="14"/>
        <v>10</v>
      </c>
      <c r="I1737" s="38">
        <f t="shared" si="16"/>
        <v>1</v>
      </c>
      <c r="J1737" s="55"/>
    </row>
    <row r="1738" spans="1:10" ht="15" customHeight="1" x14ac:dyDescent="0.2">
      <c r="A1738" s="50">
        <f t="array" ref="A1738">+INDEX(Partidas!$A:$J,MATCH('Resultados dashboard'!$B1738,Partidas!$C:$C,0),2)</f>
        <v>46011</v>
      </c>
      <c r="B1738" s="56">
        <f>+IF(COUNTIF($B$2:B1737,B1737)=VLOOKUP(B1737,Partidas!$C:$J,8,0),B1737+1,B1737)</f>
        <v>383</v>
      </c>
      <c r="C1738" s="41" t="str">
        <f t="array" ref="C1738">+INDEX(Partidas!$A:$J,MATCH('Resultados dashboard'!$B1738,Partidas!$C:$C,0),3+COUNTIF($B$2:B1738,'Resultados dashboard'!$B1738))</f>
        <v>Hugo</v>
      </c>
      <c r="D1738" s="54">
        <v>5</v>
      </c>
      <c r="E1738" s="54">
        <v>2</v>
      </c>
      <c r="F1738" s="53"/>
      <c r="G1738" s="53"/>
      <c r="H1738" s="38">
        <f t="shared" si="14"/>
        <v>7</v>
      </c>
      <c r="I1738" s="38">
        <f t="shared" si="16"/>
        <v>3</v>
      </c>
      <c r="J1738" s="55"/>
    </row>
    <row r="1739" spans="1:10" ht="15" customHeight="1" x14ac:dyDescent="0.2">
      <c r="A1739" s="50">
        <f t="array" ref="A1739">+INDEX(Partidas!$A:$J,MATCH('Resultados dashboard'!$B1739,Partidas!$C:$C,0),2)</f>
        <v>46011</v>
      </c>
      <c r="B1739" s="56">
        <f>+IF(COUNTIF($B$2:B1738,B1738)=VLOOKUP(B1738,Partidas!$C:$J,8,0),B1738+1,B1738)</f>
        <v>384</v>
      </c>
      <c r="C1739" s="41" t="str">
        <f t="array" ref="C1739">+INDEX(Partidas!$A:$J,MATCH('Resultados dashboard'!$B1739,Partidas!$C:$C,0),3+COUNTIF($B$2:B1739,'Resultados dashboard'!$B1739))</f>
        <v>Gallo</v>
      </c>
      <c r="D1739" s="54">
        <v>7</v>
      </c>
      <c r="E1739" s="53"/>
      <c r="F1739" s="53"/>
      <c r="G1739" s="53"/>
      <c r="H1739" s="38">
        <f t="shared" si="14"/>
        <v>7</v>
      </c>
      <c r="I1739" s="38">
        <f t="shared" si="16"/>
        <v>3</v>
      </c>
      <c r="J1739" s="55"/>
    </row>
    <row r="1740" spans="1:10" ht="15" customHeight="1" x14ac:dyDescent="0.2">
      <c r="A1740" s="50">
        <f t="array" ref="A1740">+INDEX(Partidas!$A:$J,MATCH('Resultados dashboard'!$B1740,Partidas!$C:$C,0),2)</f>
        <v>46011</v>
      </c>
      <c r="B1740" s="56">
        <f>+IF(COUNTIF($B$2:B1739,B1739)=VLOOKUP(B1739,Partidas!$C:$J,8,0),B1739+1,B1739)</f>
        <v>384</v>
      </c>
      <c r="C1740" s="41" t="str">
        <f t="array" ref="C1740">+INDEX(Partidas!$A:$J,MATCH('Resultados dashboard'!$B1740,Partidas!$C:$C,0),3+COUNTIF($B$2:B1740,'Resultados dashboard'!$B1740))</f>
        <v>Ivo</v>
      </c>
      <c r="D1740" s="54">
        <v>5</v>
      </c>
      <c r="E1740" s="53"/>
      <c r="F1740" s="53"/>
      <c r="G1740" s="53"/>
      <c r="H1740" s="38">
        <f t="shared" si="14"/>
        <v>5</v>
      </c>
      <c r="I1740" s="38">
        <f t="shared" si="16"/>
        <v>5</v>
      </c>
      <c r="J1740" s="55"/>
    </row>
    <row r="1741" spans="1:10" ht="15" customHeight="1" x14ac:dyDescent="0.2">
      <c r="A1741" s="50">
        <f t="array" ref="A1741">+INDEX(Partidas!$A:$J,MATCH('Resultados dashboard'!$B1741,Partidas!$C:$C,0),2)</f>
        <v>46011</v>
      </c>
      <c r="B1741" s="56">
        <f>+IF(COUNTIF($B$2:B1740,B1740)=VLOOKUP(B1740,Partidas!$C:$J,8,0),B1740+1,B1740)</f>
        <v>384</v>
      </c>
      <c r="C1741" s="41" t="str">
        <f t="array" ref="C1741">+INDEX(Partidas!$A:$J,MATCH('Resultados dashboard'!$B1741,Partidas!$C:$C,0),3+COUNTIF($B$2:B1741,'Resultados dashboard'!$B1741))</f>
        <v>Gaspa</v>
      </c>
      <c r="D1741" s="54">
        <v>7</v>
      </c>
      <c r="E1741" s="53"/>
      <c r="F1741" s="53"/>
      <c r="G1741" s="53"/>
      <c r="H1741" s="38">
        <f t="shared" si="14"/>
        <v>7</v>
      </c>
      <c r="I1741" s="38">
        <f t="shared" si="16"/>
        <v>3</v>
      </c>
      <c r="J1741" s="55"/>
    </row>
    <row r="1742" spans="1:10" ht="15" customHeight="1" x14ac:dyDescent="0.2">
      <c r="A1742" s="50">
        <f t="array" ref="A1742">+INDEX(Partidas!$A:$J,MATCH('Resultados dashboard'!$B1742,Partidas!$C:$C,0),2)</f>
        <v>46011</v>
      </c>
      <c r="B1742" s="56">
        <f>+IF(COUNTIF($B$2:B1741,B1741)=VLOOKUP(B1741,Partidas!$C:$J,8,0),B1741+1,B1741)</f>
        <v>384</v>
      </c>
      <c r="C1742" s="41" t="str">
        <f t="array" ref="C1742">+INDEX(Partidas!$A:$J,MATCH('Resultados dashboard'!$B1742,Partidas!$C:$C,0),3+COUNTIF($B$2:B1742,'Resultados dashboard'!$B1742))</f>
        <v>Moch</v>
      </c>
      <c r="D1742" s="54">
        <v>7</v>
      </c>
      <c r="E1742" s="53"/>
      <c r="F1742" s="53"/>
      <c r="G1742" s="54">
        <v>1</v>
      </c>
      <c r="H1742" s="38">
        <f t="shared" si="14"/>
        <v>9</v>
      </c>
      <c r="I1742" s="38">
        <f t="shared" si="16"/>
        <v>2</v>
      </c>
      <c r="J1742" s="55"/>
    </row>
    <row r="1743" spans="1:10" ht="15" customHeight="1" x14ac:dyDescent="0.2">
      <c r="A1743" s="50">
        <f t="array" ref="A1743">+INDEX(Partidas!$A:$J,MATCH('Resultados dashboard'!$B1743,Partidas!$C:$C,0),2)</f>
        <v>46011</v>
      </c>
      <c r="B1743" s="56">
        <f>+IF(COUNTIF($B$2:B1742,B1742)=VLOOKUP(B1742,Partidas!$C:$J,8,0),B1742+1,B1742)</f>
        <v>384</v>
      </c>
      <c r="C1743" s="41" t="str">
        <f t="array" ref="C1743">+INDEX(Partidas!$A:$J,MATCH('Resultados dashboard'!$B1743,Partidas!$C:$C,0),3+COUNTIF($B$2:B1743,'Resultados dashboard'!$B1743))</f>
        <v>Hugo</v>
      </c>
      <c r="D1743" s="54">
        <v>8</v>
      </c>
      <c r="E1743" s="53"/>
      <c r="F1743" s="54">
        <v>1</v>
      </c>
      <c r="G1743" s="53"/>
      <c r="H1743" s="38">
        <f t="shared" si="14"/>
        <v>10</v>
      </c>
      <c r="I1743" s="38">
        <f t="shared" si="16"/>
        <v>1</v>
      </c>
      <c r="J1743" s="55"/>
    </row>
    <row r="1744" spans="1:10" ht="15" customHeight="1" x14ac:dyDescent="0.2">
      <c r="A1744" s="50">
        <f t="array" ref="A1744">+INDEX(Partidas!$A:$J,MATCH('Resultados dashboard'!$B1744,Partidas!$C:$C,0),2)</f>
        <v>46011</v>
      </c>
      <c r="B1744" s="56">
        <f>+IF(COUNTIF($B$2:B1743,B1743)=VLOOKUP(B1743,Partidas!$C:$J,8,0),B1743+1,B1743)</f>
        <v>385</v>
      </c>
      <c r="C1744" s="41" t="str">
        <f t="array" ref="C1744">+INDEX(Partidas!$A:$J,MATCH('Resultados dashboard'!$B1744,Partidas!$C:$C,0),3+COUNTIF($B$2:B1744,'Resultados dashboard'!$B1744))</f>
        <v>Gallo</v>
      </c>
      <c r="D1744" s="54">
        <v>6</v>
      </c>
      <c r="E1744" s="54">
        <v>1</v>
      </c>
      <c r="F1744" s="53"/>
      <c r="G1744" s="53"/>
      <c r="H1744" s="38">
        <f t="shared" si="14"/>
        <v>7</v>
      </c>
      <c r="I1744" s="38">
        <f t="shared" si="16"/>
        <v>3</v>
      </c>
      <c r="J1744" s="55"/>
    </row>
    <row r="1745" spans="1:10" ht="15" customHeight="1" x14ac:dyDescent="0.2">
      <c r="A1745" s="50">
        <f t="array" ref="A1745">+INDEX(Partidas!$A:$J,MATCH('Resultados dashboard'!$B1745,Partidas!$C:$C,0),2)</f>
        <v>46011</v>
      </c>
      <c r="B1745" s="56">
        <f>+IF(COUNTIF($B$2:B1744,B1744)=VLOOKUP(B1744,Partidas!$C:$J,8,0),B1744+1,B1744)</f>
        <v>385</v>
      </c>
      <c r="C1745" s="41" t="str">
        <f t="array" ref="C1745">+INDEX(Partidas!$A:$J,MATCH('Resultados dashboard'!$B1745,Partidas!$C:$C,0),3+COUNTIF($B$2:B1745,'Resultados dashboard'!$B1745))</f>
        <v>Ivo</v>
      </c>
      <c r="D1745" s="54">
        <v>8</v>
      </c>
      <c r="E1745" s="54">
        <v>1</v>
      </c>
      <c r="F1745" s="53"/>
      <c r="G1745" s="53"/>
      <c r="H1745" s="38">
        <f t="shared" si="14"/>
        <v>9</v>
      </c>
      <c r="I1745" s="38">
        <f t="shared" si="16"/>
        <v>2</v>
      </c>
      <c r="J1745" s="55"/>
    </row>
    <row r="1746" spans="1:10" ht="15" customHeight="1" x14ac:dyDescent="0.2">
      <c r="A1746" s="50">
        <f t="array" ref="A1746">+INDEX(Partidas!$A:$J,MATCH('Resultados dashboard'!$B1746,Partidas!$C:$C,0),2)</f>
        <v>46011</v>
      </c>
      <c r="B1746" s="56">
        <f>+IF(COUNTIF($B$2:B1745,B1745)=VLOOKUP(B1745,Partidas!$C:$J,8,0),B1745+1,B1745)</f>
        <v>385</v>
      </c>
      <c r="C1746" s="41" t="str">
        <f t="array" ref="C1746">+INDEX(Partidas!$A:$J,MATCH('Resultados dashboard'!$B1746,Partidas!$C:$C,0),3+COUNTIF($B$2:B1746,'Resultados dashboard'!$B1746))</f>
        <v>Gaspa</v>
      </c>
      <c r="D1746" s="54">
        <v>5</v>
      </c>
      <c r="E1746" s="54">
        <v>1</v>
      </c>
      <c r="F1746" s="53"/>
      <c r="G1746" s="53"/>
      <c r="H1746" s="38">
        <f t="shared" si="14"/>
        <v>6</v>
      </c>
      <c r="I1746" s="38">
        <f t="shared" si="16"/>
        <v>5</v>
      </c>
      <c r="J1746" s="55"/>
    </row>
    <row r="1747" spans="1:10" ht="15" customHeight="1" x14ac:dyDescent="0.2">
      <c r="A1747" s="50">
        <f t="array" ref="A1747">+INDEX(Partidas!$A:$J,MATCH('Resultados dashboard'!$B1747,Partidas!$C:$C,0),2)</f>
        <v>46011</v>
      </c>
      <c r="B1747" s="56">
        <f>+IF(COUNTIF($B$2:B1746,B1746)=VLOOKUP(B1746,Partidas!$C:$J,8,0),B1746+1,B1746)</f>
        <v>385</v>
      </c>
      <c r="C1747" s="41" t="str">
        <f t="array" ref="C1747">+INDEX(Partidas!$A:$J,MATCH('Resultados dashboard'!$B1747,Partidas!$C:$C,0),3+COUNTIF($B$2:B1747,'Resultados dashboard'!$B1747))</f>
        <v>Moch</v>
      </c>
      <c r="D1747" s="54">
        <v>6</v>
      </c>
      <c r="E1747" s="54">
        <v>2</v>
      </c>
      <c r="F1747" s="53"/>
      <c r="G1747" s="54">
        <v>1</v>
      </c>
      <c r="H1747" s="38">
        <f t="shared" si="14"/>
        <v>10</v>
      </c>
      <c r="I1747" s="38">
        <f t="shared" si="16"/>
        <v>1</v>
      </c>
      <c r="J1747" s="55"/>
    </row>
    <row r="1748" spans="1:10" ht="15" customHeight="1" x14ac:dyDescent="0.2">
      <c r="A1748" s="50">
        <f t="array" ref="A1748">+INDEX(Partidas!$A:$J,MATCH('Resultados dashboard'!$B1748,Partidas!$C:$C,0),2)</f>
        <v>46011</v>
      </c>
      <c r="B1748" s="56">
        <f>+IF(COUNTIF($B$2:B1747,B1747)=VLOOKUP(B1747,Partidas!$C:$J,8,0),B1747+1,B1747)</f>
        <v>385</v>
      </c>
      <c r="C1748" s="41" t="str">
        <f t="array" ref="C1748">+INDEX(Partidas!$A:$J,MATCH('Resultados dashboard'!$B1748,Partidas!$C:$C,0),3+COUNTIF($B$2:B1748,'Resultados dashboard'!$B1748))</f>
        <v>Hugo</v>
      </c>
      <c r="D1748" s="54">
        <v>5</v>
      </c>
      <c r="E1748" s="53"/>
      <c r="F1748" s="54">
        <v>1</v>
      </c>
      <c r="G1748" s="53"/>
      <c r="H1748" s="38">
        <f t="shared" si="14"/>
        <v>7</v>
      </c>
      <c r="I1748" s="38">
        <f t="shared" si="16"/>
        <v>3</v>
      </c>
      <c r="J1748" s="55"/>
    </row>
    <row r="1749" spans="1:10" ht="15" customHeight="1" x14ac:dyDescent="0.2">
      <c r="A1749" s="50">
        <f t="array" ref="A1749">+INDEX(Partidas!$A:$J,MATCH('Resultados dashboard'!$B1749,Partidas!$C:$C,0),2)</f>
        <v>46011</v>
      </c>
      <c r="B1749" s="56">
        <f>+IF(COUNTIF($B$2:B1748,B1748)=VLOOKUP(B1748,Partidas!$C:$J,8,0),B1748+1,B1748)</f>
        <v>386</v>
      </c>
      <c r="C1749" s="41" t="str">
        <f t="array" ref="C1749">+INDEX(Partidas!$A:$J,MATCH('Resultados dashboard'!$B1749,Partidas!$C:$C,0),3+COUNTIF($B$2:B1749,'Resultados dashboard'!$B1749))</f>
        <v>Gallo</v>
      </c>
      <c r="D1749" s="54">
        <v>9</v>
      </c>
      <c r="E1749" s="53"/>
      <c r="F1749" s="53"/>
      <c r="G1749" s="53"/>
      <c r="H1749" s="38">
        <f t="shared" si="14"/>
        <v>9</v>
      </c>
      <c r="I1749" s="38">
        <f t="shared" si="16"/>
        <v>2</v>
      </c>
      <c r="J1749" s="55"/>
    </row>
    <row r="1750" spans="1:10" ht="15" customHeight="1" x14ac:dyDescent="0.2">
      <c r="A1750" s="50">
        <f t="array" ref="A1750">+INDEX(Partidas!$A:$J,MATCH('Resultados dashboard'!$B1750,Partidas!$C:$C,0),2)</f>
        <v>46011</v>
      </c>
      <c r="B1750" s="56">
        <f>+IF(COUNTIF($B$2:B1749,B1749)=VLOOKUP(B1749,Partidas!$C:$J,8,0),B1749+1,B1749)</f>
        <v>386</v>
      </c>
      <c r="C1750" s="41" t="str">
        <f t="array" ref="C1750">+INDEX(Partidas!$A:$J,MATCH('Resultados dashboard'!$B1750,Partidas!$C:$C,0),3+COUNTIF($B$2:B1750,'Resultados dashboard'!$B1750))</f>
        <v>Ivo</v>
      </c>
      <c r="D1750" s="54">
        <v>6</v>
      </c>
      <c r="E1750" s="54">
        <v>1</v>
      </c>
      <c r="F1750" s="53"/>
      <c r="G1750" s="53"/>
      <c r="H1750" s="38">
        <f t="shared" si="14"/>
        <v>7</v>
      </c>
      <c r="I1750" s="38">
        <f t="shared" si="16"/>
        <v>4</v>
      </c>
      <c r="J1750" s="55"/>
    </row>
    <row r="1751" spans="1:10" ht="15" customHeight="1" x14ac:dyDescent="0.2">
      <c r="A1751" s="50">
        <f t="array" ref="A1751">+INDEX(Partidas!$A:$J,MATCH('Resultados dashboard'!$B1751,Partidas!$C:$C,0),2)</f>
        <v>46011</v>
      </c>
      <c r="B1751" s="56">
        <f>+IF(COUNTIF($B$2:B1750,B1750)=VLOOKUP(B1750,Partidas!$C:$J,8,0),B1750+1,B1750)</f>
        <v>386</v>
      </c>
      <c r="C1751" s="41" t="str">
        <f t="array" ref="C1751">+INDEX(Partidas!$A:$J,MATCH('Resultados dashboard'!$B1751,Partidas!$C:$C,0),3+COUNTIF($B$2:B1751,'Resultados dashboard'!$B1751))</f>
        <v>Gaspa</v>
      </c>
      <c r="D1751" s="54">
        <v>4</v>
      </c>
      <c r="E1751" s="53"/>
      <c r="F1751" s="53"/>
      <c r="G1751" s="53"/>
      <c r="H1751" s="38">
        <f t="shared" si="14"/>
        <v>4</v>
      </c>
      <c r="I1751" s="38">
        <f t="shared" si="16"/>
        <v>5</v>
      </c>
      <c r="J1751" s="55"/>
    </row>
    <row r="1752" spans="1:10" ht="15" customHeight="1" x14ac:dyDescent="0.2">
      <c r="A1752" s="50">
        <f t="array" ref="A1752">+INDEX(Partidas!$A:$J,MATCH('Resultados dashboard'!$B1752,Partidas!$C:$C,0),2)</f>
        <v>46011</v>
      </c>
      <c r="B1752" s="56">
        <f>+IF(COUNTIF($B$2:B1751,B1751)=VLOOKUP(B1751,Partidas!$C:$J,8,0),B1751+1,B1751)</f>
        <v>386</v>
      </c>
      <c r="C1752" s="41" t="str">
        <f t="array" ref="C1752">+INDEX(Partidas!$A:$J,MATCH('Resultados dashboard'!$B1752,Partidas!$C:$C,0),3+COUNTIF($B$2:B1752,'Resultados dashboard'!$B1752))</f>
        <v>Moch</v>
      </c>
      <c r="D1752" s="54">
        <v>7</v>
      </c>
      <c r="E1752" s="53"/>
      <c r="F1752" s="53"/>
      <c r="G1752" s="54">
        <v>1</v>
      </c>
      <c r="H1752" s="38">
        <f t="shared" si="14"/>
        <v>9</v>
      </c>
      <c r="I1752" s="38">
        <f t="shared" si="16"/>
        <v>2</v>
      </c>
      <c r="J1752" s="55"/>
    </row>
    <row r="1753" spans="1:10" ht="15" customHeight="1" x14ac:dyDescent="0.2">
      <c r="A1753" s="50">
        <f t="array" ref="A1753">+INDEX(Partidas!$A:$J,MATCH('Resultados dashboard'!$B1753,Partidas!$C:$C,0),2)</f>
        <v>46011</v>
      </c>
      <c r="B1753" s="56">
        <f>+IF(COUNTIF($B$2:B1752,B1752)=VLOOKUP(B1752,Partidas!$C:$J,8,0),B1752+1,B1752)</f>
        <v>386</v>
      </c>
      <c r="C1753" s="41" t="str">
        <f t="array" ref="C1753">+INDEX(Partidas!$A:$J,MATCH('Resultados dashboard'!$B1753,Partidas!$C:$C,0),3+COUNTIF($B$2:B1753,'Resultados dashboard'!$B1753))</f>
        <v>Hugo</v>
      </c>
      <c r="D1753" s="54">
        <v>8</v>
      </c>
      <c r="E1753" s="54">
        <v>1</v>
      </c>
      <c r="F1753" s="54">
        <v>1</v>
      </c>
      <c r="G1753" s="53"/>
      <c r="H1753" s="38">
        <f t="shared" si="14"/>
        <v>11</v>
      </c>
      <c r="I1753" s="38">
        <f t="shared" si="16"/>
        <v>1</v>
      </c>
      <c r="J1753" s="55"/>
    </row>
    <row r="1754" spans="1:10" ht="15" customHeight="1" x14ac:dyDescent="0.2">
      <c r="A1754" s="50">
        <f t="array" ref="A1754">+INDEX(Partidas!$A:$J,MATCH('Resultados dashboard'!$B1754,Partidas!$C:$C,0),2)</f>
        <v>46011</v>
      </c>
      <c r="B1754" s="56">
        <f>+IF(COUNTIF($B$2:B1753,B1753)=VLOOKUP(B1753,Partidas!$C:$J,8,0),B1753+1,B1753)</f>
        <v>387</v>
      </c>
      <c r="C1754" s="41" t="str">
        <f t="array" ref="C1754">+INDEX(Partidas!$A:$J,MATCH('Resultados dashboard'!$B1754,Partidas!$C:$C,0),3+COUNTIF($B$2:B1754,'Resultados dashboard'!$B1754))</f>
        <v>Gallo</v>
      </c>
      <c r="D1754" s="54">
        <v>8</v>
      </c>
      <c r="E1754" s="53"/>
      <c r="F1754" s="53"/>
      <c r="G1754" s="53"/>
      <c r="H1754" s="38">
        <f t="shared" si="14"/>
        <v>8</v>
      </c>
      <c r="I1754" s="38">
        <f t="shared" si="16"/>
        <v>2</v>
      </c>
      <c r="J1754" s="55"/>
    </row>
    <row r="1755" spans="1:10" ht="15" customHeight="1" x14ac:dyDescent="0.2">
      <c r="A1755" s="50">
        <f t="array" ref="A1755">+INDEX(Partidas!$A:$J,MATCH('Resultados dashboard'!$B1755,Partidas!$C:$C,0),2)</f>
        <v>46011</v>
      </c>
      <c r="B1755" s="56">
        <f>+IF(COUNTIF($B$2:B1754,B1754)=VLOOKUP(B1754,Partidas!$C:$J,8,0),B1754+1,B1754)</f>
        <v>387</v>
      </c>
      <c r="C1755" s="41" t="str">
        <f t="array" ref="C1755">+INDEX(Partidas!$A:$J,MATCH('Resultados dashboard'!$B1755,Partidas!$C:$C,0),3+COUNTIF($B$2:B1755,'Resultados dashboard'!$B1755))</f>
        <v>Hugo</v>
      </c>
      <c r="D1755" s="54">
        <v>7</v>
      </c>
      <c r="E1755" s="53"/>
      <c r="F1755" s="53"/>
      <c r="G1755" s="53"/>
      <c r="H1755" s="38">
        <f t="shared" si="14"/>
        <v>7</v>
      </c>
      <c r="I1755" s="38">
        <f t="shared" si="16"/>
        <v>3</v>
      </c>
      <c r="J1755" s="55"/>
    </row>
    <row r="1756" spans="1:10" ht="15" customHeight="1" x14ac:dyDescent="0.2">
      <c r="A1756" s="50">
        <f t="array" ref="A1756">+INDEX(Partidas!$A:$J,MATCH('Resultados dashboard'!$B1756,Partidas!$C:$C,0),2)</f>
        <v>46011</v>
      </c>
      <c r="B1756" s="56">
        <f>+IF(COUNTIF($B$2:B1755,B1755)=VLOOKUP(B1755,Partidas!$C:$J,8,0),B1755+1,B1755)</f>
        <v>387</v>
      </c>
      <c r="C1756" s="41" t="str">
        <f t="array" ref="C1756">+INDEX(Partidas!$A:$J,MATCH('Resultados dashboard'!$B1756,Partidas!$C:$C,0),3+COUNTIF($B$2:B1756,'Resultados dashboard'!$B1756))</f>
        <v>Moch</v>
      </c>
      <c r="D1756" s="54">
        <v>6</v>
      </c>
      <c r="E1756" s="54">
        <v>1</v>
      </c>
      <c r="F1756" s="53"/>
      <c r="G1756" s="53"/>
      <c r="H1756" s="38">
        <f t="shared" si="14"/>
        <v>7</v>
      </c>
      <c r="I1756" s="38">
        <f t="shared" si="16"/>
        <v>3</v>
      </c>
      <c r="J1756" s="55"/>
    </row>
    <row r="1757" spans="1:10" ht="15" customHeight="1" x14ac:dyDescent="0.2">
      <c r="A1757" s="50">
        <f t="array" ref="A1757">+INDEX(Partidas!$A:$J,MATCH('Resultados dashboard'!$B1757,Partidas!$C:$C,0),2)</f>
        <v>46011</v>
      </c>
      <c r="B1757" s="56">
        <f>+IF(COUNTIF($B$2:B1756,B1756)=VLOOKUP(B1756,Partidas!$C:$J,8,0),B1756+1,B1756)</f>
        <v>387</v>
      </c>
      <c r="C1757" s="41" t="str">
        <f t="array" ref="C1757">+INDEX(Partidas!$A:$J,MATCH('Resultados dashboard'!$B1757,Partidas!$C:$C,0),3+COUNTIF($B$2:B1757,'Resultados dashboard'!$B1757))</f>
        <v>Abegol</v>
      </c>
      <c r="D1757" s="54">
        <v>7</v>
      </c>
      <c r="E1757" s="54">
        <v>1</v>
      </c>
      <c r="F1757" s="53"/>
      <c r="G1757" s="54">
        <v>1</v>
      </c>
      <c r="H1757" s="38">
        <f t="shared" si="14"/>
        <v>10</v>
      </c>
      <c r="I1757" s="38">
        <f t="shared" si="16"/>
        <v>1</v>
      </c>
      <c r="J1757" s="55"/>
    </row>
    <row r="1758" spans="1:10" ht="15" customHeight="1" x14ac:dyDescent="0.2">
      <c r="A1758" s="50">
        <f t="array" ref="A1758">+INDEX(Partidas!$A:$J,MATCH('Resultados dashboard'!$B1758,Partidas!$C:$C,0),2)</f>
        <v>46027</v>
      </c>
      <c r="B1758" s="56">
        <f>+IF(COUNTIF($B$2:B1757,B1757)=VLOOKUP(B1757,Partidas!$C:$J,8,0),B1757+1,B1757)</f>
        <v>388</v>
      </c>
      <c r="C1758" s="41" t="str">
        <f t="array" ref="C1758">+INDEX(Partidas!$A:$J,MATCH('Resultados dashboard'!$B1758,Partidas!$C:$C,0),3+COUNTIF($B$2:B1758,'Resultados dashboard'!$B1758))</f>
        <v>Gallo</v>
      </c>
      <c r="D1758" s="54">
        <v>5</v>
      </c>
      <c r="E1758" s="53"/>
      <c r="F1758" s="53"/>
      <c r="G1758" s="53"/>
      <c r="H1758" s="38">
        <f t="shared" si="14"/>
        <v>5</v>
      </c>
      <c r="I1758" s="38">
        <f t="shared" si="16"/>
        <v>5</v>
      </c>
      <c r="J1758" s="55"/>
    </row>
    <row r="1759" spans="1:10" ht="15" customHeight="1" x14ac:dyDescent="0.2">
      <c r="A1759" s="50">
        <f t="array" ref="A1759">+INDEX(Partidas!$A:$J,MATCH('Resultados dashboard'!$B1759,Partidas!$C:$C,0),2)</f>
        <v>46027</v>
      </c>
      <c r="B1759" s="56">
        <f>+IF(COUNTIF($B$2:B1758,B1758)=VLOOKUP(B1758,Partidas!$C:$J,8,0),B1758+1,B1758)</f>
        <v>388</v>
      </c>
      <c r="C1759" s="41" t="str">
        <f t="array" ref="C1759">+INDEX(Partidas!$A:$J,MATCH('Resultados dashboard'!$B1759,Partidas!$C:$C,0),3+COUNTIF($B$2:B1759,'Resultados dashboard'!$B1759))</f>
        <v>Ivo</v>
      </c>
      <c r="D1759" s="54">
        <v>5</v>
      </c>
      <c r="E1759" s="53"/>
      <c r="F1759" s="54">
        <v>1</v>
      </c>
      <c r="G1759" s="53"/>
      <c r="H1759" s="38">
        <f t="shared" si="14"/>
        <v>7</v>
      </c>
      <c r="I1759" s="38">
        <f t="shared" si="16"/>
        <v>3</v>
      </c>
      <c r="J1759" s="55"/>
    </row>
    <row r="1760" spans="1:10" ht="15" customHeight="1" x14ac:dyDescent="0.2">
      <c r="A1760" s="50">
        <f t="array" ref="A1760">+INDEX(Partidas!$A:$J,MATCH('Resultados dashboard'!$B1760,Partidas!$C:$C,0),2)</f>
        <v>46027</v>
      </c>
      <c r="B1760" s="56">
        <f>+IF(COUNTIF($B$2:B1759,B1759)=VLOOKUP(B1759,Partidas!$C:$J,8,0),B1759+1,B1759)</f>
        <v>388</v>
      </c>
      <c r="C1760" s="41" t="str">
        <f t="array" ref="C1760">+INDEX(Partidas!$A:$J,MATCH('Resultados dashboard'!$B1760,Partidas!$C:$C,0),3+COUNTIF($B$2:B1760,'Resultados dashboard'!$B1760))</f>
        <v>Moch</v>
      </c>
      <c r="D1760" s="54">
        <v>8</v>
      </c>
      <c r="E1760" s="53"/>
      <c r="F1760" s="53"/>
      <c r="G1760" s="54">
        <v>1</v>
      </c>
      <c r="H1760" s="38">
        <f t="shared" si="14"/>
        <v>10</v>
      </c>
      <c r="I1760" s="38">
        <f t="shared" si="16"/>
        <v>1</v>
      </c>
      <c r="J1760" s="55"/>
    </row>
    <row r="1761" spans="1:10" ht="15" customHeight="1" x14ac:dyDescent="0.2">
      <c r="A1761" s="50">
        <f t="array" ref="A1761">+INDEX(Partidas!$A:$J,MATCH('Resultados dashboard'!$B1761,Partidas!$C:$C,0),2)</f>
        <v>46027</v>
      </c>
      <c r="B1761" s="56">
        <f>+IF(COUNTIF($B$2:B1760,B1760)=VLOOKUP(B1760,Partidas!$C:$J,8,0),B1760+1,B1760)</f>
        <v>388</v>
      </c>
      <c r="C1761" s="41" t="str">
        <f t="array" ref="C1761">+INDEX(Partidas!$A:$J,MATCH('Resultados dashboard'!$B1761,Partidas!$C:$C,0),3+COUNTIF($B$2:B1761,'Resultados dashboard'!$B1761))</f>
        <v>Hugo</v>
      </c>
      <c r="D1761" s="54">
        <v>4</v>
      </c>
      <c r="E1761" s="54">
        <v>2</v>
      </c>
      <c r="F1761" s="53"/>
      <c r="G1761" s="53"/>
      <c r="H1761" s="38">
        <f t="shared" si="14"/>
        <v>6</v>
      </c>
      <c r="I1761" s="38">
        <f t="shared" si="16"/>
        <v>4</v>
      </c>
      <c r="J1761" s="55"/>
    </row>
    <row r="1762" spans="1:10" ht="15" customHeight="1" x14ac:dyDescent="0.2">
      <c r="A1762" s="50">
        <f t="array" ref="A1762">+INDEX(Partidas!$A:$J,MATCH('Resultados dashboard'!$B1762,Partidas!$C:$C,0),2)</f>
        <v>46027</v>
      </c>
      <c r="B1762" s="56">
        <f>+IF(COUNTIF($B$2:B1761,B1761)=VLOOKUP(B1761,Partidas!$C:$J,8,0),B1761+1,B1761)</f>
        <v>388</v>
      </c>
      <c r="C1762" s="41" t="str">
        <f t="array" ref="C1762">+INDEX(Partidas!$A:$J,MATCH('Resultados dashboard'!$B1762,Partidas!$C:$C,0),3+COUNTIF($B$2:B1762,'Resultados dashboard'!$B1762))</f>
        <v>Gaspa</v>
      </c>
      <c r="D1762" s="54">
        <v>4</v>
      </c>
      <c r="E1762" s="53"/>
      <c r="F1762" s="53"/>
      <c r="G1762" s="53"/>
      <c r="H1762" s="38">
        <f t="shared" si="14"/>
        <v>4</v>
      </c>
      <c r="I1762" s="38">
        <f t="shared" si="16"/>
        <v>6</v>
      </c>
      <c r="J1762" s="55"/>
    </row>
    <row r="1763" spans="1:10" ht="15" customHeight="1" x14ac:dyDescent="0.2">
      <c r="A1763" s="50">
        <f t="array" ref="A1763">+INDEX(Partidas!$A:$J,MATCH('Resultados dashboard'!$B1763,Partidas!$C:$C,0),2)</f>
        <v>46027</v>
      </c>
      <c r="B1763" s="56">
        <f>+IF(COUNTIF($B$2:B1762,B1762)=VLOOKUP(B1762,Partidas!$C:$J,8,0),B1762+1,B1762)</f>
        <v>388</v>
      </c>
      <c r="C1763" s="41" t="str">
        <f t="array" ref="C1763">+INDEX(Partidas!$A:$J,MATCH('Resultados dashboard'!$B1763,Partidas!$C:$C,0),3+COUNTIF($B$2:B1763,'Resultados dashboard'!$B1763))</f>
        <v>Max</v>
      </c>
      <c r="D1763" s="54">
        <v>8</v>
      </c>
      <c r="E1763" s="53"/>
      <c r="F1763" s="53"/>
      <c r="G1763" s="53"/>
      <c r="H1763" s="38">
        <f t="shared" si="14"/>
        <v>8</v>
      </c>
      <c r="I1763" s="38">
        <f t="shared" si="16"/>
        <v>2</v>
      </c>
      <c r="J1763" s="55"/>
    </row>
    <row r="1764" spans="1:10" ht="15" customHeight="1" x14ac:dyDescent="0.2">
      <c r="A1764" s="50">
        <f t="array" ref="A1764">+INDEX(Partidas!$A:$J,MATCH('Resultados dashboard'!$B1764,Partidas!$C:$C,0),2)</f>
        <v>46027</v>
      </c>
      <c r="B1764" s="56">
        <f>+IF(COUNTIF($B$2:B1763,B1763)=VLOOKUP(B1763,Partidas!$C:$J,8,0),B1763+1,B1763)</f>
        <v>389</v>
      </c>
      <c r="C1764" s="41" t="str">
        <f t="array" ref="C1764">+INDEX(Partidas!$A:$J,MATCH('Resultados dashboard'!$B1764,Partidas!$C:$C,0),3+COUNTIF($B$2:B1764,'Resultados dashboard'!$B1764))</f>
        <v>Gallo</v>
      </c>
      <c r="D1764" s="54">
        <v>6</v>
      </c>
      <c r="E1764" s="54">
        <v>3</v>
      </c>
      <c r="F1764" s="53"/>
      <c r="G1764" s="53"/>
      <c r="H1764" s="38">
        <f t="shared" si="14"/>
        <v>9</v>
      </c>
      <c r="I1764" s="38">
        <f t="shared" si="16"/>
        <v>2</v>
      </c>
      <c r="J1764" s="55"/>
    </row>
    <row r="1765" spans="1:10" ht="15" customHeight="1" x14ac:dyDescent="0.2">
      <c r="A1765" s="50">
        <f t="array" ref="A1765">+INDEX(Partidas!$A:$J,MATCH('Resultados dashboard'!$B1765,Partidas!$C:$C,0),2)</f>
        <v>46027</v>
      </c>
      <c r="B1765" s="56">
        <f>+IF(COUNTIF($B$2:B1764,B1764)=VLOOKUP(B1764,Partidas!$C:$J,8,0),B1764+1,B1764)</f>
        <v>389</v>
      </c>
      <c r="C1765" s="41" t="str">
        <f t="array" ref="C1765">+INDEX(Partidas!$A:$J,MATCH('Resultados dashboard'!$B1765,Partidas!$C:$C,0),3+COUNTIF($B$2:B1765,'Resultados dashboard'!$B1765))</f>
        <v>Ivo</v>
      </c>
      <c r="D1765" s="54">
        <v>5</v>
      </c>
      <c r="E1765" s="53"/>
      <c r="F1765" s="53"/>
      <c r="G1765" s="53"/>
      <c r="H1765" s="38">
        <f t="shared" si="14"/>
        <v>5</v>
      </c>
      <c r="I1765" s="38">
        <f t="shared" si="16"/>
        <v>5</v>
      </c>
      <c r="J1765" s="55"/>
    </row>
    <row r="1766" spans="1:10" ht="15" customHeight="1" x14ac:dyDescent="0.2">
      <c r="A1766" s="50">
        <f t="array" ref="A1766">+INDEX(Partidas!$A:$J,MATCH('Resultados dashboard'!$B1766,Partidas!$C:$C,0),2)</f>
        <v>46027</v>
      </c>
      <c r="B1766" s="56">
        <f>+IF(COUNTIF($B$2:B1765,B1765)=VLOOKUP(B1765,Partidas!$C:$J,8,0),B1765+1,B1765)</f>
        <v>389</v>
      </c>
      <c r="C1766" s="41" t="str">
        <f t="array" ref="C1766">+INDEX(Partidas!$A:$J,MATCH('Resultados dashboard'!$B1766,Partidas!$C:$C,0),3+COUNTIF($B$2:B1766,'Resultados dashboard'!$B1766))</f>
        <v>Moch</v>
      </c>
      <c r="D1766" s="54">
        <v>5</v>
      </c>
      <c r="E1766" s="54">
        <v>1</v>
      </c>
      <c r="F1766" s="53"/>
      <c r="G1766" s="53"/>
      <c r="H1766" s="38">
        <f t="shared" si="14"/>
        <v>6</v>
      </c>
      <c r="I1766" s="38">
        <f t="shared" si="16"/>
        <v>4</v>
      </c>
      <c r="J1766" s="55"/>
    </row>
    <row r="1767" spans="1:10" ht="15" customHeight="1" x14ac:dyDescent="0.2">
      <c r="A1767" s="50">
        <f t="array" ref="A1767">+INDEX(Partidas!$A:$J,MATCH('Resultados dashboard'!$B1767,Partidas!$C:$C,0),2)</f>
        <v>46027</v>
      </c>
      <c r="B1767" s="56">
        <f>+IF(COUNTIF($B$2:B1766,B1766)=VLOOKUP(B1766,Partidas!$C:$J,8,0),B1766+1,B1766)</f>
        <v>389</v>
      </c>
      <c r="C1767" s="41" t="str">
        <f t="array" ref="C1767">+INDEX(Partidas!$A:$J,MATCH('Resultados dashboard'!$B1767,Partidas!$C:$C,0),3+COUNTIF($B$2:B1767,'Resultados dashboard'!$B1767))</f>
        <v>Hugo</v>
      </c>
      <c r="D1767" s="54">
        <v>7</v>
      </c>
      <c r="E1767" s="54">
        <v>1</v>
      </c>
      <c r="F1767" s="53"/>
      <c r="G1767" s="54">
        <v>1</v>
      </c>
      <c r="H1767" s="38">
        <f t="shared" si="14"/>
        <v>10</v>
      </c>
      <c r="I1767" s="38">
        <f t="shared" si="16"/>
        <v>1</v>
      </c>
      <c r="J1767" s="55"/>
    </row>
    <row r="1768" spans="1:10" ht="15" customHeight="1" x14ac:dyDescent="0.2">
      <c r="A1768" s="50">
        <f t="array" ref="A1768">+INDEX(Partidas!$A:$J,MATCH('Resultados dashboard'!$B1768,Partidas!$C:$C,0),2)</f>
        <v>46027</v>
      </c>
      <c r="B1768" s="56">
        <f>+IF(COUNTIF($B$2:B1767,B1767)=VLOOKUP(B1767,Partidas!$C:$J,8,0),B1767+1,B1767)</f>
        <v>389</v>
      </c>
      <c r="C1768" s="41" t="str">
        <f t="array" ref="C1768">+INDEX(Partidas!$A:$J,MATCH('Resultados dashboard'!$B1768,Partidas!$C:$C,0),3+COUNTIF($B$2:B1768,'Resultados dashboard'!$B1768))</f>
        <v>Gaspa</v>
      </c>
      <c r="D1768" s="54">
        <v>6</v>
      </c>
      <c r="E1768" s="53"/>
      <c r="F1768" s="54">
        <v>1</v>
      </c>
      <c r="G1768" s="53"/>
      <c r="H1768" s="38">
        <f t="shared" si="14"/>
        <v>8</v>
      </c>
      <c r="I1768" s="38">
        <f t="shared" si="16"/>
        <v>3</v>
      </c>
      <c r="J1768" s="55"/>
    </row>
    <row r="1769" spans="1:10" ht="15" customHeight="1" x14ac:dyDescent="0.2">
      <c r="A1769" s="50">
        <f t="array" ref="A1769">+INDEX(Partidas!$A:$J,MATCH('Resultados dashboard'!$B1769,Partidas!$C:$C,0),2)</f>
        <v>46027</v>
      </c>
      <c r="B1769" s="56">
        <f>+IF(COUNTIF($B$2:B1768,B1768)=VLOOKUP(B1768,Partidas!$C:$J,8,0),B1768+1,B1768)</f>
        <v>389</v>
      </c>
      <c r="C1769" s="41" t="str">
        <f t="array" ref="C1769">+INDEX(Partidas!$A:$J,MATCH('Resultados dashboard'!$B1769,Partidas!$C:$C,0),3+COUNTIF($B$2:B1769,'Resultados dashboard'!$B1769))</f>
        <v>Max</v>
      </c>
      <c r="D1769" s="54">
        <v>4</v>
      </c>
      <c r="E1769" s="53"/>
      <c r="F1769" s="53"/>
      <c r="G1769" s="53"/>
      <c r="H1769" s="38">
        <f t="shared" si="14"/>
        <v>4</v>
      </c>
      <c r="I1769" s="38">
        <f t="shared" si="16"/>
        <v>6</v>
      </c>
      <c r="J1769" s="55"/>
    </row>
    <row r="1770" spans="1:10" ht="15" customHeight="1" x14ac:dyDescent="0.2">
      <c r="A1770" s="50">
        <f t="array" ref="A1770">+INDEX(Partidas!$A:$J,MATCH('Resultados dashboard'!$B1770,Partidas!$C:$C,0),2)</f>
        <v>46027</v>
      </c>
      <c r="B1770" s="56">
        <f>+IF(COUNTIF($B$2:B1769,B1769)=VLOOKUP(B1769,Partidas!$C:$J,8,0),B1769+1,B1769)</f>
        <v>390</v>
      </c>
      <c r="C1770" s="41" t="str">
        <f t="array" ref="C1770">+INDEX(Partidas!$A:$J,MATCH('Resultados dashboard'!$B1770,Partidas!$C:$C,0),3+COUNTIF($B$2:B1770,'Resultados dashboard'!$B1770))</f>
        <v>Gallo</v>
      </c>
      <c r="D1770" s="54">
        <v>6</v>
      </c>
      <c r="E1770" s="54">
        <v>1</v>
      </c>
      <c r="F1770" s="53"/>
      <c r="G1770" s="53"/>
      <c r="H1770" s="38">
        <f t="shared" si="14"/>
        <v>7</v>
      </c>
      <c r="I1770" s="38">
        <f t="shared" si="16"/>
        <v>5</v>
      </c>
      <c r="J1770" s="55"/>
    </row>
    <row r="1771" spans="1:10" ht="15" customHeight="1" x14ac:dyDescent="0.2">
      <c r="A1771" s="50">
        <f t="array" ref="A1771">+INDEX(Partidas!$A:$J,MATCH('Resultados dashboard'!$B1771,Partidas!$C:$C,0),2)</f>
        <v>46027</v>
      </c>
      <c r="B1771" s="56">
        <f>+IF(COUNTIF($B$2:B1770,B1770)=VLOOKUP(B1770,Partidas!$C:$J,8,0),B1770+1,B1770)</f>
        <v>390</v>
      </c>
      <c r="C1771" s="41" t="str">
        <f t="array" ref="C1771">+INDEX(Partidas!$A:$J,MATCH('Resultados dashboard'!$B1771,Partidas!$C:$C,0),3+COUNTIF($B$2:B1771,'Resultados dashboard'!$B1771))</f>
        <v>Ivo</v>
      </c>
      <c r="D1771" s="54">
        <v>8</v>
      </c>
      <c r="E1771" s="54">
        <v>2</v>
      </c>
      <c r="F1771" s="53"/>
      <c r="G1771" s="53"/>
      <c r="H1771" s="38">
        <f t="shared" si="14"/>
        <v>10</v>
      </c>
      <c r="I1771" s="38">
        <f t="shared" si="16"/>
        <v>1</v>
      </c>
      <c r="J1771" s="55"/>
    </row>
    <row r="1772" spans="1:10" ht="15" customHeight="1" x14ac:dyDescent="0.2">
      <c r="A1772" s="50">
        <f t="array" ref="A1772">+INDEX(Partidas!$A:$J,MATCH('Resultados dashboard'!$B1772,Partidas!$C:$C,0),2)</f>
        <v>46027</v>
      </c>
      <c r="B1772" s="56">
        <f>+IF(COUNTIF($B$2:B1771,B1771)=VLOOKUP(B1771,Partidas!$C:$J,8,0),B1771+1,B1771)</f>
        <v>390</v>
      </c>
      <c r="C1772" s="41" t="str">
        <f t="array" ref="C1772">+INDEX(Partidas!$A:$J,MATCH('Resultados dashboard'!$B1772,Partidas!$C:$C,0),3+COUNTIF($B$2:B1772,'Resultados dashboard'!$B1772))</f>
        <v>Moch</v>
      </c>
      <c r="D1772" s="54">
        <v>7</v>
      </c>
      <c r="E1772" s="54">
        <v>1</v>
      </c>
      <c r="F1772" s="53"/>
      <c r="G1772" s="53"/>
      <c r="H1772" s="38">
        <f t="shared" si="14"/>
        <v>8</v>
      </c>
      <c r="I1772" s="38">
        <f t="shared" si="16"/>
        <v>3</v>
      </c>
      <c r="J1772" s="55"/>
    </row>
    <row r="1773" spans="1:10" ht="15" customHeight="1" x14ac:dyDescent="0.2">
      <c r="A1773" s="50">
        <f t="array" ref="A1773">+INDEX(Partidas!$A:$J,MATCH('Resultados dashboard'!$B1773,Partidas!$C:$C,0),2)</f>
        <v>46027</v>
      </c>
      <c r="B1773" s="56">
        <f>+IF(COUNTIF($B$2:B1772,B1772)=VLOOKUP(B1772,Partidas!$C:$J,8,0),B1772+1,B1772)</f>
        <v>390</v>
      </c>
      <c r="C1773" s="41" t="str">
        <f t="array" ref="C1773">+INDEX(Partidas!$A:$J,MATCH('Resultados dashboard'!$B1773,Partidas!$C:$C,0),3+COUNTIF($B$2:B1773,'Resultados dashboard'!$B1773))</f>
        <v>Hugo</v>
      </c>
      <c r="D1773" s="54">
        <v>7</v>
      </c>
      <c r="E1773" s="53"/>
      <c r="F1773" s="53"/>
      <c r="G1773" s="54">
        <v>1</v>
      </c>
      <c r="H1773" s="38">
        <f t="shared" si="14"/>
        <v>9</v>
      </c>
      <c r="I1773" s="38">
        <f t="shared" si="16"/>
        <v>2</v>
      </c>
      <c r="J1773" s="55"/>
    </row>
    <row r="1774" spans="1:10" ht="15" customHeight="1" x14ac:dyDescent="0.2">
      <c r="A1774" s="50">
        <f t="array" ref="A1774">+INDEX(Partidas!$A:$J,MATCH('Resultados dashboard'!$B1774,Partidas!$C:$C,0),2)</f>
        <v>46027</v>
      </c>
      <c r="B1774" s="56">
        <f>+IF(COUNTIF($B$2:B1773,B1773)=VLOOKUP(B1773,Partidas!$C:$J,8,0),B1773+1,B1773)</f>
        <v>390</v>
      </c>
      <c r="C1774" s="41" t="str">
        <f t="array" ref="C1774">+INDEX(Partidas!$A:$J,MATCH('Resultados dashboard'!$B1774,Partidas!$C:$C,0),3+COUNTIF($B$2:B1774,'Resultados dashboard'!$B1774))</f>
        <v>Gaspa</v>
      </c>
      <c r="D1774" s="54">
        <v>7</v>
      </c>
      <c r="E1774" s="54">
        <v>1</v>
      </c>
      <c r="F1774" s="53"/>
      <c r="G1774" s="53"/>
      <c r="H1774" s="38">
        <f t="shared" si="14"/>
        <v>8</v>
      </c>
      <c r="I1774" s="38">
        <f t="shared" si="16"/>
        <v>3</v>
      </c>
      <c r="J1774" s="55"/>
    </row>
    <row r="1775" spans="1:10" ht="15" customHeight="1" x14ac:dyDescent="0.2">
      <c r="A1775" s="50">
        <f t="array" ref="A1775">+INDEX(Partidas!$A:$J,MATCH('Resultados dashboard'!$B1775,Partidas!$C:$C,0),2)</f>
        <v>46027</v>
      </c>
      <c r="B1775" s="56">
        <f>+IF(COUNTIF($B$2:B1774,B1774)=VLOOKUP(B1774,Partidas!$C:$J,8,0),B1774+1,B1774)</f>
        <v>390</v>
      </c>
      <c r="C1775" s="41" t="str">
        <f t="array" ref="C1775">+INDEX(Partidas!$A:$J,MATCH('Resultados dashboard'!$B1775,Partidas!$C:$C,0),3+COUNTIF($B$2:B1775,'Resultados dashboard'!$B1775))</f>
        <v>Max</v>
      </c>
      <c r="D1775" s="54">
        <v>4</v>
      </c>
      <c r="E1775" s="53"/>
      <c r="F1775" s="54">
        <v>1</v>
      </c>
      <c r="G1775" s="53"/>
      <c r="H1775" s="38">
        <f t="shared" si="14"/>
        <v>6</v>
      </c>
      <c r="I1775" s="38">
        <f t="shared" si="16"/>
        <v>6</v>
      </c>
      <c r="J1775" s="55"/>
    </row>
    <row r="1776" spans="1:10" ht="15" customHeight="1" x14ac:dyDescent="0.2">
      <c r="A1776" s="50">
        <f t="array" ref="A1776">+INDEX(Partidas!$A:$J,MATCH('Resultados dashboard'!$B1776,Partidas!$C:$C,0),2)</f>
        <v>46032</v>
      </c>
      <c r="B1776" s="56">
        <f>+IF(COUNTIF($B$2:B1775,B1775)=VLOOKUP(B1775,Partidas!$C:$J,8,0),B1775+1,B1775)</f>
        <v>391</v>
      </c>
      <c r="C1776" s="41" t="str">
        <f t="array" ref="C1776">+INDEX(Partidas!$A:$J,MATCH('Resultados dashboard'!$B1776,Partidas!$C:$C,0),3+COUNTIF($B$2:B1776,'Resultados dashboard'!$B1776))</f>
        <v>Hugo</v>
      </c>
      <c r="D1776" s="54">
        <v>6</v>
      </c>
      <c r="E1776" s="54">
        <v>2</v>
      </c>
      <c r="F1776" s="54">
        <v>1</v>
      </c>
      <c r="G1776" s="53"/>
      <c r="H1776" s="38">
        <f t="shared" si="14"/>
        <v>10</v>
      </c>
      <c r="I1776" s="38">
        <f t="shared" si="16"/>
        <v>1</v>
      </c>
      <c r="J1776" s="55"/>
    </row>
    <row r="1777" spans="1:10" ht="15" customHeight="1" x14ac:dyDescent="0.2">
      <c r="A1777" s="50">
        <f t="array" ref="A1777">+INDEX(Partidas!$A:$J,MATCH('Resultados dashboard'!$B1777,Partidas!$C:$C,0),2)</f>
        <v>46032</v>
      </c>
      <c r="B1777" s="56">
        <f>+IF(COUNTIF($B$2:B1776,B1776)=VLOOKUP(B1776,Partidas!$C:$J,8,0),B1776+1,B1776)</f>
        <v>391</v>
      </c>
      <c r="C1777" s="41" t="str">
        <f t="array" ref="C1777">+INDEX(Partidas!$A:$J,MATCH('Resultados dashboard'!$B1777,Partidas!$C:$C,0),3+COUNTIF($B$2:B1777,'Resultados dashboard'!$B1777))</f>
        <v>Abegol</v>
      </c>
      <c r="D1777" s="54">
        <v>5</v>
      </c>
      <c r="E1777" s="54">
        <v>1</v>
      </c>
      <c r="F1777" s="53"/>
      <c r="G1777" s="53"/>
      <c r="H1777" s="38">
        <f t="shared" si="14"/>
        <v>6</v>
      </c>
      <c r="I1777" s="38">
        <f t="shared" si="16"/>
        <v>3</v>
      </c>
      <c r="J1777" s="55"/>
    </row>
    <row r="1778" spans="1:10" ht="15" customHeight="1" x14ac:dyDescent="0.2">
      <c r="A1778" s="50">
        <f t="array" ref="A1778">+INDEX(Partidas!$A:$J,MATCH('Resultados dashboard'!$B1778,Partidas!$C:$C,0),2)</f>
        <v>46032</v>
      </c>
      <c r="B1778" s="56">
        <f>+IF(COUNTIF($B$2:B1777,B1777)=VLOOKUP(B1777,Partidas!$C:$J,8,0),B1777+1,B1777)</f>
        <v>391</v>
      </c>
      <c r="C1778" s="41" t="str">
        <f t="array" ref="C1778">+INDEX(Partidas!$A:$J,MATCH('Resultados dashboard'!$B1778,Partidas!$C:$C,0),3+COUNTIF($B$2:B1778,'Resultados dashboard'!$B1778))</f>
        <v>Moch</v>
      </c>
      <c r="D1778" s="54">
        <v>5</v>
      </c>
      <c r="E1778" s="54">
        <v>2</v>
      </c>
      <c r="F1778" s="53"/>
      <c r="G1778" s="53"/>
      <c r="H1778" s="38">
        <f t="shared" si="14"/>
        <v>7</v>
      </c>
      <c r="I1778" s="38">
        <f t="shared" si="16"/>
        <v>2</v>
      </c>
      <c r="J1778" s="55"/>
    </row>
    <row r="1779" spans="1:10" ht="15" customHeight="1" x14ac:dyDescent="0.2">
      <c r="A1779" s="50">
        <f t="array" ref="A1779">+INDEX(Partidas!$A:$J,MATCH('Resultados dashboard'!$B1779,Partidas!$C:$C,0),2)</f>
        <v>46032</v>
      </c>
      <c r="B1779" s="56">
        <f>+IF(COUNTIF($B$2:B1778,B1778)=VLOOKUP(B1778,Partidas!$C:$J,8,0),B1778+1,B1778)</f>
        <v>391</v>
      </c>
      <c r="C1779" s="41" t="str">
        <f t="array" ref="C1779">+INDEX(Partidas!$A:$J,MATCH('Resultados dashboard'!$B1779,Partidas!$C:$C,0),3+COUNTIF($B$2:B1779,'Resultados dashboard'!$B1779))</f>
        <v>Max</v>
      </c>
      <c r="D1779" s="54">
        <v>4</v>
      </c>
      <c r="E1779" s="53"/>
      <c r="F1779" s="53"/>
      <c r="G1779" s="54">
        <v>1</v>
      </c>
      <c r="H1779" s="38">
        <f t="shared" si="14"/>
        <v>6</v>
      </c>
      <c r="I1779" s="38">
        <f t="shared" si="16"/>
        <v>3</v>
      </c>
      <c r="J1779" s="55"/>
    </row>
    <row r="1780" spans="1:10" ht="15" customHeight="1" x14ac:dyDescent="0.2">
      <c r="A1780" s="50">
        <f t="array" ref="A1780">+INDEX(Partidas!$A:$J,MATCH('Resultados dashboard'!$B1780,Partidas!$C:$C,0),2)</f>
        <v>46032</v>
      </c>
      <c r="B1780" s="56">
        <f>+IF(COUNTIF($B$2:B1779,B1779)=VLOOKUP(B1779,Partidas!$C:$J,8,0),B1779+1,B1779)</f>
        <v>392</v>
      </c>
      <c r="C1780" s="41" t="str">
        <f t="array" ref="C1780">+INDEX(Partidas!$A:$J,MATCH('Resultados dashboard'!$B1780,Partidas!$C:$C,0),3+COUNTIF($B$2:B1780,'Resultados dashboard'!$B1780))</f>
        <v>Hugo</v>
      </c>
      <c r="D1780" s="54">
        <v>7</v>
      </c>
      <c r="E1780" s="53"/>
      <c r="F1780" s="54">
        <v>1</v>
      </c>
      <c r="G1780" s="53"/>
      <c r="H1780" s="38">
        <f t="shared" si="14"/>
        <v>9</v>
      </c>
      <c r="I1780" s="38">
        <f t="shared" si="16"/>
        <v>2</v>
      </c>
      <c r="J1780" s="55"/>
    </row>
    <row r="1781" spans="1:10" ht="15" customHeight="1" x14ac:dyDescent="0.2">
      <c r="A1781" s="50">
        <f t="array" ref="A1781">+INDEX(Partidas!$A:$J,MATCH('Resultados dashboard'!$B1781,Partidas!$C:$C,0),2)</f>
        <v>46032</v>
      </c>
      <c r="B1781" s="56">
        <f>+IF(COUNTIF($B$2:B1780,B1780)=VLOOKUP(B1780,Partidas!$C:$J,8,0),B1780+1,B1780)</f>
        <v>392</v>
      </c>
      <c r="C1781" s="41" t="str">
        <f t="array" ref="C1781">+INDEX(Partidas!$A:$J,MATCH('Resultados dashboard'!$B1781,Partidas!$C:$C,0),3+COUNTIF($B$2:B1781,'Resultados dashboard'!$B1781))</f>
        <v>Abegol</v>
      </c>
      <c r="D1781" s="54">
        <v>6</v>
      </c>
      <c r="E1781" s="53"/>
      <c r="F1781" s="53"/>
      <c r="G1781" s="53"/>
      <c r="H1781" s="38">
        <f t="shared" si="14"/>
        <v>6</v>
      </c>
      <c r="I1781" s="38">
        <f t="shared" si="16"/>
        <v>4</v>
      </c>
      <c r="J1781" s="55"/>
    </row>
    <row r="1782" spans="1:10" ht="15" customHeight="1" x14ac:dyDescent="0.2">
      <c r="A1782" s="50">
        <f t="array" ref="A1782">+INDEX(Partidas!$A:$J,MATCH('Resultados dashboard'!$B1782,Partidas!$C:$C,0),2)</f>
        <v>46032</v>
      </c>
      <c r="B1782" s="56">
        <f>+IF(COUNTIF($B$2:B1781,B1781)=VLOOKUP(B1781,Partidas!$C:$J,8,0),B1781+1,B1781)</f>
        <v>392</v>
      </c>
      <c r="C1782" s="41" t="str">
        <f t="array" ref="C1782">+INDEX(Partidas!$A:$J,MATCH('Resultados dashboard'!$B1782,Partidas!$C:$C,0),3+COUNTIF($B$2:B1782,'Resultados dashboard'!$B1782))</f>
        <v>Moch</v>
      </c>
      <c r="D1782" s="54">
        <v>8</v>
      </c>
      <c r="E1782" s="53"/>
      <c r="F1782" s="53"/>
      <c r="G1782" s="54">
        <v>1</v>
      </c>
      <c r="H1782" s="38">
        <f t="shared" si="14"/>
        <v>10</v>
      </c>
      <c r="I1782" s="38">
        <f t="shared" si="16"/>
        <v>1</v>
      </c>
      <c r="J1782" s="55"/>
    </row>
    <row r="1783" spans="1:10" ht="15" customHeight="1" x14ac:dyDescent="0.2">
      <c r="A1783" s="50">
        <f t="array" ref="A1783">+INDEX(Partidas!$A:$J,MATCH('Resultados dashboard'!$B1783,Partidas!$C:$C,0),2)</f>
        <v>46032</v>
      </c>
      <c r="B1783" s="56">
        <f>+IF(COUNTIF($B$2:B1782,B1782)=VLOOKUP(B1782,Partidas!$C:$J,8,0),B1782+1,B1782)</f>
        <v>392</v>
      </c>
      <c r="C1783" s="41" t="str">
        <f t="array" ref="C1783">+INDEX(Partidas!$A:$J,MATCH('Resultados dashboard'!$B1783,Partidas!$C:$C,0),3+COUNTIF($B$2:B1783,'Resultados dashboard'!$B1783))</f>
        <v>Max</v>
      </c>
      <c r="D1783" s="54">
        <v>7</v>
      </c>
      <c r="E1783" s="54">
        <v>1</v>
      </c>
      <c r="F1783" s="53"/>
      <c r="G1783" s="53"/>
      <c r="H1783" s="38">
        <f t="shared" si="14"/>
        <v>8</v>
      </c>
      <c r="I1783" s="38">
        <f t="shared" si="16"/>
        <v>3</v>
      </c>
      <c r="J1783" s="55"/>
    </row>
    <row r="1784" spans="1:10" ht="15" customHeight="1" x14ac:dyDescent="0.2">
      <c r="A1784" s="50">
        <f t="array" ref="A1784">+INDEX(Partidas!$A:$J,MATCH('Resultados dashboard'!$B1784,Partidas!$C:$C,0),2)</f>
        <v>46039</v>
      </c>
      <c r="B1784" s="56">
        <f>+IF(COUNTIF($B$2:B1783,B1783)=VLOOKUP(B1783,Partidas!$C:$J,8,0),B1783+1,B1783)</f>
        <v>393</v>
      </c>
      <c r="C1784" s="41" t="str">
        <f t="array" ref="C1784">+INDEX(Partidas!$A:$J,MATCH('Resultados dashboard'!$B1784,Partidas!$C:$C,0),3+COUNTIF($B$2:B1784,'Resultados dashboard'!$B1784))</f>
        <v>Gallo</v>
      </c>
      <c r="D1784" s="54">
        <v>6</v>
      </c>
      <c r="E1784" s="54">
        <v>2</v>
      </c>
      <c r="F1784" s="54">
        <v>1</v>
      </c>
      <c r="G1784" s="53"/>
      <c r="H1784" s="38">
        <f t="shared" si="14"/>
        <v>10</v>
      </c>
      <c r="I1784" s="38">
        <f t="shared" si="16"/>
        <v>1</v>
      </c>
      <c r="J1784" s="55"/>
    </row>
    <row r="1785" spans="1:10" ht="15" customHeight="1" x14ac:dyDescent="0.2">
      <c r="A1785" s="50">
        <f t="array" ref="A1785">+INDEX(Partidas!$A:$J,MATCH('Resultados dashboard'!$B1785,Partidas!$C:$C,0),2)</f>
        <v>46039</v>
      </c>
      <c r="B1785" s="56">
        <f>+IF(COUNTIF($B$2:B1784,B1784)=VLOOKUP(B1784,Partidas!$C:$J,8,0),B1784+1,B1784)</f>
        <v>393</v>
      </c>
      <c r="C1785" s="41" t="str">
        <f t="array" ref="C1785">+INDEX(Partidas!$A:$J,MATCH('Resultados dashboard'!$B1785,Partidas!$C:$C,0),3+COUNTIF($B$2:B1785,'Resultados dashboard'!$B1785))</f>
        <v>Ivo</v>
      </c>
      <c r="D1785" s="54">
        <v>5</v>
      </c>
      <c r="E1785" s="53"/>
      <c r="F1785" s="53"/>
      <c r="G1785" s="53"/>
      <c r="H1785" s="38">
        <f t="shared" si="14"/>
        <v>5</v>
      </c>
      <c r="I1785" s="38">
        <f t="shared" si="16"/>
        <v>3</v>
      </c>
      <c r="J1785" s="55"/>
    </row>
    <row r="1786" spans="1:10" ht="15" customHeight="1" x14ac:dyDescent="0.2">
      <c r="A1786" s="50">
        <f t="array" ref="A1786">+INDEX(Partidas!$A:$J,MATCH('Resultados dashboard'!$B1786,Partidas!$C:$C,0),2)</f>
        <v>46039</v>
      </c>
      <c r="B1786" s="56">
        <f>+IF(COUNTIF($B$2:B1785,B1785)=VLOOKUP(B1785,Partidas!$C:$J,8,0),B1785+1,B1785)</f>
        <v>393</v>
      </c>
      <c r="C1786" s="41" t="str">
        <f t="array" ref="C1786">+INDEX(Partidas!$A:$J,MATCH('Resultados dashboard'!$B1786,Partidas!$C:$C,0),3+COUNTIF($B$2:B1786,'Resultados dashboard'!$B1786))</f>
        <v>Moch</v>
      </c>
      <c r="D1786" s="54">
        <v>4</v>
      </c>
      <c r="E1786" s="53"/>
      <c r="F1786" s="53"/>
      <c r="G1786" s="53"/>
      <c r="H1786" s="38">
        <f t="shared" si="14"/>
        <v>4</v>
      </c>
      <c r="I1786" s="38">
        <f t="shared" si="16"/>
        <v>4</v>
      </c>
      <c r="J1786" s="55"/>
    </row>
    <row r="1787" spans="1:10" ht="15" customHeight="1" x14ac:dyDescent="0.2">
      <c r="A1787" s="50">
        <f t="array" ref="A1787">+INDEX(Partidas!$A:$J,MATCH('Resultados dashboard'!$B1787,Partidas!$C:$C,0),2)</f>
        <v>46039</v>
      </c>
      <c r="B1787" s="56">
        <f>+IF(COUNTIF($B$2:B1786,B1786)=VLOOKUP(B1786,Partidas!$C:$J,8,0),B1786+1,B1786)</f>
        <v>393</v>
      </c>
      <c r="C1787" s="41" t="str">
        <f t="array" ref="C1787">+INDEX(Partidas!$A:$J,MATCH('Resultados dashboard'!$B1787,Partidas!$C:$C,0),3+COUNTIF($B$2:B1787,'Resultados dashboard'!$B1787))</f>
        <v>Max</v>
      </c>
      <c r="D1787" s="54">
        <v>4</v>
      </c>
      <c r="E1787" s="53"/>
      <c r="F1787" s="53"/>
      <c r="G1787" s="53"/>
      <c r="H1787" s="38">
        <f t="shared" ref="H1787:H2041" si="17">+SUM(D1787:E1787)+2*SUM(F1787:G1787)+J1787</f>
        <v>4</v>
      </c>
      <c r="I1787" s="38">
        <f t="shared" si="16"/>
        <v>4</v>
      </c>
      <c r="J1787" s="55"/>
    </row>
    <row r="1788" spans="1:10" ht="15" customHeight="1" x14ac:dyDescent="0.2">
      <c r="A1788" s="50">
        <f t="array" ref="A1788">+INDEX(Partidas!$A:$J,MATCH('Resultados dashboard'!$B1788,Partidas!$C:$C,0),2)</f>
        <v>46039</v>
      </c>
      <c r="B1788" s="56">
        <f>+IF(COUNTIF($B$2:B1787,B1787)=VLOOKUP(B1787,Partidas!$C:$J,8,0),B1787+1,B1787)</f>
        <v>393</v>
      </c>
      <c r="C1788" s="41" t="str">
        <f t="array" ref="C1788">+INDEX(Partidas!$A:$J,MATCH('Resultados dashboard'!$B1788,Partidas!$C:$C,0),3+COUNTIF($B$2:B1788,'Resultados dashboard'!$B1788))</f>
        <v>Gaspa</v>
      </c>
      <c r="D1788" s="54">
        <v>3</v>
      </c>
      <c r="E1788" s="54">
        <v>1</v>
      </c>
      <c r="F1788" s="53"/>
      <c r="G1788" s="54">
        <v>1</v>
      </c>
      <c r="H1788" s="38">
        <f t="shared" si="17"/>
        <v>6</v>
      </c>
      <c r="I1788" s="38">
        <f t="shared" si="16"/>
        <v>2</v>
      </c>
      <c r="J1788" s="55"/>
    </row>
    <row r="1789" spans="1:10" ht="15" customHeight="1" x14ac:dyDescent="0.2">
      <c r="A1789" s="50">
        <f t="array" ref="A1789">+INDEX(Partidas!$A:$J,MATCH('Resultados dashboard'!$B1789,Partidas!$C:$C,0),2)</f>
        <v>46039</v>
      </c>
      <c r="B1789" s="56">
        <f>+IF(COUNTIF($B$2:B1788,B1788)=VLOOKUP(B1788,Partidas!$C:$J,8,0),B1788+1,B1788)</f>
        <v>393</v>
      </c>
      <c r="C1789" s="41" t="str">
        <f t="array" ref="C1789">+INDEX(Partidas!$A:$J,MATCH('Resultados dashboard'!$B1789,Partidas!$C:$C,0),3+COUNTIF($B$2:B1789,'Resultados dashboard'!$B1789))</f>
        <v>Gasta</v>
      </c>
      <c r="D1789" s="54">
        <v>4</v>
      </c>
      <c r="E1789" s="53"/>
      <c r="F1789" s="53"/>
      <c r="G1789" s="53"/>
      <c r="H1789" s="38">
        <f t="shared" si="17"/>
        <v>4</v>
      </c>
      <c r="I1789" s="38">
        <f t="shared" si="16"/>
        <v>4</v>
      </c>
      <c r="J1789" s="55"/>
    </row>
    <row r="1790" spans="1:10" ht="15" customHeight="1" x14ac:dyDescent="0.2">
      <c r="A1790" s="50">
        <f t="array" ref="A1790">+INDEX(Partidas!$A:$J,MATCH('Resultados dashboard'!$B1790,Partidas!$C:$C,0),2)</f>
        <v>46039</v>
      </c>
      <c r="B1790" s="56">
        <f>+IF(COUNTIF($B$2:B1789,B1789)=VLOOKUP(B1789,Partidas!$C:$J,8,0),B1789+1,B1789)</f>
        <v>394</v>
      </c>
      <c r="C1790" s="41" t="str">
        <f t="array" ref="C1790">+INDEX(Partidas!$A:$J,MATCH('Resultados dashboard'!$B1790,Partidas!$C:$C,0),3+COUNTIF($B$2:B1790,'Resultados dashboard'!$B1790))</f>
        <v>Gallo</v>
      </c>
      <c r="D1790" s="54">
        <v>7</v>
      </c>
      <c r="E1790" s="54">
        <v>1</v>
      </c>
      <c r="F1790" s="53"/>
      <c r="G1790" s="53"/>
      <c r="H1790" s="38">
        <f t="shared" si="17"/>
        <v>8</v>
      </c>
      <c r="I1790" s="38">
        <f t="shared" si="16"/>
        <v>6</v>
      </c>
      <c r="J1790" s="55"/>
    </row>
    <row r="1791" spans="1:10" ht="15" customHeight="1" x14ac:dyDescent="0.2">
      <c r="A1791" s="50">
        <f t="array" ref="A1791">+INDEX(Partidas!$A:$J,MATCH('Resultados dashboard'!$B1791,Partidas!$C:$C,0),2)</f>
        <v>46039</v>
      </c>
      <c r="B1791" s="56">
        <f>+IF(COUNTIF($B$2:B1790,B1790)=VLOOKUP(B1790,Partidas!$C:$J,8,0),B1790+1,B1790)</f>
        <v>394</v>
      </c>
      <c r="C1791" s="41" t="str">
        <f t="array" ref="C1791">+INDEX(Partidas!$A:$J,MATCH('Resultados dashboard'!$B1791,Partidas!$C:$C,0),3+COUNTIF($B$2:B1791,'Resultados dashboard'!$B1791))</f>
        <v>Ivo</v>
      </c>
      <c r="D1791" s="54">
        <v>6</v>
      </c>
      <c r="E1791" s="54">
        <v>1</v>
      </c>
      <c r="F1791" s="54">
        <v>1</v>
      </c>
      <c r="G1791" s="53"/>
      <c r="H1791" s="38">
        <f t="shared" si="17"/>
        <v>9</v>
      </c>
      <c r="I1791" s="38">
        <f t="shared" si="16"/>
        <v>2</v>
      </c>
      <c r="J1791" s="55"/>
    </row>
    <row r="1792" spans="1:10" ht="15" customHeight="1" x14ac:dyDescent="0.2">
      <c r="A1792" s="50">
        <f t="array" ref="A1792">+INDEX(Partidas!$A:$J,MATCH('Resultados dashboard'!$B1792,Partidas!$C:$C,0),2)</f>
        <v>46039</v>
      </c>
      <c r="B1792" s="56">
        <f>+IF(COUNTIF($B$2:B1791,B1791)=VLOOKUP(B1791,Partidas!$C:$J,8,0),B1791+1,B1791)</f>
        <v>394</v>
      </c>
      <c r="C1792" s="41" t="str">
        <f t="array" ref="C1792">+INDEX(Partidas!$A:$J,MATCH('Resultados dashboard'!$B1792,Partidas!$C:$C,0),3+COUNTIF($B$2:B1792,'Resultados dashboard'!$B1792))</f>
        <v>Moch</v>
      </c>
      <c r="D1792" s="54">
        <v>8</v>
      </c>
      <c r="E1792" s="54">
        <v>1</v>
      </c>
      <c r="F1792" s="53"/>
      <c r="G1792" s="53"/>
      <c r="H1792" s="38">
        <f t="shared" si="17"/>
        <v>9</v>
      </c>
      <c r="I1792" s="38">
        <f t="shared" si="16"/>
        <v>2</v>
      </c>
      <c r="J1792" s="55"/>
    </row>
    <row r="1793" spans="1:10" ht="15" customHeight="1" x14ac:dyDescent="0.2">
      <c r="A1793" s="50">
        <f t="array" ref="A1793">+INDEX(Partidas!$A:$J,MATCH('Resultados dashboard'!$B1793,Partidas!$C:$C,0),2)</f>
        <v>46039</v>
      </c>
      <c r="B1793" s="56">
        <f>+IF(COUNTIF($B$2:B1792,B1792)=VLOOKUP(B1792,Partidas!$C:$J,8,0),B1792+1,B1792)</f>
        <v>394</v>
      </c>
      <c r="C1793" s="41" t="str">
        <f t="array" ref="C1793">+INDEX(Partidas!$A:$J,MATCH('Resultados dashboard'!$B1793,Partidas!$C:$C,0),3+COUNTIF($B$2:B1793,'Resultados dashboard'!$B1793))</f>
        <v>Max</v>
      </c>
      <c r="D1793" s="54">
        <v>8</v>
      </c>
      <c r="E1793" s="54">
        <v>1</v>
      </c>
      <c r="F1793" s="53"/>
      <c r="G1793" s="53"/>
      <c r="H1793" s="38">
        <f t="shared" si="17"/>
        <v>9</v>
      </c>
      <c r="I1793" s="38">
        <f t="shared" si="16"/>
        <v>2</v>
      </c>
      <c r="J1793" s="55"/>
    </row>
    <row r="1794" spans="1:10" ht="15" customHeight="1" x14ac:dyDescent="0.2">
      <c r="A1794" s="50">
        <f t="array" ref="A1794">+INDEX(Partidas!$A:$J,MATCH('Resultados dashboard'!$B1794,Partidas!$C:$C,0),2)</f>
        <v>46039</v>
      </c>
      <c r="B1794" s="56">
        <f>+IF(COUNTIF($B$2:B1793,B1793)=VLOOKUP(B1793,Partidas!$C:$J,8,0),B1793+1,B1793)</f>
        <v>394</v>
      </c>
      <c r="C1794" s="41" t="str">
        <f t="array" ref="C1794">+INDEX(Partidas!$A:$J,MATCH('Resultados dashboard'!$B1794,Partidas!$C:$C,0),3+COUNTIF($B$2:B1794,'Resultados dashboard'!$B1794))</f>
        <v>Gaspa</v>
      </c>
      <c r="D1794" s="54">
        <v>7</v>
      </c>
      <c r="E1794" s="54">
        <v>1</v>
      </c>
      <c r="F1794" s="53"/>
      <c r="G1794" s="54">
        <v>1</v>
      </c>
      <c r="H1794" s="38">
        <f t="shared" si="17"/>
        <v>10</v>
      </c>
      <c r="I1794" s="38">
        <f t="shared" si="16"/>
        <v>1</v>
      </c>
      <c r="J1794" s="55"/>
    </row>
    <row r="1795" spans="1:10" ht="15" customHeight="1" x14ac:dyDescent="0.2">
      <c r="A1795" s="50">
        <f t="array" ref="A1795">+INDEX(Partidas!$A:$J,MATCH('Resultados dashboard'!$B1795,Partidas!$C:$C,0),2)</f>
        <v>46039</v>
      </c>
      <c r="B1795" s="56">
        <f>+IF(COUNTIF($B$2:B1794,B1794)=VLOOKUP(B1794,Partidas!$C:$J,8,0),B1794+1,B1794)</f>
        <v>394</v>
      </c>
      <c r="C1795" s="41" t="str">
        <f t="array" ref="C1795">+INDEX(Partidas!$A:$J,MATCH('Resultados dashboard'!$B1795,Partidas!$C:$C,0),3+COUNTIF($B$2:B1795,'Resultados dashboard'!$B1795))</f>
        <v>Gasta</v>
      </c>
      <c r="D1795" s="54">
        <v>9</v>
      </c>
      <c r="E1795" s="53"/>
      <c r="F1795" s="53"/>
      <c r="G1795" s="53"/>
      <c r="H1795" s="38">
        <f t="shared" si="17"/>
        <v>9</v>
      </c>
      <c r="I1795" s="38">
        <f t="shared" si="16"/>
        <v>2</v>
      </c>
      <c r="J1795" s="55"/>
    </row>
    <row r="1796" spans="1:10" ht="15" customHeight="1" x14ac:dyDescent="0.2">
      <c r="A1796" s="50">
        <f t="array" ref="A1796">+INDEX(Partidas!$A:$J,MATCH('Resultados dashboard'!$B1796,Partidas!$C:$C,0),2)</f>
        <v>46039</v>
      </c>
      <c r="B1796" s="56">
        <f>+IF(COUNTIF($B$2:B1795,B1795)=VLOOKUP(B1795,Partidas!$C:$J,8,0),B1795+1,B1795)</f>
        <v>395</v>
      </c>
      <c r="C1796" s="41" t="str">
        <f t="array" ref="C1796">+INDEX(Partidas!$A:$J,MATCH('Resultados dashboard'!$B1796,Partidas!$C:$C,0),3+COUNTIF($B$2:B1796,'Resultados dashboard'!$B1796))</f>
        <v>Gallo</v>
      </c>
      <c r="D1796" s="54">
        <v>6</v>
      </c>
      <c r="E1796" s="54">
        <v>1</v>
      </c>
      <c r="F1796" s="53"/>
      <c r="G1796" s="54">
        <v>1</v>
      </c>
      <c r="H1796" s="38">
        <f t="shared" si="17"/>
        <v>9</v>
      </c>
      <c r="I1796" s="38">
        <f t="shared" si="16"/>
        <v>2</v>
      </c>
      <c r="J1796" s="55"/>
    </row>
    <row r="1797" spans="1:10" ht="15" customHeight="1" x14ac:dyDescent="0.2">
      <c r="A1797" s="50">
        <f t="array" ref="A1797">+INDEX(Partidas!$A:$J,MATCH('Resultados dashboard'!$B1797,Partidas!$C:$C,0),2)</f>
        <v>46039</v>
      </c>
      <c r="B1797" s="56">
        <f>+IF(COUNTIF($B$2:B1796,B1796)=VLOOKUP(B1796,Partidas!$C:$J,8,0),B1796+1,B1796)</f>
        <v>395</v>
      </c>
      <c r="C1797" s="41" t="str">
        <f t="array" ref="C1797">+INDEX(Partidas!$A:$J,MATCH('Resultados dashboard'!$B1797,Partidas!$C:$C,0),3+COUNTIF($B$2:B1797,'Resultados dashboard'!$B1797))</f>
        <v>Ivo</v>
      </c>
      <c r="D1797" s="54">
        <v>5</v>
      </c>
      <c r="E1797" s="53"/>
      <c r="F1797" s="53"/>
      <c r="G1797" s="53"/>
      <c r="H1797" s="38">
        <f t="shared" si="17"/>
        <v>5</v>
      </c>
      <c r="I1797" s="38">
        <f t="shared" si="16"/>
        <v>5</v>
      </c>
      <c r="J1797" s="55"/>
    </row>
    <row r="1798" spans="1:10" ht="15" customHeight="1" x14ac:dyDescent="0.2">
      <c r="A1798" s="50">
        <f t="array" ref="A1798">+INDEX(Partidas!$A:$J,MATCH('Resultados dashboard'!$B1798,Partidas!$C:$C,0),2)</f>
        <v>46039</v>
      </c>
      <c r="B1798" s="56">
        <f>+IF(COUNTIF($B$2:B1797,B1797)=VLOOKUP(B1797,Partidas!$C:$J,8,0),B1797+1,B1797)</f>
        <v>395</v>
      </c>
      <c r="C1798" s="41" t="str">
        <f t="array" ref="C1798">+INDEX(Partidas!$A:$J,MATCH('Resultados dashboard'!$B1798,Partidas!$C:$C,0),3+COUNTIF($B$2:B1798,'Resultados dashboard'!$B1798))</f>
        <v>Moch</v>
      </c>
      <c r="D1798" s="54">
        <v>6</v>
      </c>
      <c r="E1798" s="53"/>
      <c r="F1798" s="54">
        <v>1</v>
      </c>
      <c r="G1798" s="53"/>
      <c r="H1798" s="38">
        <f t="shared" si="17"/>
        <v>8</v>
      </c>
      <c r="I1798" s="38">
        <f t="shared" si="16"/>
        <v>3</v>
      </c>
      <c r="J1798" s="55"/>
    </row>
    <row r="1799" spans="1:10" ht="15" customHeight="1" x14ac:dyDescent="0.2">
      <c r="A1799" s="50">
        <f t="array" ref="A1799">+INDEX(Partidas!$A:$J,MATCH('Resultados dashboard'!$B1799,Partidas!$C:$C,0),2)</f>
        <v>46039</v>
      </c>
      <c r="B1799" s="56">
        <f>+IF(COUNTIF($B$2:B1798,B1798)=VLOOKUP(B1798,Partidas!$C:$J,8,0),B1798+1,B1798)</f>
        <v>395</v>
      </c>
      <c r="C1799" s="41" t="str">
        <f t="array" ref="C1799">+INDEX(Partidas!$A:$J,MATCH('Resultados dashboard'!$B1799,Partidas!$C:$C,0),3+COUNTIF($B$2:B1799,'Resultados dashboard'!$B1799))</f>
        <v>Max</v>
      </c>
      <c r="D1799" s="54">
        <v>7</v>
      </c>
      <c r="E1799" s="53"/>
      <c r="F1799" s="53"/>
      <c r="G1799" s="53"/>
      <c r="H1799" s="38">
        <f t="shared" si="17"/>
        <v>7</v>
      </c>
      <c r="I1799" s="38">
        <f t="shared" si="16"/>
        <v>4</v>
      </c>
      <c r="J1799" s="55"/>
    </row>
    <row r="1800" spans="1:10" ht="15" customHeight="1" x14ac:dyDescent="0.2">
      <c r="A1800" s="50">
        <f t="array" ref="A1800">+INDEX(Partidas!$A:$J,MATCH('Resultados dashboard'!$B1800,Partidas!$C:$C,0),2)</f>
        <v>46039</v>
      </c>
      <c r="B1800" s="56">
        <f>+IF(COUNTIF($B$2:B1799,B1799)=VLOOKUP(B1799,Partidas!$C:$J,8,0),B1799+1,B1799)</f>
        <v>395</v>
      </c>
      <c r="C1800" s="41" t="str">
        <f t="array" ref="C1800">+INDEX(Partidas!$A:$J,MATCH('Resultados dashboard'!$B1800,Partidas!$C:$C,0),3+COUNTIF($B$2:B1800,'Resultados dashboard'!$B1800))</f>
        <v>Gaspa</v>
      </c>
      <c r="D1800" s="54">
        <v>8</v>
      </c>
      <c r="E1800" s="54">
        <v>2</v>
      </c>
      <c r="F1800" s="53"/>
      <c r="G1800" s="53"/>
      <c r="H1800" s="38">
        <f t="shared" si="17"/>
        <v>10</v>
      </c>
      <c r="I1800" s="38">
        <f t="shared" si="16"/>
        <v>1</v>
      </c>
      <c r="J1800" s="55"/>
    </row>
    <row r="1801" spans="1:10" ht="15" customHeight="1" x14ac:dyDescent="0.2">
      <c r="A1801" s="50">
        <f t="array" ref="A1801">+INDEX(Partidas!$A:$J,MATCH('Resultados dashboard'!$B1801,Partidas!$C:$C,0),2)</f>
        <v>46039</v>
      </c>
      <c r="B1801" s="56">
        <f>+IF(COUNTIF($B$2:B1800,B1800)=VLOOKUP(B1800,Partidas!$C:$J,8,0),B1800+1,B1800)</f>
        <v>395</v>
      </c>
      <c r="C1801" s="41" t="str">
        <f t="array" ref="C1801">+INDEX(Partidas!$A:$J,MATCH('Resultados dashboard'!$B1801,Partidas!$C:$C,0),3+COUNTIF($B$2:B1801,'Resultados dashboard'!$B1801))</f>
        <v>Gasta</v>
      </c>
      <c r="D1801" s="54">
        <v>5</v>
      </c>
      <c r="E1801" s="53"/>
      <c r="F1801" s="53"/>
      <c r="G1801" s="53"/>
      <c r="H1801" s="38">
        <f t="shared" si="17"/>
        <v>5</v>
      </c>
      <c r="I1801" s="38">
        <f t="shared" si="16"/>
        <v>5</v>
      </c>
      <c r="J1801" s="55"/>
    </row>
    <row r="1802" spans="1:10" ht="15" customHeight="1" x14ac:dyDescent="0.2">
      <c r="A1802" s="50">
        <f t="array" ref="A1802">+INDEX(Partidas!$A:$J,MATCH('Resultados dashboard'!$B1802,Partidas!$C:$C,0),2)</f>
        <v>46039</v>
      </c>
      <c r="B1802" s="56">
        <f>+IF(COUNTIF($B$2:B1801,B1801)=VLOOKUP(B1801,Partidas!$C:$J,8,0),B1801+1,B1801)</f>
        <v>396</v>
      </c>
      <c r="C1802" s="41" t="str">
        <f t="array" ref="C1802">+INDEX(Partidas!$A:$J,MATCH('Resultados dashboard'!$B1802,Partidas!$C:$C,0),3+COUNTIF($B$2:B1802,'Resultados dashboard'!$B1802))</f>
        <v>Gallo</v>
      </c>
      <c r="D1802" s="54">
        <v>7</v>
      </c>
      <c r="E1802" s="54">
        <v>1</v>
      </c>
      <c r="F1802" s="54">
        <v>1</v>
      </c>
      <c r="G1802" s="53"/>
      <c r="H1802" s="38">
        <f t="shared" si="17"/>
        <v>10</v>
      </c>
      <c r="I1802" s="38">
        <f t="shared" si="16"/>
        <v>1</v>
      </c>
      <c r="J1802" s="55"/>
    </row>
    <row r="1803" spans="1:10" ht="15" customHeight="1" x14ac:dyDescent="0.2">
      <c r="A1803" s="50">
        <f t="array" ref="A1803">+INDEX(Partidas!$A:$J,MATCH('Resultados dashboard'!$B1803,Partidas!$C:$C,0),2)</f>
        <v>46039</v>
      </c>
      <c r="B1803" s="56">
        <f>+IF(COUNTIF($B$2:B1802,B1802)=VLOOKUP(B1802,Partidas!$C:$J,8,0),B1802+1,B1802)</f>
        <v>396</v>
      </c>
      <c r="C1803" s="41" t="str">
        <f t="array" ref="C1803">+INDEX(Partidas!$A:$J,MATCH('Resultados dashboard'!$B1803,Partidas!$C:$C,0),3+COUNTIF($B$2:B1803,'Resultados dashboard'!$B1803))</f>
        <v>Ivo</v>
      </c>
      <c r="D1803" s="54">
        <v>5</v>
      </c>
      <c r="E1803" s="53"/>
      <c r="F1803" s="53"/>
      <c r="G1803" s="53"/>
      <c r="H1803" s="38">
        <f t="shared" si="17"/>
        <v>5</v>
      </c>
      <c r="I1803" s="38">
        <f t="shared" si="16"/>
        <v>4</v>
      </c>
      <c r="J1803" s="55"/>
    </row>
    <row r="1804" spans="1:10" ht="15" customHeight="1" x14ac:dyDescent="0.2">
      <c r="A1804" s="50">
        <f t="array" ref="A1804">+INDEX(Partidas!$A:$J,MATCH('Resultados dashboard'!$B1804,Partidas!$C:$C,0),2)</f>
        <v>46039</v>
      </c>
      <c r="B1804" s="56">
        <f>+IF(COUNTIF($B$2:B1803,B1803)=VLOOKUP(B1803,Partidas!$C:$J,8,0),B1803+1,B1803)</f>
        <v>396</v>
      </c>
      <c r="C1804" s="41" t="str">
        <f t="array" ref="C1804">+INDEX(Partidas!$A:$J,MATCH('Resultados dashboard'!$B1804,Partidas!$C:$C,0),3+COUNTIF($B$2:B1804,'Resultados dashboard'!$B1804))</f>
        <v>Moch</v>
      </c>
      <c r="D1804" s="54">
        <v>6</v>
      </c>
      <c r="E1804" s="54">
        <v>1</v>
      </c>
      <c r="F1804" s="53"/>
      <c r="G1804" s="54">
        <v>1</v>
      </c>
      <c r="H1804" s="38">
        <f t="shared" si="17"/>
        <v>9</v>
      </c>
      <c r="I1804" s="38">
        <f t="shared" si="16"/>
        <v>2</v>
      </c>
      <c r="J1804" s="55"/>
    </row>
    <row r="1805" spans="1:10" ht="15" customHeight="1" x14ac:dyDescent="0.2">
      <c r="A1805" s="50">
        <f t="array" ref="A1805">+INDEX(Partidas!$A:$J,MATCH('Resultados dashboard'!$B1805,Partidas!$C:$C,0),2)</f>
        <v>46039</v>
      </c>
      <c r="B1805" s="56">
        <f>+IF(COUNTIF($B$2:B1804,B1804)=VLOOKUP(B1804,Partidas!$C:$J,8,0),B1804+1,B1804)</f>
        <v>396</v>
      </c>
      <c r="C1805" s="41" t="str">
        <f t="array" ref="C1805">+INDEX(Partidas!$A:$J,MATCH('Resultados dashboard'!$B1805,Partidas!$C:$C,0),3+COUNTIF($B$2:B1805,'Resultados dashboard'!$B1805))</f>
        <v>Max</v>
      </c>
      <c r="D1805" s="54">
        <v>7</v>
      </c>
      <c r="E1805" s="54">
        <v>1</v>
      </c>
      <c r="F1805" s="53"/>
      <c r="G1805" s="53"/>
      <c r="H1805" s="38">
        <f t="shared" si="17"/>
        <v>8</v>
      </c>
      <c r="I1805" s="38">
        <f t="shared" si="16"/>
        <v>3</v>
      </c>
      <c r="J1805" s="55"/>
    </row>
    <row r="1806" spans="1:10" ht="15" customHeight="1" x14ac:dyDescent="0.2">
      <c r="A1806" s="50">
        <f t="array" ref="A1806">+INDEX(Partidas!$A:$J,MATCH('Resultados dashboard'!$B1806,Partidas!$C:$C,0),2)</f>
        <v>46039</v>
      </c>
      <c r="B1806" s="56">
        <f>+IF(COUNTIF($B$2:B1805,B1805)=VLOOKUP(B1805,Partidas!$C:$J,8,0),B1805+1,B1805)</f>
        <v>397</v>
      </c>
      <c r="C1806" s="41" t="str">
        <f t="array" ref="C1806">+INDEX(Partidas!$A:$J,MATCH('Resultados dashboard'!$B1806,Partidas!$C:$C,0),3+COUNTIF($B$2:B1806,'Resultados dashboard'!$B1806))</f>
        <v>Ivo</v>
      </c>
      <c r="D1806" s="54">
        <v>5</v>
      </c>
      <c r="E1806" s="54">
        <v>1</v>
      </c>
      <c r="F1806" s="54"/>
      <c r="G1806" s="54">
        <v>1</v>
      </c>
      <c r="H1806" s="38">
        <f t="shared" si="17"/>
        <v>8</v>
      </c>
      <c r="I1806" s="38">
        <f t="shared" si="16"/>
        <v>2</v>
      </c>
      <c r="J1806" s="55"/>
    </row>
    <row r="1807" spans="1:10" ht="15" customHeight="1" x14ac:dyDescent="0.2">
      <c r="A1807" s="50">
        <f t="array" ref="A1807">+INDEX(Partidas!$A:$J,MATCH('Resultados dashboard'!$B1807,Partidas!$C:$C,0),2)</f>
        <v>46039</v>
      </c>
      <c r="B1807" s="56">
        <f>+IF(COUNTIF($B$2:B1806,B1806)=VLOOKUP(B1806,Partidas!$C:$J,8,0),B1806+1,B1806)</f>
        <v>397</v>
      </c>
      <c r="C1807" s="41" t="str">
        <f t="array" ref="C1807">+INDEX(Partidas!$A:$J,MATCH('Resultados dashboard'!$B1807,Partidas!$C:$C,0),3+COUNTIF($B$2:B1807,'Resultados dashboard'!$B1807))</f>
        <v>Moch</v>
      </c>
      <c r="D1807" s="54">
        <v>8</v>
      </c>
      <c r="E1807" s="54"/>
      <c r="F1807" s="54">
        <v>1</v>
      </c>
      <c r="G1807" s="53"/>
      <c r="H1807" s="38">
        <f t="shared" si="17"/>
        <v>10</v>
      </c>
      <c r="I1807" s="38">
        <f t="shared" si="16"/>
        <v>1</v>
      </c>
      <c r="J1807" s="55"/>
    </row>
    <row r="1808" spans="1:10" ht="15" customHeight="1" x14ac:dyDescent="0.2">
      <c r="A1808" s="50">
        <f t="array" ref="A1808">+INDEX(Partidas!$A:$J,MATCH('Resultados dashboard'!$B1808,Partidas!$C:$C,0),2)</f>
        <v>46039</v>
      </c>
      <c r="B1808" s="56">
        <f>+IF(COUNTIF($B$2:B1807,B1807)=VLOOKUP(B1807,Partidas!$C:$J,8,0),B1807+1,B1807)</f>
        <v>397</v>
      </c>
      <c r="C1808" s="41" t="str">
        <f t="array" ref="C1808">+INDEX(Partidas!$A:$J,MATCH('Resultados dashboard'!$B1808,Partidas!$C:$C,0),3+COUNTIF($B$2:B1808,'Resultados dashboard'!$B1808))</f>
        <v>Max</v>
      </c>
      <c r="D1808" s="54">
        <v>7</v>
      </c>
      <c r="E1808" s="54"/>
      <c r="F1808" s="53"/>
      <c r="G1808" s="54"/>
      <c r="H1808" s="38">
        <f t="shared" si="17"/>
        <v>7</v>
      </c>
      <c r="I1808" s="38">
        <f t="shared" si="16"/>
        <v>4</v>
      </c>
      <c r="J1808" s="55"/>
    </row>
    <row r="1809" spans="1:10" ht="15" customHeight="1" x14ac:dyDescent="0.2">
      <c r="A1809" s="50">
        <f t="array" ref="A1809">+INDEX(Partidas!$A:$J,MATCH('Resultados dashboard'!$B1809,Partidas!$C:$C,0),2)</f>
        <v>46039</v>
      </c>
      <c r="B1809" s="56">
        <f>+IF(COUNTIF($B$2:B1808,B1808)=VLOOKUP(B1808,Partidas!$C:$J,8,0),B1808+1,B1808)</f>
        <v>397</v>
      </c>
      <c r="C1809" s="41" t="str">
        <f t="array" ref="C1809">+INDEX(Partidas!$A:$J,MATCH('Resultados dashboard'!$B1809,Partidas!$C:$C,0),3+COUNTIF($B$2:B1809,'Resultados dashboard'!$B1809))</f>
        <v>Gaspa</v>
      </c>
      <c r="D1809" s="54">
        <v>7</v>
      </c>
      <c r="E1809" s="54">
        <v>1</v>
      </c>
      <c r="F1809" s="53"/>
      <c r="G1809" s="53"/>
      <c r="H1809" s="38">
        <f t="shared" si="17"/>
        <v>8</v>
      </c>
      <c r="I1809" s="38">
        <f t="shared" si="16"/>
        <v>2</v>
      </c>
      <c r="J1809" s="55"/>
    </row>
    <row r="1810" spans="1:10" ht="15" customHeight="1" x14ac:dyDescent="0.2">
      <c r="A1810" s="50">
        <f t="array" ref="A1810">+INDEX(Partidas!$A:$J,MATCH('Resultados dashboard'!$B1810,Partidas!$C:$C,0),2)</f>
        <v>46039</v>
      </c>
      <c r="B1810" s="56">
        <f>+IF(COUNTIF($B$2:B1809,B1809)=VLOOKUP(B1809,Partidas!$C:$J,8,0),B1809+1,B1809)</f>
        <v>398</v>
      </c>
      <c r="C1810" s="41" t="str">
        <f t="array" ref="C1810">+INDEX(Partidas!$A:$J,MATCH('Resultados dashboard'!$B1810,Partidas!$C:$C,0),3+COUNTIF($B$2:B1810,'Resultados dashboard'!$B1810))</f>
        <v>Ivo</v>
      </c>
      <c r="D1810" s="54">
        <v>6</v>
      </c>
      <c r="E1810" s="53"/>
      <c r="F1810" s="54">
        <v>1</v>
      </c>
      <c r="G1810" s="53"/>
      <c r="H1810" s="38">
        <f t="shared" si="17"/>
        <v>8</v>
      </c>
      <c r="I1810" s="38">
        <f t="shared" si="16"/>
        <v>2</v>
      </c>
      <c r="J1810" s="55"/>
    </row>
    <row r="1811" spans="1:10" ht="15" customHeight="1" x14ac:dyDescent="0.2">
      <c r="A1811" s="50">
        <f t="array" ref="A1811">+INDEX(Partidas!$A:$J,MATCH('Resultados dashboard'!$B1811,Partidas!$C:$C,0),2)</f>
        <v>46039</v>
      </c>
      <c r="B1811" s="56">
        <f>+IF(COUNTIF($B$2:B1810,B1810)=VLOOKUP(B1810,Partidas!$C:$J,8,0),B1810+1,B1810)</f>
        <v>398</v>
      </c>
      <c r="C1811" s="41" t="str">
        <f t="array" ref="C1811">+INDEX(Partidas!$A:$J,MATCH('Resultados dashboard'!$B1811,Partidas!$C:$C,0),3+COUNTIF($B$2:B1811,'Resultados dashboard'!$B1811))</f>
        <v>Moch</v>
      </c>
      <c r="D1811" s="54">
        <v>6</v>
      </c>
      <c r="E1811" s="54">
        <v>1</v>
      </c>
      <c r="F1811" s="53"/>
      <c r="G1811" s="53"/>
      <c r="H1811" s="38">
        <f t="shared" si="17"/>
        <v>7</v>
      </c>
      <c r="I1811" s="38">
        <f t="shared" si="16"/>
        <v>3</v>
      </c>
      <c r="J1811" s="55"/>
    </row>
    <row r="1812" spans="1:10" ht="15" customHeight="1" x14ac:dyDescent="0.2">
      <c r="A1812" s="50">
        <f t="array" ref="A1812">+INDEX(Partidas!$A:$J,MATCH('Resultados dashboard'!$B1812,Partidas!$C:$C,0),2)</f>
        <v>46039</v>
      </c>
      <c r="B1812" s="56">
        <f>+IF(COUNTIF($B$2:B1811,B1811)=VLOOKUP(B1811,Partidas!$C:$J,8,0),B1811+1,B1811)</f>
        <v>398</v>
      </c>
      <c r="C1812" s="41" t="str">
        <f t="array" ref="C1812">+INDEX(Partidas!$A:$J,MATCH('Resultados dashboard'!$B1812,Partidas!$C:$C,0),3+COUNTIF($B$2:B1812,'Resultados dashboard'!$B1812))</f>
        <v>Max</v>
      </c>
      <c r="D1812" s="54">
        <v>7</v>
      </c>
      <c r="E1812" s="54">
        <v>1</v>
      </c>
      <c r="F1812" s="53"/>
      <c r="G1812" s="54">
        <v>1</v>
      </c>
      <c r="H1812" s="38">
        <f t="shared" si="17"/>
        <v>10</v>
      </c>
      <c r="I1812" s="38">
        <f t="shared" si="16"/>
        <v>1</v>
      </c>
      <c r="J1812" s="55"/>
    </row>
    <row r="1813" spans="1:10" ht="15" customHeight="1" x14ac:dyDescent="0.2">
      <c r="A1813" s="50">
        <f t="array" ref="A1813">+INDEX(Partidas!$A:$J,MATCH('Resultados dashboard'!$B1813,Partidas!$C:$C,0),2)</f>
        <v>46039</v>
      </c>
      <c r="B1813" s="56">
        <f>+IF(COUNTIF($B$2:B1812,B1812)=VLOOKUP(B1812,Partidas!$C:$J,8,0),B1812+1,B1812)</f>
        <v>398</v>
      </c>
      <c r="C1813" s="41" t="str">
        <f t="array" ref="C1813">+INDEX(Partidas!$A:$J,MATCH('Resultados dashboard'!$B1813,Partidas!$C:$C,0),3+COUNTIF($B$2:B1813,'Resultados dashboard'!$B1813))</f>
        <v>Gaspa</v>
      </c>
      <c r="D1813" s="54">
        <v>4</v>
      </c>
      <c r="E1813" s="54">
        <v>2</v>
      </c>
      <c r="F1813" s="53"/>
      <c r="G1813" s="53"/>
      <c r="H1813" s="38">
        <f t="shared" si="17"/>
        <v>6</v>
      </c>
      <c r="I1813" s="38">
        <f t="shared" si="16"/>
        <v>4</v>
      </c>
      <c r="J1813" s="55"/>
    </row>
    <row r="1814" spans="1:10" ht="15" customHeight="1" x14ac:dyDescent="0.2">
      <c r="A1814" s="50">
        <f t="array" ref="A1814">+INDEX(Partidas!$A:$J,MATCH('Resultados dashboard'!$B1814,Partidas!$C:$C,0),2)</f>
        <v>46050</v>
      </c>
      <c r="B1814" s="56">
        <f>+IF(COUNTIF($B$2:B1813,B1813)=VLOOKUP(B1813,Partidas!$C:$J,8,0),B1813+1,B1813)</f>
        <v>399</v>
      </c>
      <c r="C1814" s="41" t="str">
        <f t="array" ref="C1814">+INDEX(Partidas!$A:$J,MATCH('Resultados dashboard'!$B1814,Partidas!$C:$C,0),3+COUNTIF($B$2:B1814,'Resultados dashboard'!$B1814))</f>
        <v>Gallo</v>
      </c>
      <c r="D1814" s="54">
        <v>8</v>
      </c>
      <c r="E1814" s="53"/>
      <c r="F1814" s="53"/>
      <c r="G1814" s="53"/>
      <c r="H1814" s="38">
        <f t="shared" si="17"/>
        <v>8</v>
      </c>
      <c r="I1814" s="38">
        <f t="shared" si="16"/>
        <v>2</v>
      </c>
      <c r="J1814" s="55"/>
    </row>
    <row r="1815" spans="1:10" ht="15" customHeight="1" x14ac:dyDescent="0.2">
      <c r="A1815" s="50">
        <f t="array" ref="A1815">+INDEX(Partidas!$A:$J,MATCH('Resultados dashboard'!$B1815,Partidas!$C:$C,0),2)</f>
        <v>46050</v>
      </c>
      <c r="B1815" s="56">
        <f>+IF(COUNTIF($B$2:B1814,B1814)=VLOOKUP(B1814,Partidas!$C:$J,8,0),B1814+1,B1814)</f>
        <v>399</v>
      </c>
      <c r="C1815" s="41" t="str">
        <f t="array" ref="C1815">+INDEX(Partidas!$A:$J,MATCH('Resultados dashboard'!$B1815,Partidas!$C:$C,0),3+COUNTIF($B$2:B1815,'Resultados dashboard'!$B1815))</f>
        <v>Ivo</v>
      </c>
      <c r="D1815" s="54">
        <v>4</v>
      </c>
      <c r="E1815" s="54">
        <v>1</v>
      </c>
      <c r="F1815" s="54">
        <v>1</v>
      </c>
      <c r="G1815" s="53"/>
      <c r="H1815" s="38">
        <f t="shared" si="17"/>
        <v>7</v>
      </c>
      <c r="I1815" s="38">
        <f t="shared" si="16"/>
        <v>3</v>
      </c>
      <c r="J1815" s="55"/>
    </row>
    <row r="1816" spans="1:10" ht="15" customHeight="1" x14ac:dyDescent="0.2">
      <c r="A1816" s="50">
        <f t="array" ref="A1816">+INDEX(Partidas!$A:$J,MATCH('Resultados dashboard'!$B1816,Partidas!$C:$C,0),2)</f>
        <v>46050</v>
      </c>
      <c r="B1816" s="56">
        <f>+IF(COUNTIF($B$2:B1815,B1815)=VLOOKUP(B1815,Partidas!$C:$J,8,0),B1815+1,B1815)</f>
        <v>399</v>
      </c>
      <c r="C1816" s="41" t="str">
        <f t="array" ref="C1816">+INDEX(Partidas!$A:$J,MATCH('Resultados dashboard'!$B1816,Partidas!$C:$C,0),3+COUNTIF($B$2:B1816,'Resultados dashboard'!$B1816))</f>
        <v>Moch</v>
      </c>
      <c r="D1816" s="54">
        <v>8</v>
      </c>
      <c r="E1816" s="53"/>
      <c r="F1816" s="53"/>
      <c r="G1816" s="54">
        <v>1</v>
      </c>
      <c r="H1816" s="38">
        <f t="shared" si="17"/>
        <v>10</v>
      </c>
      <c r="I1816" s="38">
        <f t="shared" si="16"/>
        <v>1</v>
      </c>
      <c r="J1816" s="55"/>
    </row>
    <row r="1817" spans="1:10" ht="15" customHeight="1" x14ac:dyDescent="0.2">
      <c r="A1817" s="50">
        <f t="array" ref="A1817">+INDEX(Partidas!$A:$J,MATCH('Resultados dashboard'!$B1817,Partidas!$C:$C,0),2)</f>
        <v>46050</v>
      </c>
      <c r="B1817" s="56">
        <f>+IF(COUNTIF($B$2:B1816,B1816)=VLOOKUP(B1816,Partidas!$C:$J,8,0),B1816+1,B1816)</f>
        <v>399</v>
      </c>
      <c r="C1817" s="41" t="str">
        <f t="array" ref="C1817">+INDEX(Partidas!$A:$J,MATCH('Resultados dashboard'!$B1817,Partidas!$C:$C,0),3+COUNTIF($B$2:B1817,'Resultados dashboard'!$B1817))</f>
        <v>Max</v>
      </c>
      <c r="D1817" s="54">
        <v>6</v>
      </c>
      <c r="E1817" s="53"/>
      <c r="F1817" s="53"/>
      <c r="G1817" s="53"/>
      <c r="H1817" s="38">
        <f t="shared" si="17"/>
        <v>6</v>
      </c>
      <c r="I1817" s="38">
        <f t="shared" si="16"/>
        <v>4</v>
      </c>
      <c r="J1817" s="55"/>
    </row>
    <row r="1818" spans="1:10" ht="15" customHeight="1" x14ac:dyDescent="0.2">
      <c r="A1818" s="50">
        <f t="array" ref="A1818">+INDEX(Partidas!$A:$J,MATCH('Resultados dashboard'!$B1818,Partidas!$C:$C,0),2)</f>
        <v>46050</v>
      </c>
      <c r="B1818" s="56">
        <f>+IF(COUNTIF($B$2:B1817,B1817)=VLOOKUP(B1817,Partidas!$C:$J,8,0),B1817+1,B1817)</f>
        <v>399</v>
      </c>
      <c r="C1818" s="41" t="str">
        <f t="array" ref="C1818">+INDEX(Partidas!$A:$J,MATCH('Resultados dashboard'!$B1818,Partidas!$C:$C,0),3+COUNTIF($B$2:B1818,'Resultados dashboard'!$B1818))</f>
        <v>Hugo</v>
      </c>
      <c r="D1818" s="54">
        <v>4</v>
      </c>
      <c r="E1818" s="54">
        <v>1</v>
      </c>
      <c r="F1818" s="53"/>
      <c r="G1818" s="53"/>
      <c r="H1818" s="38">
        <f t="shared" si="17"/>
        <v>5</v>
      </c>
      <c r="I1818" s="38">
        <f t="shared" si="16"/>
        <v>5</v>
      </c>
      <c r="J1818" s="55"/>
    </row>
    <row r="1819" spans="1:10" ht="15" customHeight="1" x14ac:dyDescent="0.2">
      <c r="A1819" s="50">
        <f t="array" ref="A1819">+INDEX(Partidas!$A:$J,MATCH('Resultados dashboard'!$B1819,Partidas!$C:$C,0),2)</f>
        <v>46050</v>
      </c>
      <c r="B1819" s="56">
        <f>+IF(COUNTIF($B$2:B1818,B1818)=VLOOKUP(B1818,Partidas!$C:$J,8,0),B1818+1,B1818)</f>
        <v>400</v>
      </c>
      <c r="C1819" s="41" t="str">
        <f t="array" ref="C1819">+INDEX(Partidas!$A:$J,MATCH('Resultados dashboard'!$B1819,Partidas!$C:$C,0),3+COUNTIF($B$2:B1819,'Resultados dashboard'!$B1819))</f>
        <v>Gallo</v>
      </c>
      <c r="D1819" s="54">
        <v>5</v>
      </c>
      <c r="E1819" s="53"/>
      <c r="F1819" s="53"/>
      <c r="G1819" s="53"/>
      <c r="H1819" s="38">
        <f t="shared" si="17"/>
        <v>5</v>
      </c>
      <c r="I1819" s="38">
        <f t="shared" si="16"/>
        <v>5</v>
      </c>
      <c r="J1819" s="55"/>
    </row>
    <row r="1820" spans="1:10" ht="15" customHeight="1" x14ac:dyDescent="0.2">
      <c r="A1820" s="50">
        <f t="array" ref="A1820">+INDEX(Partidas!$A:$J,MATCH('Resultados dashboard'!$B1820,Partidas!$C:$C,0),2)</f>
        <v>46050</v>
      </c>
      <c r="B1820" s="56">
        <f>+IF(COUNTIF($B$2:B1819,B1819)=VLOOKUP(B1819,Partidas!$C:$J,8,0),B1819+1,B1819)</f>
        <v>400</v>
      </c>
      <c r="C1820" s="41" t="str">
        <f t="array" ref="C1820">+INDEX(Partidas!$A:$J,MATCH('Resultados dashboard'!$B1820,Partidas!$C:$C,0),3+COUNTIF($B$2:B1820,'Resultados dashboard'!$B1820))</f>
        <v>Ivo</v>
      </c>
      <c r="D1820" s="54">
        <v>4</v>
      </c>
      <c r="E1820" s="54">
        <v>1</v>
      </c>
      <c r="F1820" s="54">
        <v>1</v>
      </c>
      <c r="G1820" s="53"/>
      <c r="H1820" s="38">
        <f t="shared" si="17"/>
        <v>7</v>
      </c>
      <c r="I1820" s="38">
        <f t="shared" si="16"/>
        <v>4</v>
      </c>
      <c r="J1820" s="55"/>
    </row>
    <row r="1821" spans="1:10" ht="15" customHeight="1" x14ac:dyDescent="0.2">
      <c r="A1821" s="50">
        <f t="array" ref="A1821">+INDEX(Partidas!$A:$J,MATCH('Resultados dashboard'!$B1821,Partidas!$C:$C,0),2)</f>
        <v>46050</v>
      </c>
      <c r="B1821" s="56">
        <f>+IF(COUNTIF($B$2:B1820,B1820)=VLOOKUP(B1820,Partidas!$C:$J,8,0),B1820+1,B1820)</f>
        <v>400</v>
      </c>
      <c r="C1821" s="41" t="str">
        <f t="array" ref="C1821">+INDEX(Partidas!$A:$J,MATCH('Resultados dashboard'!$B1821,Partidas!$C:$C,0),3+COUNTIF($B$2:B1821,'Resultados dashboard'!$B1821))</f>
        <v>Moch</v>
      </c>
      <c r="D1821" s="54">
        <v>9</v>
      </c>
      <c r="E1821" s="53"/>
      <c r="F1821" s="53"/>
      <c r="G1821" s="53"/>
      <c r="H1821" s="38">
        <f t="shared" si="17"/>
        <v>9</v>
      </c>
      <c r="I1821" s="38">
        <f t="shared" si="16"/>
        <v>2</v>
      </c>
      <c r="J1821" s="55"/>
    </row>
    <row r="1822" spans="1:10" ht="15" customHeight="1" x14ac:dyDescent="0.2">
      <c r="A1822" s="50">
        <f t="array" ref="A1822">+INDEX(Partidas!$A:$J,MATCH('Resultados dashboard'!$B1822,Partidas!$C:$C,0),2)</f>
        <v>46050</v>
      </c>
      <c r="B1822" s="56">
        <f>+IF(COUNTIF($B$2:B1821,B1821)=VLOOKUP(B1821,Partidas!$C:$J,8,0),B1821+1,B1821)</f>
        <v>400</v>
      </c>
      <c r="C1822" s="41" t="str">
        <f t="array" ref="C1822">+INDEX(Partidas!$A:$J,MATCH('Resultados dashboard'!$B1822,Partidas!$C:$C,0),3+COUNTIF($B$2:B1822,'Resultados dashboard'!$B1822))</f>
        <v>Max</v>
      </c>
      <c r="D1822" s="54">
        <v>6</v>
      </c>
      <c r="E1822" s="54">
        <v>2</v>
      </c>
      <c r="F1822" s="53"/>
      <c r="G1822" s="53"/>
      <c r="H1822" s="38">
        <f t="shared" si="17"/>
        <v>8</v>
      </c>
      <c r="I1822" s="38">
        <f t="shared" si="16"/>
        <v>3</v>
      </c>
      <c r="J1822" s="55"/>
    </row>
    <row r="1823" spans="1:10" ht="15" customHeight="1" x14ac:dyDescent="0.2">
      <c r="A1823" s="50">
        <f t="array" ref="A1823">+INDEX(Partidas!$A:$J,MATCH('Resultados dashboard'!$B1823,Partidas!$C:$C,0),2)</f>
        <v>46050</v>
      </c>
      <c r="B1823" s="56">
        <f>+IF(COUNTIF($B$2:B1822,B1822)=VLOOKUP(B1822,Partidas!$C:$J,8,0),B1822+1,B1822)</f>
        <v>400</v>
      </c>
      <c r="C1823" s="41" t="str">
        <f t="array" ref="C1823">+INDEX(Partidas!$A:$J,MATCH('Resultados dashboard'!$B1823,Partidas!$C:$C,0),3+COUNTIF($B$2:B1823,'Resultados dashboard'!$B1823))</f>
        <v>Hugo</v>
      </c>
      <c r="D1823" s="54">
        <v>8</v>
      </c>
      <c r="E1823" s="53"/>
      <c r="F1823" s="53"/>
      <c r="G1823" s="54">
        <v>1</v>
      </c>
      <c r="H1823" s="38">
        <f t="shared" si="17"/>
        <v>10</v>
      </c>
      <c r="I1823" s="38">
        <f t="shared" si="16"/>
        <v>1</v>
      </c>
      <c r="J1823" s="55"/>
    </row>
    <row r="1824" spans="1:10" ht="15" customHeight="1" x14ac:dyDescent="0.2">
      <c r="A1824" s="50">
        <f t="array" ref="A1824">+INDEX(Partidas!$A:$J,MATCH('Resultados dashboard'!$B1824,Partidas!$C:$C,0),2)</f>
        <v>46050</v>
      </c>
      <c r="B1824" s="56">
        <f>+IF(COUNTIF($B$2:B1823,B1823)=VLOOKUP(B1823,Partidas!$C:$J,8,0),B1823+1,B1823)</f>
        <v>401</v>
      </c>
      <c r="C1824" s="41" t="str">
        <f t="array" ref="C1824">+INDEX(Partidas!$A:$J,MATCH('Resultados dashboard'!$B1824,Partidas!$C:$C,0),3+COUNTIF($B$2:B1824,'Resultados dashboard'!$B1824))</f>
        <v>Gallo</v>
      </c>
      <c r="D1824" s="54">
        <v>8</v>
      </c>
      <c r="E1824" s="54">
        <v>1</v>
      </c>
      <c r="F1824" s="54">
        <v>1</v>
      </c>
      <c r="G1824" s="53"/>
      <c r="H1824" s="38">
        <f t="shared" si="17"/>
        <v>11</v>
      </c>
      <c r="I1824" s="38">
        <f t="shared" si="16"/>
        <v>1</v>
      </c>
      <c r="J1824" s="55"/>
    </row>
    <row r="1825" spans="1:10" ht="15" customHeight="1" x14ac:dyDescent="0.2">
      <c r="A1825" s="50">
        <f t="array" ref="A1825">+INDEX(Partidas!$A:$J,MATCH('Resultados dashboard'!$B1825,Partidas!$C:$C,0),2)</f>
        <v>46050</v>
      </c>
      <c r="B1825" s="56">
        <f>+IF(COUNTIF($B$2:B1824,B1824)=VLOOKUP(B1824,Partidas!$C:$J,8,0),B1824+1,B1824)</f>
        <v>401</v>
      </c>
      <c r="C1825" s="41" t="str">
        <f t="array" ref="C1825">+INDEX(Partidas!$A:$J,MATCH('Resultados dashboard'!$B1825,Partidas!$C:$C,0),3+COUNTIF($B$2:B1825,'Resultados dashboard'!$B1825))</f>
        <v>Ivo</v>
      </c>
      <c r="D1825" s="54">
        <v>4</v>
      </c>
      <c r="E1825" s="54">
        <v>1</v>
      </c>
      <c r="F1825" s="53"/>
      <c r="G1825" s="53"/>
      <c r="H1825" s="38">
        <f t="shared" si="17"/>
        <v>5</v>
      </c>
      <c r="I1825" s="38">
        <f t="shared" si="16"/>
        <v>5</v>
      </c>
      <c r="J1825" s="55"/>
    </row>
    <row r="1826" spans="1:10" ht="15" customHeight="1" x14ac:dyDescent="0.2">
      <c r="A1826" s="50">
        <f t="array" ref="A1826">+INDEX(Partidas!$A:$J,MATCH('Resultados dashboard'!$B1826,Partidas!$C:$C,0),2)</f>
        <v>46050</v>
      </c>
      <c r="B1826" s="56">
        <f>+IF(COUNTIF($B$2:B1825,B1825)=VLOOKUP(B1825,Partidas!$C:$J,8,0),B1825+1,B1825)</f>
        <v>401</v>
      </c>
      <c r="C1826" s="41" t="str">
        <f t="array" ref="C1826">+INDEX(Partidas!$A:$J,MATCH('Resultados dashboard'!$B1826,Partidas!$C:$C,0),3+COUNTIF($B$2:B1826,'Resultados dashboard'!$B1826))</f>
        <v>Moch</v>
      </c>
      <c r="D1826" s="54">
        <v>7</v>
      </c>
      <c r="E1826" s="53"/>
      <c r="F1826" s="53"/>
      <c r="G1826" s="53"/>
      <c r="H1826" s="38">
        <f t="shared" si="17"/>
        <v>7</v>
      </c>
      <c r="I1826" s="38">
        <f t="shared" si="16"/>
        <v>3</v>
      </c>
      <c r="J1826" s="55"/>
    </row>
    <row r="1827" spans="1:10" ht="15" customHeight="1" x14ac:dyDescent="0.2">
      <c r="A1827" s="50">
        <f t="array" ref="A1827">+INDEX(Partidas!$A:$J,MATCH('Resultados dashboard'!$B1827,Partidas!$C:$C,0),2)</f>
        <v>46050</v>
      </c>
      <c r="B1827" s="56">
        <f>+IF(COUNTIF($B$2:B1826,B1826)=VLOOKUP(B1826,Partidas!$C:$J,8,0),B1826+1,B1826)</f>
        <v>401</v>
      </c>
      <c r="C1827" s="41" t="str">
        <f t="array" ref="C1827">+INDEX(Partidas!$A:$J,MATCH('Resultados dashboard'!$B1827,Partidas!$C:$C,0),3+COUNTIF($B$2:B1827,'Resultados dashboard'!$B1827))</f>
        <v>Max</v>
      </c>
      <c r="D1827" s="54">
        <v>6</v>
      </c>
      <c r="E1827" s="54">
        <v>1</v>
      </c>
      <c r="F1827" s="53"/>
      <c r="G1827" s="53"/>
      <c r="H1827" s="38">
        <f t="shared" si="17"/>
        <v>7</v>
      </c>
      <c r="I1827" s="38">
        <f t="shared" si="16"/>
        <v>3</v>
      </c>
      <c r="J1827" s="55"/>
    </row>
    <row r="1828" spans="1:10" ht="15" customHeight="1" x14ac:dyDescent="0.2">
      <c r="A1828" s="50">
        <f t="array" ref="A1828">+INDEX(Partidas!$A:$J,MATCH('Resultados dashboard'!$B1828,Partidas!$C:$C,0),2)</f>
        <v>46050</v>
      </c>
      <c r="B1828" s="56">
        <f>+IF(COUNTIF($B$2:B1827,B1827)=VLOOKUP(B1827,Partidas!$C:$J,8,0),B1827+1,B1827)</f>
        <v>401</v>
      </c>
      <c r="C1828" s="41" t="str">
        <f t="array" ref="C1828">+INDEX(Partidas!$A:$J,MATCH('Resultados dashboard'!$B1828,Partidas!$C:$C,0),3+COUNTIF($B$2:B1828,'Resultados dashboard'!$B1828))</f>
        <v>Hugo</v>
      </c>
      <c r="D1828" s="54">
        <v>5</v>
      </c>
      <c r="E1828" s="54">
        <v>1</v>
      </c>
      <c r="F1828" s="54">
        <v>1</v>
      </c>
      <c r="G1828" s="53"/>
      <c r="H1828" s="38">
        <f t="shared" si="17"/>
        <v>8</v>
      </c>
      <c r="I1828" s="38">
        <f t="shared" si="16"/>
        <v>2</v>
      </c>
      <c r="J1828" s="55"/>
    </row>
    <row r="1829" spans="1:10" ht="15" customHeight="1" x14ac:dyDescent="0.2">
      <c r="A1829" s="50">
        <f t="array" ref="A1829">+INDEX(Partidas!$A:$J,MATCH('Resultados dashboard'!$B1829,Partidas!$C:$C,0),2)</f>
        <v>46067</v>
      </c>
      <c r="B1829" s="56">
        <f>+IF(COUNTIF($B$2:B1828,B1828)=VLOOKUP(B1828,Partidas!$C:$J,8,0),B1828+1,B1828)</f>
        <v>402</v>
      </c>
      <c r="C1829" s="41" t="str">
        <f t="array" ref="C1829">+INDEX(Partidas!$A:$J,MATCH('Resultados dashboard'!$B1829,Partidas!$C:$C,0),3+COUNTIF($B$2:B1829,'Resultados dashboard'!$B1829))</f>
        <v>Gallo</v>
      </c>
      <c r="D1829" s="54">
        <v>6</v>
      </c>
      <c r="E1829" s="53"/>
      <c r="F1829" s="53"/>
      <c r="G1829" s="53"/>
      <c r="H1829" s="38">
        <f t="shared" si="17"/>
        <v>6</v>
      </c>
      <c r="I1829" s="38">
        <f t="shared" si="16"/>
        <v>5</v>
      </c>
      <c r="J1829" s="55"/>
    </row>
    <row r="1830" spans="1:10" ht="15" customHeight="1" x14ac:dyDescent="0.2">
      <c r="A1830" s="50">
        <f t="array" ref="A1830">+INDEX(Partidas!$A:$J,MATCH('Resultados dashboard'!$B1830,Partidas!$C:$C,0),2)</f>
        <v>46067</v>
      </c>
      <c r="B1830" s="56">
        <f>+IF(COUNTIF($B$2:B1829,B1829)=VLOOKUP(B1829,Partidas!$C:$J,8,0),B1829+1,B1829)</f>
        <v>402</v>
      </c>
      <c r="C1830" s="41" t="str">
        <f t="array" ref="C1830">+INDEX(Partidas!$A:$J,MATCH('Resultados dashboard'!$B1830,Partidas!$C:$C,0),3+COUNTIF($B$2:B1830,'Resultados dashboard'!$B1830))</f>
        <v>Ivo</v>
      </c>
      <c r="D1830" s="54">
        <v>5</v>
      </c>
      <c r="E1830" s="54">
        <v>2</v>
      </c>
      <c r="F1830" s="53"/>
      <c r="G1830" s="53"/>
      <c r="H1830" s="38">
        <f t="shared" si="17"/>
        <v>7</v>
      </c>
      <c r="I1830" s="38">
        <f t="shared" si="16"/>
        <v>3</v>
      </c>
      <c r="J1830" s="55"/>
    </row>
    <row r="1831" spans="1:10" ht="15" customHeight="1" x14ac:dyDescent="0.2">
      <c r="A1831" s="50">
        <f t="array" ref="A1831">+INDEX(Partidas!$A:$J,MATCH('Resultados dashboard'!$B1831,Partidas!$C:$C,0),2)</f>
        <v>46067</v>
      </c>
      <c r="B1831" s="56">
        <f>+IF(COUNTIF($B$2:B1830,B1830)=VLOOKUP(B1830,Partidas!$C:$J,8,0),B1830+1,B1830)</f>
        <v>402</v>
      </c>
      <c r="C1831" s="41" t="str">
        <f t="array" ref="C1831">+INDEX(Partidas!$A:$J,MATCH('Resultados dashboard'!$B1831,Partidas!$C:$C,0),3+COUNTIF($B$2:B1831,'Resultados dashboard'!$B1831))</f>
        <v>Moch</v>
      </c>
      <c r="D1831" s="54">
        <v>6</v>
      </c>
      <c r="E1831" s="53"/>
      <c r="F1831" s="53"/>
      <c r="G1831" s="53"/>
      <c r="H1831" s="38">
        <f t="shared" si="17"/>
        <v>6</v>
      </c>
      <c r="I1831" s="38">
        <f t="shared" ref="I1831:I2075" si="18">COUNTIFS($B$2:$B$10000,B1831,$H$2:$H$10000,"&gt;" &amp; H1831)+1</f>
        <v>5</v>
      </c>
      <c r="J1831" s="55"/>
    </row>
    <row r="1832" spans="1:10" ht="15" customHeight="1" x14ac:dyDescent="0.2">
      <c r="A1832" s="50">
        <f t="array" ref="A1832">+INDEX(Partidas!$A:$J,MATCH('Resultados dashboard'!$B1832,Partidas!$C:$C,0),2)</f>
        <v>46067</v>
      </c>
      <c r="B1832" s="56">
        <f>+IF(COUNTIF($B$2:B1831,B1831)=VLOOKUP(B1831,Partidas!$C:$J,8,0),B1831+1,B1831)</f>
        <v>402</v>
      </c>
      <c r="C1832" s="41" t="str">
        <f t="array" ref="C1832">+INDEX(Partidas!$A:$J,MATCH('Resultados dashboard'!$B1832,Partidas!$C:$C,0),3+COUNTIF($B$2:B1832,'Resultados dashboard'!$B1832))</f>
        <v>Max</v>
      </c>
      <c r="D1832" s="54">
        <v>7</v>
      </c>
      <c r="E1832" s="53"/>
      <c r="F1832" s="53"/>
      <c r="G1832" s="53"/>
      <c r="H1832" s="38">
        <f t="shared" si="17"/>
        <v>7</v>
      </c>
      <c r="I1832" s="38">
        <f t="shared" si="18"/>
        <v>3</v>
      </c>
      <c r="J1832" s="55"/>
    </row>
    <row r="1833" spans="1:10" ht="15" customHeight="1" x14ac:dyDescent="0.2">
      <c r="A1833" s="50">
        <f t="array" ref="A1833">+INDEX(Partidas!$A:$J,MATCH('Resultados dashboard'!$B1833,Partidas!$C:$C,0),2)</f>
        <v>46067</v>
      </c>
      <c r="B1833" s="56">
        <f>+IF(COUNTIF($B$2:B1832,B1832)=VLOOKUP(B1832,Partidas!$C:$J,8,0),B1832+1,B1832)</f>
        <v>402</v>
      </c>
      <c r="C1833" s="41" t="str">
        <f t="array" ref="C1833">+INDEX(Partidas!$A:$J,MATCH('Resultados dashboard'!$B1833,Partidas!$C:$C,0),3+COUNTIF($B$2:B1833,'Resultados dashboard'!$B1833))</f>
        <v>Gaspa</v>
      </c>
      <c r="D1833" s="54">
        <v>6</v>
      </c>
      <c r="E1833" s="54">
        <v>1</v>
      </c>
      <c r="F1833" s="54">
        <v>1</v>
      </c>
      <c r="G1833" s="53"/>
      <c r="H1833" s="38">
        <f t="shared" si="17"/>
        <v>9</v>
      </c>
      <c r="I1833" s="38">
        <f t="shared" si="18"/>
        <v>2</v>
      </c>
      <c r="J1833" s="55"/>
    </row>
    <row r="1834" spans="1:10" ht="15" customHeight="1" x14ac:dyDescent="0.2">
      <c r="A1834" s="50">
        <f t="array" ref="A1834">+INDEX(Partidas!$A:$J,MATCH('Resultados dashboard'!$B1834,Partidas!$C:$C,0),2)</f>
        <v>46067</v>
      </c>
      <c r="B1834" s="56">
        <f>+IF(COUNTIF($B$2:B1833,B1833)=VLOOKUP(B1833,Partidas!$C:$J,8,0),B1833+1,B1833)</f>
        <v>402</v>
      </c>
      <c r="C1834" s="41" t="str">
        <f t="array" ref="C1834">+INDEX(Partidas!$A:$J,MATCH('Resultados dashboard'!$B1834,Partidas!$C:$C,0),3+COUNTIF($B$2:B1834,'Resultados dashboard'!$B1834))</f>
        <v>Abegol</v>
      </c>
      <c r="D1834" s="54">
        <v>7</v>
      </c>
      <c r="E1834" s="54">
        <v>1</v>
      </c>
      <c r="F1834" s="53"/>
      <c r="G1834" s="54">
        <v>1</v>
      </c>
      <c r="H1834" s="38">
        <f t="shared" si="17"/>
        <v>10</v>
      </c>
      <c r="I1834" s="38">
        <f t="shared" si="18"/>
        <v>1</v>
      </c>
      <c r="J1834" s="55"/>
    </row>
    <row r="1835" spans="1:10" ht="15" customHeight="1" x14ac:dyDescent="0.2">
      <c r="A1835" s="50">
        <f t="array" ref="A1835">+INDEX(Partidas!$A:$J,MATCH('Resultados dashboard'!$B1835,Partidas!$C:$C,0),2)</f>
        <v>46070</v>
      </c>
      <c r="B1835" s="56">
        <f>+IF(COUNTIF($B$2:B1834,B1834)=VLOOKUP(B1834,Partidas!$C:$J,8,0),B1834+1,B1834)</f>
        <v>403</v>
      </c>
      <c r="C1835" s="41" t="str">
        <f t="array" ref="C1835">+INDEX(Partidas!$A:$J,MATCH('Resultados dashboard'!$B1835,Partidas!$C:$C,0),3+COUNTIF($B$2:B1835,'Resultados dashboard'!$B1835))</f>
        <v>Gallo</v>
      </c>
      <c r="D1835" s="54">
        <v>6</v>
      </c>
      <c r="E1835" s="54">
        <v>2</v>
      </c>
      <c r="F1835" s="54">
        <v>1</v>
      </c>
      <c r="G1835" s="53"/>
      <c r="H1835" s="38">
        <f t="shared" si="17"/>
        <v>10</v>
      </c>
      <c r="I1835" s="38">
        <f t="shared" si="18"/>
        <v>1</v>
      </c>
      <c r="J1835" s="55"/>
    </row>
    <row r="1836" spans="1:10" ht="15" customHeight="1" x14ac:dyDescent="0.2">
      <c r="A1836" s="50">
        <f t="array" ref="A1836">+INDEX(Partidas!$A:$J,MATCH('Resultados dashboard'!$B1836,Partidas!$C:$C,0),2)</f>
        <v>46070</v>
      </c>
      <c r="B1836" s="56">
        <f>+IF(COUNTIF($B$2:B1835,B1835)=VLOOKUP(B1835,Partidas!$C:$J,8,0),B1835+1,B1835)</f>
        <v>403</v>
      </c>
      <c r="C1836" s="41" t="str">
        <f t="array" ref="C1836">+INDEX(Partidas!$A:$J,MATCH('Resultados dashboard'!$B1836,Partidas!$C:$C,0),3+COUNTIF($B$2:B1836,'Resultados dashboard'!$B1836))</f>
        <v>Ivo</v>
      </c>
      <c r="D1836" s="54">
        <v>5</v>
      </c>
      <c r="E1836" s="54">
        <v>2</v>
      </c>
      <c r="F1836" s="53"/>
      <c r="G1836" s="53"/>
      <c r="H1836" s="38">
        <f t="shared" si="17"/>
        <v>7</v>
      </c>
      <c r="I1836" s="38">
        <f t="shared" si="18"/>
        <v>2</v>
      </c>
      <c r="J1836" s="55"/>
    </row>
    <row r="1837" spans="1:10" ht="15" customHeight="1" x14ac:dyDescent="0.2">
      <c r="A1837" s="50">
        <f t="array" ref="A1837">+INDEX(Partidas!$A:$J,MATCH('Resultados dashboard'!$B1837,Partidas!$C:$C,0),2)</f>
        <v>46070</v>
      </c>
      <c r="B1837" s="56">
        <f>+IF(COUNTIF($B$2:B1836,B1836)=VLOOKUP(B1836,Partidas!$C:$J,8,0),B1836+1,B1836)</f>
        <v>403</v>
      </c>
      <c r="C1837" s="41" t="str">
        <f t="array" ref="C1837">+INDEX(Partidas!$A:$J,MATCH('Resultados dashboard'!$B1837,Partidas!$C:$C,0),3+COUNTIF($B$2:B1837,'Resultados dashboard'!$B1837))</f>
        <v>Max</v>
      </c>
      <c r="D1837" s="54">
        <v>5</v>
      </c>
      <c r="E1837" s="53"/>
      <c r="F1837" s="53"/>
      <c r="G1837" s="54">
        <v>1</v>
      </c>
      <c r="H1837" s="38">
        <f t="shared" si="17"/>
        <v>7</v>
      </c>
      <c r="I1837" s="38">
        <f t="shared" si="18"/>
        <v>2</v>
      </c>
      <c r="J1837" s="55"/>
    </row>
    <row r="1838" spans="1:10" ht="15" customHeight="1" x14ac:dyDescent="0.2">
      <c r="A1838" s="50">
        <f t="array" ref="A1838">+INDEX(Partidas!$A:$J,MATCH('Resultados dashboard'!$B1838,Partidas!$C:$C,0),2)</f>
        <v>46070</v>
      </c>
      <c r="B1838" s="56">
        <f>+IF(COUNTIF($B$2:B1837,B1837)=VLOOKUP(B1837,Partidas!$C:$J,8,0),B1837+1,B1837)</f>
        <v>403</v>
      </c>
      <c r="C1838" s="41" t="str">
        <f t="array" ref="C1838">+INDEX(Partidas!$A:$J,MATCH('Resultados dashboard'!$B1838,Partidas!$C:$C,0),3+COUNTIF($B$2:B1838,'Resultados dashboard'!$B1838))</f>
        <v>Gaspa</v>
      </c>
      <c r="D1838" s="54">
        <v>6</v>
      </c>
      <c r="E1838" s="53"/>
      <c r="F1838" s="53"/>
      <c r="G1838" s="53"/>
      <c r="H1838" s="38">
        <f t="shared" si="17"/>
        <v>6</v>
      </c>
      <c r="I1838" s="38">
        <f t="shared" si="18"/>
        <v>4</v>
      </c>
      <c r="J1838" s="55"/>
    </row>
    <row r="1839" spans="1:10" ht="15" customHeight="1" x14ac:dyDescent="0.2">
      <c r="A1839" s="50">
        <f t="array" ref="A1839">+INDEX(Partidas!$A:$J,MATCH('Resultados dashboard'!$B1839,Partidas!$C:$C,0),2)</f>
        <v>46070</v>
      </c>
      <c r="B1839" s="56">
        <f>+IF(COUNTIF($B$2:B1838,B1838)=VLOOKUP(B1838,Partidas!$C:$J,8,0),B1838+1,B1838)</f>
        <v>404</v>
      </c>
      <c r="C1839" s="41" t="str">
        <f t="array" ref="C1839">+INDEX(Partidas!$A:$J,MATCH('Resultados dashboard'!$B1839,Partidas!$C:$C,0),3+COUNTIF($B$2:B1839,'Resultados dashboard'!$B1839))</f>
        <v>Gallo</v>
      </c>
      <c r="D1839" s="54">
        <v>8</v>
      </c>
      <c r="E1839" s="53"/>
      <c r="F1839" s="53"/>
      <c r="G1839" s="53"/>
      <c r="H1839" s="38">
        <f t="shared" si="17"/>
        <v>8</v>
      </c>
      <c r="I1839" s="38">
        <f t="shared" si="18"/>
        <v>2</v>
      </c>
      <c r="J1839" s="55"/>
    </row>
    <row r="1840" spans="1:10" ht="15" customHeight="1" x14ac:dyDescent="0.2">
      <c r="A1840" s="50">
        <f t="array" ref="A1840">+INDEX(Partidas!$A:$J,MATCH('Resultados dashboard'!$B1840,Partidas!$C:$C,0),2)</f>
        <v>46070</v>
      </c>
      <c r="B1840" s="56">
        <f>+IF(COUNTIF($B$2:B1839,B1839)=VLOOKUP(B1839,Partidas!$C:$J,8,0),B1839+1,B1839)</f>
        <v>404</v>
      </c>
      <c r="C1840" s="41" t="str">
        <f t="array" ref="C1840">+INDEX(Partidas!$A:$J,MATCH('Resultados dashboard'!$B1840,Partidas!$C:$C,0),3+COUNTIF($B$2:B1840,'Resultados dashboard'!$B1840))</f>
        <v>Ivo</v>
      </c>
      <c r="D1840" s="54">
        <v>4</v>
      </c>
      <c r="E1840" s="54">
        <v>2</v>
      </c>
      <c r="F1840" s="53"/>
      <c r="G1840" s="53"/>
      <c r="H1840" s="38">
        <f t="shared" si="17"/>
        <v>6</v>
      </c>
      <c r="I1840" s="38">
        <f t="shared" si="18"/>
        <v>4</v>
      </c>
      <c r="J1840" s="55"/>
    </row>
    <row r="1841" spans="1:10" ht="15" customHeight="1" x14ac:dyDescent="0.2">
      <c r="A1841" s="50">
        <f t="array" ref="A1841">+INDEX(Partidas!$A:$J,MATCH('Resultados dashboard'!$B1841,Partidas!$C:$C,0),2)</f>
        <v>46070</v>
      </c>
      <c r="B1841" s="56">
        <f>+IF(COUNTIF($B$2:B1840,B1840)=VLOOKUP(B1840,Partidas!$C:$J,8,0),B1840+1,B1840)</f>
        <v>404</v>
      </c>
      <c r="C1841" s="41" t="str">
        <f t="array" ref="C1841">+INDEX(Partidas!$A:$J,MATCH('Resultados dashboard'!$B1841,Partidas!$C:$C,0),3+COUNTIF($B$2:B1841,'Resultados dashboard'!$B1841))</f>
        <v>Max</v>
      </c>
      <c r="D1841" s="54">
        <v>8</v>
      </c>
      <c r="E1841" s="53"/>
      <c r="F1841" s="53"/>
      <c r="G1841" s="54">
        <v>1</v>
      </c>
      <c r="H1841" s="38">
        <f t="shared" si="17"/>
        <v>10</v>
      </c>
      <c r="I1841" s="38">
        <f t="shared" si="18"/>
        <v>1</v>
      </c>
      <c r="J1841" s="55"/>
    </row>
    <row r="1842" spans="1:10" ht="15" customHeight="1" x14ac:dyDescent="0.2">
      <c r="A1842" s="50">
        <f t="array" ref="A1842">+INDEX(Partidas!$A:$J,MATCH('Resultados dashboard'!$B1842,Partidas!$C:$C,0),2)</f>
        <v>46070</v>
      </c>
      <c r="B1842" s="56">
        <f>+IF(COUNTIF($B$2:B1841,B1841)=VLOOKUP(B1841,Partidas!$C:$J,8,0),B1841+1,B1841)</f>
        <v>404</v>
      </c>
      <c r="C1842" s="41" t="str">
        <f t="array" ref="C1842">+INDEX(Partidas!$A:$J,MATCH('Resultados dashboard'!$B1842,Partidas!$C:$C,0),3+COUNTIF($B$2:B1842,'Resultados dashboard'!$B1842))</f>
        <v>Gaspa</v>
      </c>
      <c r="D1842" s="54">
        <v>6</v>
      </c>
      <c r="E1842" s="54">
        <v>1</v>
      </c>
      <c r="F1842" s="53"/>
      <c r="G1842" s="53"/>
      <c r="H1842" s="38">
        <f t="shared" si="17"/>
        <v>7</v>
      </c>
      <c r="I1842" s="38">
        <f t="shared" si="18"/>
        <v>3</v>
      </c>
      <c r="J1842" s="55"/>
    </row>
    <row r="1843" spans="1:10" ht="15" customHeight="1" x14ac:dyDescent="0.2">
      <c r="A1843" s="50">
        <f t="array" ref="A1843">+INDEX(Partidas!$A:$J,MATCH('Resultados dashboard'!$B1843,Partidas!$C:$C,0),2)</f>
        <v>46070</v>
      </c>
      <c r="B1843" s="56">
        <f>+IF(COUNTIF($B$2:B1842,B1842)=VLOOKUP(B1842,Partidas!$C:$J,8,0),B1842+1,B1842)</f>
        <v>405</v>
      </c>
      <c r="C1843" s="41" t="str">
        <f t="array" ref="C1843">+INDEX(Partidas!$A:$J,MATCH('Resultados dashboard'!$B1843,Partidas!$C:$C,0),3+COUNTIF($B$2:B1843,'Resultados dashboard'!$B1843))</f>
        <v>Gallo</v>
      </c>
      <c r="D1843" s="54">
        <v>4</v>
      </c>
      <c r="E1843" s="54">
        <v>4</v>
      </c>
      <c r="F1843" s="54">
        <v>1</v>
      </c>
      <c r="G1843" s="53"/>
      <c r="H1843" s="38">
        <f t="shared" si="17"/>
        <v>10</v>
      </c>
      <c r="I1843" s="38">
        <f t="shared" si="18"/>
        <v>1</v>
      </c>
      <c r="J1843" s="55"/>
    </row>
    <row r="1844" spans="1:10" ht="15" customHeight="1" x14ac:dyDescent="0.2">
      <c r="A1844" s="50">
        <f t="array" ref="A1844">+INDEX(Partidas!$A:$J,MATCH('Resultados dashboard'!$B1844,Partidas!$C:$C,0),2)</f>
        <v>46070</v>
      </c>
      <c r="B1844" s="56">
        <f>+IF(COUNTIF($B$2:B1843,B1843)=VLOOKUP(B1843,Partidas!$C:$J,8,0),B1843+1,B1843)</f>
        <v>405</v>
      </c>
      <c r="C1844" s="41" t="str">
        <f t="array" ref="C1844">+INDEX(Partidas!$A:$J,MATCH('Resultados dashboard'!$B1844,Partidas!$C:$C,0),3+COUNTIF($B$2:B1844,'Resultados dashboard'!$B1844))</f>
        <v>Ivo</v>
      </c>
      <c r="D1844" s="54">
        <v>6</v>
      </c>
      <c r="E1844" s="54">
        <v>1</v>
      </c>
      <c r="F1844" s="53"/>
      <c r="G1844" s="53"/>
      <c r="H1844" s="38">
        <f t="shared" si="17"/>
        <v>7</v>
      </c>
      <c r="I1844" s="38">
        <f t="shared" si="18"/>
        <v>3</v>
      </c>
      <c r="J1844" s="55"/>
    </row>
    <row r="1845" spans="1:10" ht="15" customHeight="1" x14ac:dyDescent="0.2">
      <c r="A1845" s="50">
        <f t="array" ref="A1845">+INDEX(Partidas!$A:$J,MATCH('Resultados dashboard'!$B1845,Partidas!$C:$C,0),2)</f>
        <v>46070</v>
      </c>
      <c r="B1845" s="56">
        <f>+IF(COUNTIF($B$2:B1844,B1844)=VLOOKUP(B1844,Partidas!$C:$J,8,0),B1844+1,B1844)</f>
        <v>405</v>
      </c>
      <c r="C1845" s="41" t="str">
        <f t="array" ref="C1845">+INDEX(Partidas!$A:$J,MATCH('Resultados dashboard'!$B1845,Partidas!$C:$C,0),3+COUNTIF($B$2:B1845,'Resultados dashboard'!$B1845))</f>
        <v>Max</v>
      </c>
      <c r="D1845" s="54">
        <v>8</v>
      </c>
      <c r="E1845" s="53"/>
      <c r="F1845" s="53"/>
      <c r="G1845" s="53"/>
      <c r="H1845" s="38">
        <f t="shared" si="17"/>
        <v>8</v>
      </c>
      <c r="I1845" s="38">
        <f t="shared" si="18"/>
        <v>2</v>
      </c>
      <c r="J1845" s="55"/>
    </row>
    <row r="1846" spans="1:10" ht="15" customHeight="1" x14ac:dyDescent="0.2">
      <c r="A1846" s="50">
        <f t="array" ref="A1846">+INDEX(Partidas!$A:$J,MATCH('Resultados dashboard'!$B1846,Partidas!$C:$C,0),2)</f>
        <v>46070</v>
      </c>
      <c r="B1846" s="56">
        <f>+IF(COUNTIF($B$2:B1845,B1845)=VLOOKUP(B1845,Partidas!$C:$J,8,0),B1845+1,B1845)</f>
        <v>405</v>
      </c>
      <c r="C1846" s="41" t="str">
        <f t="array" ref="C1846">+INDEX(Partidas!$A:$J,MATCH('Resultados dashboard'!$B1846,Partidas!$C:$C,0),3+COUNTIF($B$2:B1846,'Resultados dashboard'!$B1846))</f>
        <v>Moch</v>
      </c>
      <c r="D1846" s="54">
        <v>3</v>
      </c>
      <c r="E1846" s="53"/>
      <c r="F1846" s="53"/>
      <c r="G1846" s="53"/>
      <c r="H1846" s="38">
        <f t="shared" si="17"/>
        <v>3</v>
      </c>
      <c r="I1846" s="38">
        <f t="shared" si="18"/>
        <v>4</v>
      </c>
      <c r="J1846" s="55"/>
    </row>
    <row r="1847" spans="1:10" ht="15" customHeight="1" x14ac:dyDescent="0.2">
      <c r="A1847" s="50">
        <f t="array" ref="A1847">+INDEX(Partidas!$A:$J,MATCH('Resultados dashboard'!$B1847,Partidas!$C:$C,0),2)</f>
        <v>46073</v>
      </c>
      <c r="B1847" s="56">
        <f>+IF(COUNTIF($B$2:B1846,B1846)=VLOOKUP(B1846,Partidas!$C:$J,8,0),B1846+1,B1846)</f>
        <v>406</v>
      </c>
      <c r="C1847" s="41" t="str">
        <f t="array" ref="C1847">+INDEX(Partidas!$A:$J,MATCH('Resultados dashboard'!$B1847,Partidas!$C:$C,0),3+COUNTIF($B$2:B1847,'Resultados dashboard'!$B1847))</f>
        <v>Gallo</v>
      </c>
      <c r="D1847" s="54">
        <v>6</v>
      </c>
      <c r="E1847" s="54">
        <v>1</v>
      </c>
      <c r="F1847" s="54">
        <v>1</v>
      </c>
      <c r="G1847" s="53"/>
      <c r="H1847" s="38">
        <f t="shared" si="17"/>
        <v>9</v>
      </c>
      <c r="I1847" s="38">
        <f t="shared" si="18"/>
        <v>2</v>
      </c>
      <c r="J1847" s="55"/>
    </row>
    <row r="1848" spans="1:10" ht="15" customHeight="1" x14ac:dyDescent="0.2">
      <c r="A1848" s="50">
        <f t="array" ref="A1848">+INDEX(Partidas!$A:$J,MATCH('Resultados dashboard'!$B1848,Partidas!$C:$C,0),2)</f>
        <v>46073</v>
      </c>
      <c r="B1848" s="56">
        <f>+IF(COUNTIF($B$2:B1847,B1847)=VLOOKUP(B1847,Partidas!$C:$J,8,0),B1847+1,B1847)</f>
        <v>406</v>
      </c>
      <c r="C1848" s="41" t="str">
        <f t="array" ref="C1848">+INDEX(Partidas!$A:$J,MATCH('Resultados dashboard'!$B1848,Partidas!$C:$C,0),3+COUNTIF($B$2:B1848,'Resultados dashboard'!$B1848))</f>
        <v>Ivo</v>
      </c>
      <c r="D1848" s="54">
        <v>7</v>
      </c>
      <c r="E1848" s="54">
        <v>1</v>
      </c>
      <c r="F1848" s="53"/>
      <c r="G1848" s="53"/>
      <c r="H1848" s="38">
        <f t="shared" si="17"/>
        <v>8</v>
      </c>
      <c r="I1848" s="38">
        <f t="shared" si="18"/>
        <v>3</v>
      </c>
      <c r="J1848" s="55"/>
    </row>
    <row r="1849" spans="1:10" ht="15" customHeight="1" x14ac:dyDescent="0.2">
      <c r="A1849" s="50">
        <f t="array" ref="A1849">+INDEX(Partidas!$A:$J,MATCH('Resultados dashboard'!$B1849,Partidas!$C:$C,0),2)</f>
        <v>46073</v>
      </c>
      <c r="B1849" s="56">
        <f>+IF(COUNTIF($B$2:B1848,B1848)=VLOOKUP(B1848,Partidas!$C:$J,8,0),B1848+1,B1848)</f>
        <v>406</v>
      </c>
      <c r="C1849" s="41" t="str">
        <f t="array" ref="C1849">+INDEX(Partidas!$A:$J,MATCH('Resultados dashboard'!$B1849,Partidas!$C:$C,0),3+COUNTIF($B$2:B1849,'Resultados dashboard'!$B1849))</f>
        <v>Max</v>
      </c>
      <c r="D1849" s="54">
        <v>7</v>
      </c>
      <c r="E1849" s="53"/>
      <c r="F1849" s="53"/>
      <c r="G1849" s="53"/>
      <c r="H1849" s="38">
        <f t="shared" si="17"/>
        <v>7</v>
      </c>
      <c r="I1849" s="38">
        <f t="shared" si="18"/>
        <v>4</v>
      </c>
      <c r="J1849" s="55"/>
    </row>
    <row r="1850" spans="1:10" ht="15" customHeight="1" x14ac:dyDescent="0.2">
      <c r="A1850" s="50">
        <f t="array" ref="A1850">+INDEX(Partidas!$A:$J,MATCH('Resultados dashboard'!$B1850,Partidas!$C:$C,0),2)</f>
        <v>46073</v>
      </c>
      <c r="B1850" s="56">
        <f>+IF(COUNTIF($B$2:B1849,B1849)=VLOOKUP(B1849,Partidas!$C:$J,8,0),B1849+1,B1849)</f>
        <v>406</v>
      </c>
      <c r="C1850" s="41" t="str">
        <f t="array" ref="C1850">+INDEX(Partidas!$A:$J,MATCH('Resultados dashboard'!$B1850,Partidas!$C:$C,0),3+COUNTIF($B$2:B1850,'Resultados dashboard'!$B1850))</f>
        <v>Moch</v>
      </c>
      <c r="D1850" s="54">
        <v>8</v>
      </c>
      <c r="E1850" s="53"/>
      <c r="F1850" s="53"/>
      <c r="G1850" s="54">
        <v>1</v>
      </c>
      <c r="H1850" s="38">
        <f t="shared" si="17"/>
        <v>10</v>
      </c>
      <c r="I1850" s="38">
        <f t="shared" si="18"/>
        <v>1</v>
      </c>
      <c r="J1850" s="55"/>
    </row>
    <row r="1851" spans="1:10" ht="15" customHeight="1" x14ac:dyDescent="0.2">
      <c r="A1851" s="50">
        <f t="array" ref="A1851">+INDEX(Partidas!$A:$J,MATCH('Resultados dashboard'!$B1851,Partidas!$C:$C,0),2)</f>
        <v>46073</v>
      </c>
      <c r="B1851" s="56">
        <f>+IF(COUNTIF($B$2:B1850,B1850)=VLOOKUP(B1850,Partidas!$C:$J,8,0),B1850+1,B1850)</f>
        <v>406</v>
      </c>
      <c r="C1851" s="41" t="str">
        <f t="array" ref="C1851">+INDEX(Partidas!$A:$J,MATCH('Resultados dashboard'!$B1851,Partidas!$C:$C,0),3+COUNTIF($B$2:B1851,'Resultados dashboard'!$B1851))</f>
        <v>Gaspa</v>
      </c>
      <c r="D1851" s="54">
        <v>6</v>
      </c>
      <c r="E1851" s="53"/>
      <c r="F1851" s="53"/>
      <c r="G1851" s="53"/>
      <c r="H1851" s="38">
        <f t="shared" si="17"/>
        <v>6</v>
      </c>
      <c r="I1851" s="38">
        <f t="shared" si="18"/>
        <v>5</v>
      </c>
      <c r="J1851" s="55"/>
    </row>
    <row r="1852" spans="1:10" ht="15" customHeight="1" x14ac:dyDescent="0.2">
      <c r="A1852" s="50">
        <f t="array" ref="A1852">+INDEX(Partidas!$A:$J,MATCH('Resultados dashboard'!$B1852,Partidas!$C:$C,0),2)</f>
        <v>46073</v>
      </c>
      <c r="B1852" s="56">
        <f>+IF(COUNTIF($B$2:B1851,B1851)=VLOOKUP(B1851,Partidas!$C:$J,8,0),B1851+1,B1851)</f>
        <v>407</v>
      </c>
      <c r="C1852" s="41" t="str">
        <f t="array" ref="C1852">+INDEX(Partidas!$A:$J,MATCH('Resultados dashboard'!$B1852,Partidas!$C:$C,0),3+COUNTIF($B$2:B1852,'Resultados dashboard'!$B1852))</f>
        <v>Gallo</v>
      </c>
      <c r="D1852" s="54">
        <v>6</v>
      </c>
      <c r="E1852" s="53"/>
      <c r="F1852" s="53"/>
      <c r="G1852" s="53"/>
      <c r="H1852" s="38">
        <f t="shared" si="17"/>
        <v>6</v>
      </c>
      <c r="I1852" s="38">
        <f t="shared" si="18"/>
        <v>3</v>
      </c>
      <c r="J1852" s="55"/>
    </row>
    <row r="1853" spans="1:10" ht="15" customHeight="1" x14ac:dyDescent="0.2">
      <c r="A1853" s="50">
        <f t="array" ref="A1853">+INDEX(Partidas!$A:$J,MATCH('Resultados dashboard'!$B1853,Partidas!$C:$C,0),2)</f>
        <v>46073</v>
      </c>
      <c r="B1853" s="56">
        <f>+IF(COUNTIF($B$2:B1852,B1852)=VLOOKUP(B1852,Partidas!$C:$J,8,0),B1852+1,B1852)</f>
        <v>407</v>
      </c>
      <c r="C1853" s="41" t="str">
        <f t="array" ref="C1853">+INDEX(Partidas!$A:$J,MATCH('Resultados dashboard'!$B1853,Partidas!$C:$C,0),3+COUNTIF($B$2:B1853,'Resultados dashboard'!$B1853))</f>
        <v>Ivo</v>
      </c>
      <c r="D1853" s="54">
        <v>4</v>
      </c>
      <c r="E1853" s="54">
        <v>1</v>
      </c>
      <c r="F1853" s="53"/>
      <c r="G1853" s="53"/>
      <c r="H1853" s="38">
        <f t="shared" si="17"/>
        <v>5</v>
      </c>
      <c r="I1853" s="38">
        <f t="shared" si="18"/>
        <v>4</v>
      </c>
      <c r="J1853" s="55"/>
    </row>
    <row r="1854" spans="1:10" ht="15" customHeight="1" x14ac:dyDescent="0.2">
      <c r="A1854" s="50">
        <f t="array" ref="A1854">+INDEX(Partidas!$A:$J,MATCH('Resultados dashboard'!$B1854,Partidas!$C:$C,0),2)</f>
        <v>46073</v>
      </c>
      <c r="B1854" s="56">
        <f>+IF(COUNTIF($B$2:B1853,B1853)=VLOOKUP(B1853,Partidas!$C:$J,8,0),B1853+1,B1853)</f>
        <v>407</v>
      </c>
      <c r="C1854" s="41" t="str">
        <f t="array" ref="C1854">+INDEX(Partidas!$A:$J,MATCH('Resultados dashboard'!$B1854,Partidas!$C:$C,0),3+COUNTIF($B$2:B1854,'Resultados dashboard'!$B1854))</f>
        <v>Max</v>
      </c>
      <c r="D1854" s="54">
        <v>7</v>
      </c>
      <c r="E1854" s="53"/>
      <c r="F1854" s="53"/>
      <c r="G1854" s="54">
        <v>1</v>
      </c>
      <c r="H1854" s="38">
        <f t="shared" si="17"/>
        <v>9</v>
      </c>
      <c r="I1854" s="38">
        <f t="shared" si="18"/>
        <v>2</v>
      </c>
      <c r="J1854" s="55"/>
    </row>
    <row r="1855" spans="1:10" ht="15" customHeight="1" x14ac:dyDescent="0.2">
      <c r="A1855" s="50">
        <f t="array" ref="A1855">+INDEX(Partidas!$A:$J,MATCH('Resultados dashboard'!$B1855,Partidas!$C:$C,0),2)</f>
        <v>46073</v>
      </c>
      <c r="B1855" s="56">
        <f>+IF(COUNTIF($B$2:B1854,B1854)=VLOOKUP(B1854,Partidas!$C:$J,8,0),B1854+1,B1854)</f>
        <v>407</v>
      </c>
      <c r="C1855" s="41" t="str">
        <f t="array" ref="C1855">+INDEX(Partidas!$A:$J,MATCH('Resultados dashboard'!$B1855,Partidas!$C:$C,0),3+COUNTIF($B$2:B1855,'Resultados dashboard'!$B1855))</f>
        <v>Moch</v>
      </c>
      <c r="D1855" s="54">
        <v>4</v>
      </c>
      <c r="E1855" s="54">
        <v>1</v>
      </c>
      <c r="F1855" s="53"/>
      <c r="G1855" s="53"/>
      <c r="H1855" s="38">
        <f t="shared" si="17"/>
        <v>5</v>
      </c>
      <c r="I1855" s="38">
        <f t="shared" si="18"/>
        <v>4</v>
      </c>
      <c r="J1855" s="55"/>
    </row>
    <row r="1856" spans="1:10" ht="15" customHeight="1" x14ac:dyDescent="0.2">
      <c r="A1856" s="50">
        <f t="array" ref="A1856">+INDEX(Partidas!$A:$J,MATCH('Resultados dashboard'!$B1856,Partidas!$C:$C,0),2)</f>
        <v>46073</v>
      </c>
      <c r="B1856" s="56">
        <f>+IF(COUNTIF($B$2:B1855,B1855)=VLOOKUP(B1855,Partidas!$C:$J,8,0),B1855+1,B1855)</f>
        <v>407</v>
      </c>
      <c r="C1856" s="41" t="str">
        <f t="array" ref="C1856">+INDEX(Partidas!$A:$J,MATCH('Resultados dashboard'!$B1856,Partidas!$C:$C,0),3+COUNTIF($B$2:B1856,'Resultados dashboard'!$B1856))</f>
        <v>Gaspa</v>
      </c>
      <c r="D1856" s="54">
        <v>8</v>
      </c>
      <c r="E1856" s="53"/>
      <c r="F1856" s="54">
        <v>1</v>
      </c>
      <c r="G1856" s="53"/>
      <c r="H1856" s="38">
        <f t="shared" si="17"/>
        <v>10</v>
      </c>
      <c r="I1856" s="38">
        <f t="shared" si="18"/>
        <v>1</v>
      </c>
      <c r="J1856" s="55"/>
    </row>
    <row r="1857" spans="1:10" ht="15" customHeight="1" x14ac:dyDescent="0.2">
      <c r="A1857" s="50">
        <f t="array" ref="A1857">+INDEX(Partidas!$A:$J,MATCH('Resultados dashboard'!$B1857,Partidas!$C:$C,0),2)</f>
        <v>46073</v>
      </c>
      <c r="B1857" s="56">
        <f>+IF(COUNTIF($B$2:B1856,B1856)=VLOOKUP(B1856,Partidas!$C:$J,8,0),B1856+1,B1856)</f>
        <v>408</v>
      </c>
      <c r="C1857" s="41" t="str">
        <f t="array" ref="C1857">+INDEX(Partidas!$A:$J,MATCH('Resultados dashboard'!$B1857,Partidas!$C:$C,0),3+COUNTIF($B$2:B1857,'Resultados dashboard'!$B1857))</f>
        <v>Gallo</v>
      </c>
      <c r="D1857" s="54">
        <v>7</v>
      </c>
      <c r="E1857" s="54">
        <v>1</v>
      </c>
      <c r="F1857" s="53"/>
      <c r="G1857" s="54">
        <v>1</v>
      </c>
      <c r="H1857" s="38">
        <f t="shared" si="17"/>
        <v>10</v>
      </c>
      <c r="I1857" s="38">
        <f t="shared" si="18"/>
        <v>1</v>
      </c>
      <c r="J1857" s="55"/>
    </row>
    <row r="1858" spans="1:10" ht="15" customHeight="1" x14ac:dyDescent="0.2">
      <c r="A1858" s="50">
        <f t="array" ref="A1858">+INDEX(Partidas!$A:$J,MATCH('Resultados dashboard'!$B1858,Partidas!$C:$C,0),2)</f>
        <v>46073</v>
      </c>
      <c r="B1858" s="56">
        <f>+IF(COUNTIF($B$2:B1857,B1857)=VLOOKUP(B1857,Partidas!$C:$J,8,0),B1857+1,B1857)</f>
        <v>408</v>
      </c>
      <c r="C1858" s="41" t="str">
        <f t="array" ref="C1858">+INDEX(Partidas!$A:$J,MATCH('Resultados dashboard'!$B1858,Partidas!$C:$C,0),3+COUNTIF($B$2:B1858,'Resultados dashboard'!$B1858))</f>
        <v>Ivo</v>
      </c>
      <c r="D1858" s="54">
        <v>6</v>
      </c>
      <c r="E1858" s="53"/>
      <c r="F1858" s="54">
        <v>1</v>
      </c>
      <c r="G1858" s="53"/>
      <c r="H1858" s="38">
        <f t="shared" si="17"/>
        <v>8</v>
      </c>
      <c r="I1858" s="38">
        <f t="shared" si="18"/>
        <v>2</v>
      </c>
      <c r="J1858" s="55"/>
    </row>
    <row r="1859" spans="1:10" ht="15" customHeight="1" x14ac:dyDescent="0.2">
      <c r="A1859" s="50">
        <f t="array" ref="A1859">+INDEX(Partidas!$A:$J,MATCH('Resultados dashboard'!$B1859,Partidas!$C:$C,0),2)</f>
        <v>46073</v>
      </c>
      <c r="B1859" s="56">
        <f>+IF(COUNTIF($B$2:B1858,B1858)=VLOOKUP(B1858,Partidas!$C:$J,8,0),B1858+1,B1858)</f>
        <v>408</v>
      </c>
      <c r="C1859" s="41" t="str">
        <f t="array" ref="C1859">+INDEX(Partidas!$A:$J,MATCH('Resultados dashboard'!$B1859,Partidas!$C:$C,0),3+COUNTIF($B$2:B1859,'Resultados dashboard'!$B1859))</f>
        <v>Max</v>
      </c>
      <c r="D1859" s="54">
        <v>6</v>
      </c>
      <c r="E1859" s="53"/>
      <c r="F1859" s="53"/>
      <c r="G1859" s="53"/>
      <c r="H1859" s="38">
        <f t="shared" si="17"/>
        <v>6</v>
      </c>
      <c r="I1859" s="38">
        <f t="shared" si="18"/>
        <v>5</v>
      </c>
      <c r="J1859" s="55"/>
    </row>
    <row r="1860" spans="1:10" ht="15" customHeight="1" x14ac:dyDescent="0.2">
      <c r="A1860" s="50">
        <f t="array" ref="A1860">+INDEX(Partidas!$A:$J,MATCH('Resultados dashboard'!$B1860,Partidas!$C:$C,0),2)</f>
        <v>46073</v>
      </c>
      <c r="B1860" s="56">
        <f>+IF(COUNTIF($B$2:B1859,B1859)=VLOOKUP(B1859,Partidas!$C:$J,8,0),B1859+1,B1859)</f>
        <v>408</v>
      </c>
      <c r="C1860" s="41" t="str">
        <f t="array" ref="C1860">+INDEX(Partidas!$A:$J,MATCH('Resultados dashboard'!$B1860,Partidas!$C:$C,0),3+COUNTIF($B$2:B1860,'Resultados dashboard'!$B1860))</f>
        <v>Moch</v>
      </c>
      <c r="D1860" s="54">
        <v>7</v>
      </c>
      <c r="E1860" s="53"/>
      <c r="F1860" s="53"/>
      <c r="G1860" s="53"/>
      <c r="H1860" s="38">
        <f t="shared" si="17"/>
        <v>7</v>
      </c>
      <c r="I1860" s="38">
        <f t="shared" si="18"/>
        <v>4</v>
      </c>
      <c r="J1860" s="55"/>
    </row>
    <row r="1861" spans="1:10" ht="15" customHeight="1" x14ac:dyDescent="0.2">
      <c r="A1861" s="50">
        <f t="array" ref="A1861">+INDEX(Partidas!$A:$J,MATCH('Resultados dashboard'!$B1861,Partidas!$C:$C,0),2)</f>
        <v>46073</v>
      </c>
      <c r="B1861" s="56">
        <f>+IF(COUNTIF($B$2:B1860,B1860)=VLOOKUP(B1860,Partidas!$C:$J,8,0),B1860+1,B1860)</f>
        <v>408</v>
      </c>
      <c r="C1861" s="41" t="str">
        <f t="array" ref="C1861">+INDEX(Partidas!$A:$J,MATCH('Resultados dashboard'!$B1861,Partidas!$C:$C,0),3+COUNTIF($B$2:B1861,'Resultados dashboard'!$B1861))</f>
        <v>Gaspa</v>
      </c>
      <c r="D1861" s="54">
        <v>7</v>
      </c>
      <c r="E1861" s="54">
        <v>1</v>
      </c>
      <c r="F1861" s="53"/>
      <c r="G1861" s="53"/>
      <c r="H1861" s="38">
        <f t="shared" si="17"/>
        <v>8</v>
      </c>
      <c r="I1861" s="38">
        <f t="shared" si="18"/>
        <v>2</v>
      </c>
      <c r="J1861" s="55"/>
    </row>
    <row r="1862" spans="1:10" ht="15" customHeight="1" x14ac:dyDescent="0.2">
      <c r="A1862" s="50">
        <f t="array" ref="A1862">+INDEX(Partidas!$A:$J,MATCH('Resultados dashboard'!$B1862,Partidas!$C:$C,0),2)</f>
        <v>46073</v>
      </c>
      <c r="B1862" s="56">
        <f>+IF(COUNTIF($B$2:B1861,B1861)=VLOOKUP(B1861,Partidas!$C:$J,8,0),B1861+1,B1861)</f>
        <v>409</v>
      </c>
      <c r="C1862" s="41" t="str">
        <f t="array" ref="C1862">+INDEX(Partidas!$A:$J,MATCH('Resultados dashboard'!$B1862,Partidas!$C:$C,0),3+COUNTIF($B$2:B1862,'Resultados dashboard'!$B1862))</f>
        <v>Gallo</v>
      </c>
      <c r="D1862" s="54">
        <v>7</v>
      </c>
      <c r="E1862" s="53"/>
      <c r="F1862" s="53"/>
      <c r="G1862" s="53"/>
      <c r="H1862" s="38">
        <f t="shared" si="17"/>
        <v>7</v>
      </c>
      <c r="I1862" s="38">
        <f t="shared" si="18"/>
        <v>3</v>
      </c>
      <c r="J1862" s="55"/>
    </row>
    <row r="1863" spans="1:10" ht="15" customHeight="1" x14ac:dyDescent="0.2">
      <c r="A1863" s="50">
        <f t="array" ref="A1863">+INDEX(Partidas!$A:$J,MATCH('Resultados dashboard'!$B1863,Partidas!$C:$C,0),2)</f>
        <v>46073</v>
      </c>
      <c r="B1863" s="56">
        <f>+IF(COUNTIF($B$2:B1862,B1862)=VLOOKUP(B1862,Partidas!$C:$J,8,0),B1862+1,B1862)</f>
        <v>409</v>
      </c>
      <c r="C1863" s="41" t="str">
        <f t="array" ref="C1863">+INDEX(Partidas!$A:$J,MATCH('Resultados dashboard'!$B1863,Partidas!$C:$C,0),3+COUNTIF($B$2:B1863,'Resultados dashboard'!$B1863))</f>
        <v>Ivo</v>
      </c>
      <c r="D1863" s="54">
        <v>6</v>
      </c>
      <c r="E1863" s="54">
        <v>2</v>
      </c>
      <c r="F1863" s="54">
        <v>1</v>
      </c>
      <c r="G1863" s="53"/>
      <c r="H1863" s="38">
        <f t="shared" si="17"/>
        <v>10</v>
      </c>
      <c r="I1863" s="38">
        <f t="shared" si="18"/>
        <v>1</v>
      </c>
      <c r="J1863" s="55"/>
    </row>
    <row r="1864" spans="1:10" ht="15" customHeight="1" x14ac:dyDescent="0.2">
      <c r="A1864" s="50">
        <f t="array" ref="A1864">+INDEX(Partidas!$A:$J,MATCH('Resultados dashboard'!$B1864,Partidas!$C:$C,0),2)</f>
        <v>46073</v>
      </c>
      <c r="B1864" s="56">
        <f>+IF(COUNTIF($B$2:B1863,B1863)=VLOOKUP(B1863,Partidas!$C:$J,8,0),B1863+1,B1863)</f>
        <v>409</v>
      </c>
      <c r="C1864" s="41" t="str">
        <f t="array" ref="C1864">+INDEX(Partidas!$A:$J,MATCH('Resultados dashboard'!$B1864,Partidas!$C:$C,0),3+COUNTIF($B$2:B1864,'Resultados dashboard'!$B1864))</f>
        <v>Max</v>
      </c>
      <c r="D1864" s="54">
        <v>9</v>
      </c>
      <c r="E1864" s="53"/>
      <c r="F1864" s="53"/>
      <c r="G1864" s="53"/>
      <c r="H1864" s="38">
        <f t="shared" si="17"/>
        <v>9</v>
      </c>
      <c r="I1864" s="38">
        <f t="shared" si="18"/>
        <v>2</v>
      </c>
      <c r="J1864" s="55"/>
    </row>
    <row r="1865" spans="1:10" ht="15" customHeight="1" x14ac:dyDescent="0.2">
      <c r="A1865" s="50">
        <f t="array" ref="A1865">+INDEX(Partidas!$A:$J,MATCH('Resultados dashboard'!$B1865,Partidas!$C:$C,0),2)</f>
        <v>46073</v>
      </c>
      <c r="B1865" s="56">
        <f>+IF(COUNTIF($B$2:B1864,B1864)=VLOOKUP(B1864,Partidas!$C:$J,8,0),B1864+1,B1864)</f>
        <v>409</v>
      </c>
      <c r="C1865" s="41" t="str">
        <f t="array" ref="C1865">+INDEX(Partidas!$A:$J,MATCH('Resultados dashboard'!$B1865,Partidas!$C:$C,0),3+COUNTIF($B$2:B1865,'Resultados dashboard'!$B1865))</f>
        <v>Moch</v>
      </c>
      <c r="D1865" s="54">
        <v>4</v>
      </c>
      <c r="E1865" s="53"/>
      <c r="F1865" s="53"/>
      <c r="G1865" s="54">
        <v>1</v>
      </c>
      <c r="H1865" s="38">
        <f t="shared" si="17"/>
        <v>6</v>
      </c>
      <c r="I1865" s="38">
        <f t="shared" si="18"/>
        <v>4</v>
      </c>
      <c r="J1865" s="55"/>
    </row>
    <row r="1866" spans="1:10" ht="15" customHeight="1" x14ac:dyDescent="0.2">
      <c r="A1866" s="50">
        <f t="array" ref="A1866">+INDEX(Partidas!$A:$J,MATCH('Resultados dashboard'!$B1866,Partidas!$C:$C,0),2)</f>
        <v>46073</v>
      </c>
      <c r="B1866" s="56">
        <f>+IF(COUNTIF($B$2:B1865,B1865)=VLOOKUP(B1865,Partidas!$C:$J,8,0),B1865+1,B1865)</f>
        <v>410</v>
      </c>
      <c r="C1866" s="41" t="str">
        <f t="array" ref="C1866">+INDEX(Partidas!$A:$J,MATCH('Resultados dashboard'!$B1866,Partidas!$C:$C,0),3+COUNTIF($B$2:B1866,'Resultados dashboard'!$B1866))</f>
        <v>Gallo</v>
      </c>
      <c r="D1866" s="54">
        <v>6</v>
      </c>
      <c r="E1866" s="53"/>
      <c r="F1866" s="54">
        <v>1</v>
      </c>
      <c r="G1866" s="53"/>
      <c r="H1866" s="38">
        <f t="shared" si="17"/>
        <v>8</v>
      </c>
      <c r="I1866" s="38">
        <f t="shared" si="18"/>
        <v>2</v>
      </c>
      <c r="J1866" s="55"/>
    </row>
    <row r="1867" spans="1:10" ht="15" customHeight="1" x14ac:dyDescent="0.2">
      <c r="A1867" s="50">
        <f t="array" ref="A1867">+INDEX(Partidas!$A:$J,MATCH('Resultados dashboard'!$B1867,Partidas!$C:$C,0),2)</f>
        <v>46073</v>
      </c>
      <c r="B1867" s="56">
        <f>+IF(COUNTIF($B$2:B1866,B1866)=VLOOKUP(B1866,Partidas!$C:$J,8,0),B1866+1,B1866)</f>
        <v>410</v>
      </c>
      <c r="C1867" s="41" t="str">
        <f t="array" ref="C1867">+INDEX(Partidas!$A:$J,MATCH('Resultados dashboard'!$B1867,Partidas!$C:$C,0),3+COUNTIF($B$2:B1867,'Resultados dashboard'!$B1867))</f>
        <v>Ivo</v>
      </c>
      <c r="D1867" s="54">
        <v>4</v>
      </c>
      <c r="E1867" s="54">
        <v>1</v>
      </c>
      <c r="F1867" s="53"/>
      <c r="G1867" s="53"/>
      <c r="H1867" s="38">
        <f t="shared" si="17"/>
        <v>5</v>
      </c>
      <c r="I1867" s="38">
        <f t="shared" si="18"/>
        <v>3</v>
      </c>
      <c r="J1867" s="55"/>
    </row>
    <row r="1868" spans="1:10" ht="15" customHeight="1" x14ac:dyDescent="0.2">
      <c r="A1868" s="50">
        <f t="array" ref="A1868">+INDEX(Partidas!$A:$J,MATCH('Resultados dashboard'!$B1868,Partidas!$C:$C,0),2)</f>
        <v>46073</v>
      </c>
      <c r="B1868" s="56">
        <f>+IF(COUNTIF($B$2:B1867,B1867)=VLOOKUP(B1867,Partidas!$C:$J,8,0),B1867+1,B1867)</f>
        <v>410</v>
      </c>
      <c r="C1868" s="41" t="str">
        <f t="array" ref="C1868">+INDEX(Partidas!$A:$J,MATCH('Resultados dashboard'!$B1868,Partidas!$C:$C,0),3+COUNTIF($B$2:B1868,'Resultados dashboard'!$B1868))</f>
        <v>Max</v>
      </c>
      <c r="D1868" s="54">
        <v>8</v>
      </c>
      <c r="E1868" s="53"/>
      <c r="F1868" s="53"/>
      <c r="G1868" s="54">
        <v>1</v>
      </c>
      <c r="H1868" s="38">
        <f t="shared" si="17"/>
        <v>10</v>
      </c>
      <c r="I1868" s="38">
        <f t="shared" si="18"/>
        <v>1</v>
      </c>
      <c r="J1868" s="55"/>
    </row>
    <row r="1869" spans="1:10" ht="15" customHeight="1" x14ac:dyDescent="0.2">
      <c r="A1869" s="50">
        <f t="array" ref="A1869">+INDEX(Partidas!$A:$J,MATCH('Resultados dashboard'!$B1869,Partidas!$C:$C,0),2)</f>
        <v>46073</v>
      </c>
      <c r="B1869" s="56">
        <f>+IF(COUNTIF($B$2:B1868,B1868)=VLOOKUP(B1868,Partidas!$C:$J,8,0),B1868+1,B1868)</f>
        <v>410</v>
      </c>
      <c r="C1869" s="41" t="str">
        <f t="array" ref="C1869">+INDEX(Partidas!$A:$J,MATCH('Resultados dashboard'!$B1869,Partidas!$C:$C,0),3+COUNTIF($B$2:B1869,'Resultados dashboard'!$B1869))</f>
        <v>Moch</v>
      </c>
      <c r="D1869" s="54">
        <v>4</v>
      </c>
      <c r="E1869" s="54">
        <v>1</v>
      </c>
      <c r="F1869" s="53"/>
      <c r="G1869" s="53"/>
      <c r="H1869" s="38">
        <f t="shared" si="17"/>
        <v>5</v>
      </c>
      <c r="I1869" s="38">
        <f t="shared" si="18"/>
        <v>3</v>
      </c>
      <c r="J1869" s="55"/>
    </row>
    <row r="1870" spans="1:10" ht="15" customHeight="1" x14ac:dyDescent="0.2">
      <c r="A1870" s="50">
        <f t="array" ref="A1870">+INDEX(Partidas!$A:$J,MATCH('Resultados dashboard'!$B1870,Partidas!$C:$C,0),2)</f>
        <v>46073</v>
      </c>
      <c r="B1870" s="56">
        <f>+IF(COUNTIF($B$2:B1869,B1869)=VLOOKUP(B1869,Partidas!$C:$J,8,0),B1869+1,B1869)</f>
        <v>411</v>
      </c>
      <c r="C1870" s="41" t="str">
        <f t="array" ref="C1870">+INDEX(Partidas!$A:$J,MATCH('Resultados dashboard'!$B1870,Partidas!$C:$C,0),3+COUNTIF($B$2:B1870,'Resultados dashboard'!$B1870))</f>
        <v>Gallo</v>
      </c>
      <c r="D1870" s="54">
        <v>5</v>
      </c>
      <c r="E1870" s="53"/>
      <c r="F1870" s="53"/>
      <c r="G1870" s="53"/>
      <c r="H1870" s="38">
        <f t="shared" si="17"/>
        <v>5</v>
      </c>
      <c r="I1870" s="38">
        <f t="shared" si="18"/>
        <v>4</v>
      </c>
      <c r="J1870" s="55"/>
    </row>
    <row r="1871" spans="1:10" ht="15" customHeight="1" x14ac:dyDescent="0.2">
      <c r="A1871" s="50">
        <f t="array" ref="A1871">+INDEX(Partidas!$A:$J,MATCH('Resultados dashboard'!$B1871,Partidas!$C:$C,0),2)</f>
        <v>46073</v>
      </c>
      <c r="B1871" s="56">
        <f>+IF(COUNTIF($B$2:B1870,B1870)=VLOOKUP(B1870,Partidas!$C:$J,8,0),B1870+1,B1870)</f>
        <v>411</v>
      </c>
      <c r="C1871" s="41" t="str">
        <f t="array" ref="C1871">+INDEX(Partidas!$A:$J,MATCH('Resultados dashboard'!$B1871,Partidas!$C:$C,0),3+COUNTIF($B$2:B1871,'Resultados dashboard'!$B1871))</f>
        <v>Ivo</v>
      </c>
      <c r="D1871" s="54">
        <v>6</v>
      </c>
      <c r="E1871" s="53"/>
      <c r="F1871" s="53"/>
      <c r="G1871" s="53"/>
      <c r="H1871" s="38">
        <f t="shared" si="17"/>
        <v>6</v>
      </c>
      <c r="I1871" s="38">
        <f t="shared" si="18"/>
        <v>3</v>
      </c>
      <c r="J1871" s="55"/>
    </row>
    <row r="1872" spans="1:10" ht="15" customHeight="1" x14ac:dyDescent="0.2">
      <c r="A1872" s="50">
        <f t="array" ref="A1872">+INDEX(Partidas!$A:$J,MATCH('Resultados dashboard'!$B1872,Partidas!$C:$C,0),2)</f>
        <v>46073</v>
      </c>
      <c r="B1872" s="56">
        <f>+IF(COUNTIF($B$2:B1871,B1871)=VLOOKUP(B1871,Partidas!$C:$J,8,0),B1871+1,B1871)</f>
        <v>411</v>
      </c>
      <c r="C1872" s="41" t="str">
        <f t="array" ref="C1872">+INDEX(Partidas!$A:$J,MATCH('Resultados dashboard'!$B1872,Partidas!$C:$C,0),3+COUNTIF($B$2:B1872,'Resultados dashboard'!$B1872))</f>
        <v>Max</v>
      </c>
      <c r="D1872" s="54">
        <v>7</v>
      </c>
      <c r="E1872" s="54">
        <v>2</v>
      </c>
      <c r="F1872" s="53"/>
      <c r="G1872" s="53"/>
      <c r="H1872" s="38">
        <f t="shared" si="17"/>
        <v>9</v>
      </c>
      <c r="I1872" s="38">
        <f t="shared" si="18"/>
        <v>2</v>
      </c>
      <c r="J1872" s="55"/>
    </row>
    <row r="1873" spans="1:10" ht="15" customHeight="1" x14ac:dyDescent="0.2">
      <c r="A1873" s="50">
        <f t="array" ref="A1873">+INDEX(Partidas!$A:$J,MATCH('Resultados dashboard'!$B1873,Partidas!$C:$C,0),2)</f>
        <v>46073</v>
      </c>
      <c r="B1873" s="56">
        <f>+IF(COUNTIF($B$2:B1872,B1872)=VLOOKUP(B1872,Partidas!$C:$J,8,0),B1872+1,B1872)</f>
        <v>411</v>
      </c>
      <c r="C1873" s="41" t="str">
        <f t="array" ref="C1873">+INDEX(Partidas!$A:$J,MATCH('Resultados dashboard'!$B1873,Partidas!$C:$C,0),3+COUNTIF($B$2:B1873,'Resultados dashboard'!$B1873))</f>
        <v>Moch</v>
      </c>
      <c r="D1873" s="54">
        <v>5</v>
      </c>
      <c r="E1873" s="54">
        <v>1</v>
      </c>
      <c r="F1873" s="54">
        <v>1</v>
      </c>
      <c r="G1873" s="54">
        <v>1</v>
      </c>
      <c r="H1873" s="38">
        <f t="shared" si="17"/>
        <v>10</v>
      </c>
      <c r="I1873" s="38">
        <f t="shared" si="18"/>
        <v>1</v>
      </c>
      <c r="J1873" s="55"/>
    </row>
    <row r="1874" spans="1:10" ht="15" customHeight="1" x14ac:dyDescent="0.2">
      <c r="A1874" s="50">
        <f t="array" ref="A1874">+INDEX(Partidas!$A:$J,MATCH('Resultados dashboard'!$B1874,Partidas!$C:$C,0),2)</f>
        <v>46078</v>
      </c>
      <c r="B1874" s="56">
        <f>+IF(COUNTIF($B$2:B1873,B1873)=VLOOKUP(B1873,Partidas!$C:$J,8,0),B1873+1,B1873)</f>
        <v>412</v>
      </c>
      <c r="C1874" s="41" t="str">
        <f t="array" ref="C1874">+INDEX(Partidas!$A:$J,MATCH('Resultados dashboard'!$B1874,Partidas!$C:$C,0),3+COUNTIF($B$2:B1874,'Resultados dashboard'!$B1874))</f>
        <v>Ivo</v>
      </c>
      <c r="D1874" s="54">
        <v>4</v>
      </c>
      <c r="E1874" s="54">
        <v>1</v>
      </c>
      <c r="F1874" s="53"/>
      <c r="G1874" s="54">
        <v>1</v>
      </c>
      <c r="H1874" s="38">
        <f t="shared" si="17"/>
        <v>7</v>
      </c>
      <c r="I1874" s="38">
        <f t="shared" si="18"/>
        <v>3</v>
      </c>
      <c r="J1874" s="55"/>
    </row>
    <row r="1875" spans="1:10" ht="15" customHeight="1" x14ac:dyDescent="0.2">
      <c r="A1875" s="50">
        <f t="array" ref="A1875">+INDEX(Partidas!$A:$J,MATCH('Resultados dashboard'!$B1875,Partidas!$C:$C,0),2)</f>
        <v>46078</v>
      </c>
      <c r="B1875" s="56">
        <f>+IF(COUNTIF($B$2:B1874,B1874)=VLOOKUP(B1874,Partidas!$C:$J,8,0),B1874+1,B1874)</f>
        <v>412</v>
      </c>
      <c r="C1875" s="41" t="str">
        <f t="array" ref="C1875">+INDEX(Partidas!$A:$J,MATCH('Resultados dashboard'!$B1875,Partidas!$C:$C,0),3+COUNTIF($B$2:B1875,'Resultados dashboard'!$B1875))</f>
        <v>Max</v>
      </c>
      <c r="D1875" s="54">
        <v>7</v>
      </c>
      <c r="E1875" s="53"/>
      <c r="F1875" s="53"/>
      <c r="G1875" s="53"/>
      <c r="H1875" s="38">
        <f t="shared" si="17"/>
        <v>7</v>
      </c>
      <c r="I1875" s="38">
        <f t="shared" si="18"/>
        <v>3</v>
      </c>
      <c r="J1875" s="55"/>
    </row>
    <row r="1876" spans="1:10" ht="15" customHeight="1" x14ac:dyDescent="0.2">
      <c r="A1876" s="50">
        <f t="array" ref="A1876">+INDEX(Partidas!$A:$J,MATCH('Resultados dashboard'!$B1876,Partidas!$C:$C,0),2)</f>
        <v>46078</v>
      </c>
      <c r="B1876" s="56">
        <f>+IF(COUNTIF($B$2:B1875,B1875)=VLOOKUP(B1875,Partidas!$C:$J,8,0),B1875+1,B1875)</f>
        <v>412</v>
      </c>
      <c r="C1876" s="41" t="str">
        <f t="array" ref="C1876">+INDEX(Partidas!$A:$J,MATCH('Resultados dashboard'!$B1876,Partidas!$C:$C,0),3+COUNTIF($B$2:B1876,'Resultados dashboard'!$B1876))</f>
        <v>Moch</v>
      </c>
      <c r="D1876" s="54">
        <v>8</v>
      </c>
      <c r="E1876" s="53"/>
      <c r="F1876" s="54">
        <v>1</v>
      </c>
      <c r="G1876" s="53"/>
      <c r="H1876" s="38">
        <f t="shared" si="17"/>
        <v>10</v>
      </c>
      <c r="I1876" s="38">
        <f t="shared" si="18"/>
        <v>1</v>
      </c>
      <c r="J1876" s="55"/>
    </row>
    <row r="1877" spans="1:10" ht="15" customHeight="1" x14ac:dyDescent="0.2">
      <c r="A1877" s="50">
        <f t="array" ref="A1877">+INDEX(Partidas!$A:$J,MATCH('Resultados dashboard'!$B1877,Partidas!$C:$C,0),2)</f>
        <v>46078</v>
      </c>
      <c r="B1877" s="56">
        <f>+IF(COUNTIF($B$2:B1876,B1876)=VLOOKUP(B1876,Partidas!$C:$J,8,0),B1876+1,B1876)</f>
        <v>412</v>
      </c>
      <c r="C1877" s="41" t="str">
        <f t="array" ref="C1877">+INDEX(Partidas!$A:$J,MATCH('Resultados dashboard'!$B1877,Partidas!$C:$C,0),3+COUNTIF($B$2:B1877,'Resultados dashboard'!$B1877))</f>
        <v>Hugo</v>
      </c>
      <c r="D1877" s="54">
        <v>7</v>
      </c>
      <c r="E1877" s="54">
        <v>1</v>
      </c>
      <c r="F1877" s="53"/>
      <c r="G1877" s="53"/>
      <c r="H1877" s="38">
        <f t="shared" si="17"/>
        <v>8</v>
      </c>
      <c r="I1877" s="38">
        <f t="shared" si="18"/>
        <v>2</v>
      </c>
      <c r="J1877" s="55"/>
    </row>
    <row r="1878" spans="1:10" ht="15" customHeight="1" x14ac:dyDescent="0.2">
      <c r="A1878" s="50">
        <f t="array" ref="A1878">+INDEX(Partidas!$A:$J,MATCH('Resultados dashboard'!$B1878,Partidas!$C:$C,0),2)</f>
        <v>46078</v>
      </c>
      <c r="B1878" s="56">
        <f>+IF(COUNTIF($B$2:B1877,B1877)=VLOOKUP(B1877,Partidas!$C:$J,8,0),B1877+1,B1877)</f>
        <v>413</v>
      </c>
      <c r="C1878" s="41" t="str">
        <f t="array" ref="C1878">+INDEX(Partidas!$A:$J,MATCH('Resultados dashboard'!$B1878,Partidas!$C:$C,0),3+COUNTIF($B$2:B1878,'Resultados dashboard'!$B1878))</f>
        <v>Ivo</v>
      </c>
      <c r="D1878" s="54">
        <v>6</v>
      </c>
      <c r="E1878" s="54">
        <v>2</v>
      </c>
      <c r="F1878" s="53"/>
      <c r="G1878" s="53"/>
      <c r="H1878" s="38">
        <f t="shared" si="17"/>
        <v>8</v>
      </c>
      <c r="I1878" s="38">
        <f t="shared" si="18"/>
        <v>3</v>
      </c>
      <c r="J1878" s="55"/>
    </row>
    <row r="1879" spans="1:10" ht="15" customHeight="1" x14ac:dyDescent="0.2">
      <c r="A1879" s="50">
        <f t="array" ref="A1879">+INDEX(Partidas!$A:$J,MATCH('Resultados dashboard'!$B1879,Partidas!$C:$C,0),2)</f>
        <v>46078</v>
      </c>
      <c r="B1879" s="56">
        <f>+IF(COUNTIF($B$2:B1878,B1878)=VLOOKUP(B1878,Partidas!$C:$J,8,0),B1878+1,B1878)</f>
        <v>413</v>
      </c>
      <c r="C1879" s="41" t="str">
        <f t="array" ref="C1879">+INDEX(Partidas!$A:$J,MATCH('Resultados dashboard'!$B1879,Partidas!$C:$C,0),3+COUNTIF($B$2:B1879,'Resultados dashboard'!$B1879))</f>
        <v>Max</v>
      </c>
      <c r="D1879" s="54">
        <v>10</v>
      </c>
      <c r="E1879" s="53"/>
      <c r="F1879" s="53"/>
      <c r="G1879" s="53"/>
      <c r="H1879" s="38">
        <f t="shared" si="17"/>
        <v>10</v>
      </c>
      <c r="I1879" s="38">
        <f t="shared" si="18"/>
        <v>1</v>
      </c>
      <c r="J1879" s="55"/>
    </row>
    <row r="1880" spans="1:10" ht="15" customHeight="1" x14ac:dyDescent="0.2">
      <c r="A1880" s="50">
        <f t="array" ref="A1880">+INDEX(Partidas!$A:$J,MATCH('Resultados dashboard'!$B1880,Partidas!$C:$C,0),2)</f>
        <v>46078</v>
      </c>
      <c r="B1880" s="56">
        <f>+IF(COUNTIF($B$2:B1879,B1879)=VLOOKUP(B1879,Partidas!$C:$J,8,0),B1879+1,B1879)</f>
        <v>413</v>
      </c>
      <c r="C1880" s="41" t="str">
        <f t="array" ref="C1880">+INDEX(Partidas!$A:$J,MATCH('Resultados dashboard'!$B1880,Partidas!$C:$C,0),3+COUNTIF($B$2:B1880,'Resultados dashboard'!$B1880))</f>
        <v>Moch</v>
      </c>
      <c r="D1880" s="54">
        <v>4</v>
      </c>
      <c r="E1880" s="54">
        <v>1</v>
      </c>
      <c r="F1880" s="54">
        <v>1</v>
      </c>
      <c r="G1880" s="54">
        <v>1</v>
      </c>
      <c r="H1880" s="38">
        <f t="shared" si="17"/>
        <v>9</v>
      </c>
      <c r="I1880" s="38">
        <f t="shared" si="18"/>
        <v>2</v>
      </c>
      <c r="J1880" s="55"/>
    </row>
    <row r="1881" spans="1:10" ht="15" customHeight="1" x14ac:dyDescent="0.2">
      <c r="A1881" s="50">
        <f t="array" ref="A1881">+INDEX(Partidas!$A:$J,MATCH('Resultados dashboard'!$B1881,Partidas!$C:$C,0),2)</f>
        <v>46078</v>
      </c>
      <c r="B1881" s="56">
        <f>+IF(COUNTIF($B$2:B1880,B1880)=VLOOKUP(B1880,Partidas!$C:$J,8,0),B1880+1,B1880)</f>
        <v>413</v>
      </c>
      <c r="C1881" s="41" t="str">
        <f t="array" ref="C1881">+INDEX(Partidas!$A:$J,MATCH('Resultados dashboard'!$B1881,Partidas!$C:$C,0),3+COUNTIF($B$2:B1881,'Resultados dashboard'!$B1881))</f>
        <v>Hugo</v>
      </c>
      <c r="D1881" s="54">
        <v>6</v>
      </c>
      <c r="E1881" s="54">
        <v>1</v>
      </c>
      <c r="F1881" s="53"/>
      <c r="G1881" s="53"/>
      <c r="H1881" s="38">
        <f t="shared" si="17"/>
        <v>7</v>
      </c>
      <c r="I1881" s="38">
        <f t="shared" si="18"/>
        <v>4</v>
      </c>
      <c r="J1881" s="55"/>
    </row>
    <row r="1882" spans="1:10" ht="15" customHeight="1" x14ac:dyDescent="0.2">
      <c r="A1882" s="50">
        <f t="array" ref="A1882">+INDEX(Partidas!$A:$J,MATCH('Resultados dashboard'!$B1882,Partidas!$C:$C,0),2)</f>
        <v>46078</v>
      </c>
      <c r="B1882" s="56">
        <f>+IF(COUNTIF($B$2:B1881,B1881)=VLOOKUP(B1881,Partidas!$C:$J,8,0),B1881+1,B1881)</f>
        <v>414</v>
      </c>
      <c r="C1882" s="41" t="str">
        <f t="array" ref="C1882">+INDEX(Partidas!$A:$J,MATCH('Resultados dashboard'!$B1882,Partidas!$C:$C,0),3+COUNTIF($B$2:B1882,'Resultados dashboard'!$B1882))</f>
        <v>Ivo</v>
      </c>
      <c r="D1882" s="54">
        <v>4</v>
      </c>
      <c r="E1882" s="54">
        <v>1</v>
      </c>
      <c r="F1882" s="53"/>
      <c r="G1882" s="54">
        <v>1</v>
      </c>
      <c r="H1882" s="38">
        <f t="shared" si="17"/>
        <v>7</v>
      </c>
      <c r="I1882" s="38">
        <f t="shared" si="18"/>
        <v>3</v>
      </c>
      <c r="J1882" s="55"/>
    </row>
    <row r="1883" spans="1:10" ht="15" customHeight="1" x14ac:dyDescent="0.2">
      <c r="A1883" s="50">
        <f t="array" ref="A1883">+INDEX(Partidas!$A:$J,MATCH('Resultados dashboard'!$B1883,Partidas!$C:$C,0),2)</f>
        <v>46078</v>
      </c>
      <c r="B1883" s="56">
        <f>+IF(COUNTIF($B$2:B1882,B1882)=VLOOKUP(B1882,Partidas!$C:$J,8,0),B1882+1,B1882)</f>
        <v>414</v>
      </c>
      <c r="C1883" s="41" t="str">
        <f t="array" ref="C1883">+INDEX(Partidas!$A:$J,MATCH('Resultados dashboard'!$B1883,Partidas!$C:$C,0),3+COUNTIF($B$2:B1883,'Resultados dashboard'!$B1883))</f>
        <v>Max</v>
      </c>
      <c r="D1883" s="54">
        <v>7</v>
      </c>
      <c r="E1883" s="54">
        <v>1</v>
      </c>
      <c r="F1883" s="54">
        <v>1</v>
      </c>
      <c r="G1883" s="53"/>
      <c r="H1883" s="38">
        <f t="shared" si="17"/>
        <v>10</v>
      </c>
      <c r="I1883" s="38">
        <f t="shared" si="18"/>
        <v>1</v>
      </c>
      <c r="J1883" s="55"/>
    </row>
    <row r="1884" spans="1:10" ht="15" customHeight="1" x14ac:dyDescent="0.2">
      <c r="A1884" s="50">
        <f t="array" ref="A1884">+INDEX(Partidas!$A:$J,MATCH('Resultados dashboard'!$B1884,Partidas!$C:$C,0),2)</f>
        <v>46078</v>
      </c>
      <c r="B1884" s="56">
        <f>+IF(COUNTIF($B$2:B1883,B1883)=VLOOKUP(B1883,Partidas!$C:$J,8,0),B1883+1,B1883)</f>
        <v>414</v>
      </c>
      <c r="C1884" s="41" t="str">
        <f t="array" ref="C1884">+INDEX(Partidas!$A:$J,MATCH('Resultados dashboard'!$B1884,Partidas!$C:$C,0),3+COUNTIF($B$2:B1884,'Resultados dashboard'!$B1884))</f>
        <v>Moch</v>
      </c>
      <c r="D1884" s="54">
        <v>5</v>
      </c>
      <c r="E1884" s="53"/>
      <c r="F1884" s="53"/>
      <c r="G1884" s="53"/>
      <c r="H1884" s="38">
        <f t="shared" si="17"/>
        <v>5</v>
      </c>
      <c r="I1884" s="38">
        <f t="shared" si="18"/>
        <v>4</v>
      </c>
      <c r="J1884" s="55"/>
    </row>
    <row r="1885" spans="1:10" ht="15" customHeight="1" x14ac:dyDescent="0.2">
      <c r="A1885" s="50">
        <f t="array" ref="A1885">+INDEX(Partidas!$A:$J,MATCH('Resultados dashboard'!$B1885,Partidas!$C:$C,0),2)</f>
        <v>46078</v>
      </c>
      <c r="B1885" s="56">
        <f>+IF(COUNTIF($B$2:B1884,B1884)=VLOOKUP(B1884,Partidas!$C:$J,8,0),B1884+1,B1884)</f>
        <v>414</v>
      </c>
      <c r="C1885" s="41" t="str">
        <f t="array" ref="C1885">+INDEX(Partidas!$A:$J,MATCH('Resultados dashboard'!$B1885,Partidas!$C:$C,0),3+COUNTIF($B$2:B1885,'Resultados dashboard'!$B1885))</f>
        <v>Hugo</v>
      </c>
      <c r="D1885" s="54">
        <v>6</v>
      </c>
      <c r="E1885" s="54">
        <v>2</v>
      </c>
      <c r="F1885" s="53"/>
      <c r="G1885" s="53"/>
      <c r="H1885" s="38">
        <f t="shared" si="17"/>
        <v>8</v>
      </c>
      <c r="I1885" s="38">
        <f t="shared" si="18"/>
        <v>2</v>
      </c>
      <c r="J1885" s="55"/>
    </row>
    <row r="1886" spans="1:10" ht="15" customHeight="1" x14ac:dyDescent="0.2">
      <c r="A1886" s="50">
        <f t="array" ref="A1886">+INDEX(Partidas!$A:$J,MATCH('Resultados dashboard'!$B1886,Partidas!$C:$C,0),2)</f>
        <v>46081</v>
      </c>
      <c r="B1886" s="56">
        <f>+IF(COUNTIF($B$2:B1885,B1885)=VLOOKUP(B1885,Partidas!$C:$J,8,0),B1885+1,B1885)</f>
        <v>415</v>
      </c>
      <c r="C1886" s="41" t="str">
        <f t="array" ref="C1886">+INDEX(Partidas!$A:$J,MATCH('Resultados dashboard'!$B1886,Partidas!$C:$C,0),3+COUNTIF($B$2:B1886,'Resultados dashboard'!$B1886))</f>
        <v>Gallo</v>
      </c>
      <c r="D1886" s="54">
        <v>8</v>
      </c>
      <c r="E1886" s="53"/>
      <c r="F1886" s="53"/>
      <c r="G1886" s="53"/>
      <c r="H1886" s="38">
        <f t="shared" si="17"/>
        <v>8</v>
      </c>
      <c r="I1886" s="38">
        <f t="shared" si="18"/>
        <v>3</v>
      </c>
      <c r="J1886" s="55"/>
    </row>
    <row r="1887" spans="1:10" ht="15" customHeight="1" x14ac:dyDescent="0.2">
      <c r="A1887" s="50">
        <f t="array" ref="A1887">+INDEX(Partidas!$A:$J,MATCH('Resultados dashboard'!$B1887,Partidas!$C:$C,0),2)</f>
        <v>46081</v>
      </c>
      <c r="B1887" s="56">
        <f>+IF(COUNTIF($B$2:B1886,B1886)=VLOOKUP(B1886,Partidas!$C:$J,8,0),B1886+1,B1886)</f>
        <v>415</v>
      </c>
      <c r="C1887" s="41" t="str">
        <f t="array" ref="C1887">+INDEX(Partidas!$A:$J,MATCH('Resultados dashboard'!$B1887,Partidas!$C:$C,0),3+COUNTIF($B$2:B1887,'Resultados dashboard'!$B1887))</f>
        <v>Ivo</v>
      </c>
      <c r="D1887" s="54">
        <v>7</v>
      </c>
      <c r="E1887" s="54">
        <v>1</v>
      </c>
      <c r="F1887" s="54">
        <v>1</v>
      </c>
      <c r="G1887" s="53"/>
      <c r="H1887" s="38">
        <f t="shared" si="17"/>
        <v>10</v>
      </c>
      <c r="I1887" s="38">
        <f t="shared" si="18"/>
        <v>1</v>
      </c>
      <c r="J1887" s="55"/>
    </row>
    <row r="1888" spans="1:10" ht="15" customHeight="1" x14ac:dyDescent="0.2">
      <c r="A1888" s="50">
        <f t="array" ref="A1888">+INDEX(Partidas!$A:$J,MATCH('Resultados dashboard'!$B1888,Partidas!$C:$C,0),2)</f>
        <v>46081</v>
      </c>
      <c r="B1888" s="56">
        <f>+IF(COUNTIF($B$2:B1887,B1887)=VLOOKUP(B1887,Partidas!$C:$J,8,0),B1887+1,B1887)</f>
        <v>415</v>
      </c>
      <c r="C1888" s="41" t="str">
        <f t="array" ref="C1888">+INDEX(Partidas!$A:$J,MATCH('Resultados dashboard'!$B1888,Partidas!$C:$C,0),3+COUNTIF($B$2:B1888,'Resultados dashboard'!$B1888))</f>
        <v>Max</v>
      </c>
      <c r="D1888" s="54">
        <v>7</v>
      </c>
      <c r="E1888" s="53"/>
      <c r="F1888" s="53"/>
      <c r="G1888" s="54">
        <v>1</v>
      </c>
      <c r="H1888" s="38">
        <f t="shared" si="17"/>
        <v>9</v>
      </c>
      <c r="I1888" s="38">
        <f t="shared" si="18"/>
        <v>2</v>
      </c>
      <c r="J1888" s="55"/>
    </row>
    <row r="1889" spans="1:10" ht="15" customHeight="1" x14ac:dyDescent="0.2">
      <c r="A1889" s="50">
        <f t="array" ref="A1889">+INDEX(Partidas!$A:$J,MATCH('Resultados dashboard'!$B1889,Partidas!$C:$C,0),2)</f>
        <v>46081</v>
      </c>
      <c r="B1889" s="56">
        <f>+IF(COUNTIF($B$2:B1888,B1888)=VLOOKUP(B1888,Partidas!$C:$J,8,0),B1888+1,B1888)</f>
        <v>415</v>
      </c>
      <c r="C1889" s="41" t="str">
        <f t="array" ref="C1889">+INDEX(Partidas!$A:$J,MATCH('Resultados dashboard'!$B1889,Partidas!$C:$C,0),3+COUNTIF($B$2:B1889,'Resultados dashboard'!$B1889))</f>
        <v>Hugo</v>
      </c>
      <c r="D1889" s="54">
        <v>5</v>
      </c>
      <c r="E1889" s="53"/>
      <c r="F1889" s="53"/>
      <c r="G1889" s="53"/>
      <c r="H1889" s="38">
        <f t="shared" si="17"/>
        <v>5</v>
      </c>
      <c r="I1889" s="38">
        <f t="shared" si="18"/>
        <v>4</v>
      </c>
      <c r="J1889" s="55"/>
    </row>
    <row r="1890" spans="1:10" ht="15" customHeight="1" x14ac:dyDescent="0.2">
      <c r="A1890" s="50">
        <f t="array" ref="A1890">+INDEX(Partidas!$A:$J,MATCH('Resultados dashboard'!$B1890,Partidas!$C:$C,0),2)</f>
        <v>46081</v>
      </c>
      <c r="B1890" s="56">
        <f>+IF(COUNTIF($B$2:B1889,B1889)=VLOOKUP(B1889,Partidas!$C:$J,8,0),B1889+1,B1889)</f>
        <v>415</v>
      </c>
      <c r="C1890" s="41" t="str">
        <f t="array" ref="C1890">+INDEX(Partidas!$A:$J,MATCH('Resultados dashboard'!$B1890,Partidas!$C:$C,0),3+COUNTIF($B$2:B1890,'Resultados dashboard'!$B1890))</f>
        <v>Abegol</v>
      </c>
      <c r="D1890" s="54">
        <v>5</v>
      </c>
      <c r="E1890" s="53"/>
      <c r="F1890" s="53"/>
      <c r="G1890" s="53"/>
      <c r="H1890" s="38">
        <f t="shared" si="17"/>
        <v>5</v>
      </c>
      <c r="I1890" s="38">
        <f t="shared" si="18"/>
        <v>4</v>
      </c>
      <c r="J1890" s="55"/>
    </row>
    <row r="1891" spans="1:10" ht="15" customHeight="1" x14ac:dyDescent="0.2">
      <c r="A1891" s="50">
        <f t="array" ref="A1891">+INDEX(Partidas!$A:$J,MATCH('Resultados dashboard'!$B1891,Partidas!$C:$C,0),2)</f>
        <v>46081</v>
      </c>
      <c r="B1891" s="56">
        <f>+IF(COUNTIF($B$2:B1890,B1890)=VLOOKUP(B1890,Partidas!$C:$J,8,0),B1890+1,B1890)</f>
        <v>416</v>
      </c>
      <c r="C1891" s="41" t="str">
        <f t="array" ref="C1891">+INDEX(Partidas!$A:$J,MATCH('Resultados dashboard'!$B1891,Partidas!$C:$C,0),3+COUNTIF($B$2:B1891,'Resultados dashboard'!$B1891))</f>
        <v>Gallo</v>
      </c>
      <c r="D1891" s="54">
        <v>8</v>
      </c>
      <c r="E1891" s="54">
        <v>2</v>
      </c>
      <c r="F1891" s="53"/>
      <c r="G1891" s="53"/>
      <c r="H1891" s="38">
        <f t="shared" si="17"/>
        <v>10</v>
      </c>
      <c r="I1891" s="38">
        <f t="shared" si="18"/>
        <v>1</v>
      </c>
      <c r="J1891" s="55"/>
    </row>
    <row r="1892" spans="1:10" ht="15" customHeight="1" x14ac:dyDescent="0.2">
      <c r="A1892" s="50">
        <f t="array" ref="A1892">+INDEX(Partidas!$A:$J,MATCH('Resultados dashboard'!$B1892,Partidas!$C:$C,0),2)</f>
        <v>46081</v>
      </c>
      <c r="B1892" s="56">
        <f>+IF(COUNTIF($B$2:B1891,B1891)=VLOOKUP(B1891,Partidas!$C:$J,8,0),B1891+1,B1891)</f>
        <v>416</v>
      </c>
      <c r="C1892" s="41" t="str">
        <f t="array" ref="C1892">+INDEX(Partidas!$A:$J,MATCH('Resultados dashboard'!$B1892,Partidas!$C:$C,0),3+COUNTIF($B$2:B1892,'Resultados dashboard'!$B1892))</f>
        <v>Ivo</v>
      </c>
      <c r="D1892" s="54">
        <v>5</v>
      </c>
      <c r="E1892" s="53"/>
      <c r="F1892" s="53"/>
      <c r="G1892" s="54">
        <v>1</v>
      </c>
      <c r="H1892" s="38">
        <f t="shared" si="17"/>
        <v>7</v>
      </c>
      <c r="I1892" s="38">
        <f t="shared" si="18"/>
        <v>3</v>
      </c>
      <c r="J1892" s="55"/>
    </row>
    <row r="1893" spans="1:10" ht="15" customHeight="1" x14ac:dyDescent="0.2">
      <c r="A1893" s="50">
        <f t="array" ref="A1893">+INDEX(Partidas!$A:$J,MATCH('Resultados dashboard'!$B1893,Partidas!$C:$C,0),2)</f>
        <v>46081</v>
      </c>
      <c r="B1893" s="56">
        <f>+IF(COUNTIF($B$2:B1892,B1892)=VLOOKUP(B1892,Partidas!$C:$J,8,0),B1892+1,B1892)</f>
        <v>416</v>
      </c>
      <c r="C1893" s="41" t="str">
        <f t="array" ref="C1893">+INDEX(Partidas!$A:$J,MATCH('Resultados dashboard'!$B1893,Partidas!$C:$C,0),3+COUNTIF($B$2:B1893,'Resultados dashboard'!$B1893))</f>
        <v>Max</v>
      </c>
      <c r="D1893" s="54">
        <v>6</v>
      </c>
      <c r="E1893" s="53"/>
      <c r="F1893" s="53"/>
      <c r="G1893" s="53"/>
      <c r="H1893" s="38">
        <f t="shared" si="17"/>
        <v>6</v>
      </c>
      <c r="I1893" s="38">
        <f t="shared" si="18"/>
        <v>4</v>
      </c>
      <c r="J1893" s="55"/>
    </row>
    <row r="1894" spans="1:10" ht="15" customHeight="1" x14ac:dyDescent="0.2">
      <c r="A1894" s="50">
        <f t="array" ref="A1894">+INDEX(Partidas!$A:$J,MATCH('Resultados dashboard'!$B1894,Partidas!$C:$C,0),2)</f>
        <v>46081</v>
      </c>
      <c r="B1894" s="56">
        <f>+IF(COUNTIF($B$2:B1893,B1893)=VLOOKUP(B1893,Partidas!$C:$J,8,0),B1893+1,B1893)</f>
        <v>416</v>
      </c>
      <c r="C1894" s="41" t="str">
        <f t="array" ref="C1894">+INDEX(Partidas!$A:$J,MATCH('Resultados dashboard'!$B1894,Partidas!$C:$C,0),3+COUNTIF($B$2:B1894,'Resultados dashboard'!$B1894))</f>
        <v>Hugo</v>
      </c>
      <c r="D1894" s="54">
        <v>6</v>
      </c>
      <c r="E1894" s="53"/>
      <c r="F1894" s="53"/>
      <c r="G1894" s="53"/>
      <c r="H1894" s="38">
        <f t="shared" si="17"/>
        <v>6</v>
      </c>
      <c r="I1894" s="38">
        <f t="shared" si="18"/>
        <v>4</v>
      </c>
      <c r="J1894" s="55"/>
    </row>
    <row r="1895" spans="1:10" ht="15" customHeight="1" x14ac:dyDescent="0.2">
      <c r="A1895" s="50">
        <f t="array" ref="A1895">+INDEX(Partidas!$A:$J,MATCH('Resultados dashboard'!$B1895,Partidas!$C:$C,0),2)</f>
        <v>46081</v>
      </c>
      <c r="B1895" s="56">
        <f>+IF(COUNTIF($B$2:B1894,B1894)=VLOOKUP(B1894,Partidas!$C:$J,8,0),B1894+1,B1894)</f>
        <v>416</v>
      </c>
      <c r="C1895" s="41" t="str">
        <f t="array" ref="C1895">+INDEX(Partidas!$A:$J,MATCH('Resultados dashboard'!$B1895,Partidas!$C:$C,0),3+COUNTIF($B$2:B1895,'Resultados dashboard'!$B1895))</f>
        <v>Abegol</v>
      </c>
      <c r="D1895" s="54">
        <v>5</v>
      </c>
      <c r="E1895" s="54">
        <v>2</v>
      </c>
      <c r="F1895" s="54">
        <v>1</v>
      </c>
      <c r="G1895" s="53"/>
      <c r="H1895" s="38">
        <f t="shared" si="17"/>
        <v>9</v>
      </c>
      <c r="I1895" s="38">
        <f t="shared" si="18"/>
        <v>2</v>
      </c>
      <c r="J1895" s="55"/>
    </row>
    <row r="1896" spans="1:10" ht="15" customHeight="1" x14ac:dyDescent="0.2">
      <c r="A1896" s="50">
        <f t="array" ref="A1896">+INDEX(Partidas!$A:$J,MATCH('Resultados dashboard'!$B1896,Partidas!$C:$C,0),2)</f>
        <v>46081</v>
      </c>
      <c r="B1896" s="56">
        <f>+IF(COUNTIF($B$2:B1895,B1895)=VLOOKUP(B1895,Partidas!$C:$J,8,0),B1895+1,B1895)</f>
        <v>416</v>
      </c>
      <c r="C1896" s="41" t="str">
        <f t="array" ref="C1896">+INDEX(Partidas!$A:$J,MATCH('Resultados dashboard'!$B1896,Partidas!$C:$C,0),3+COUNTIF($B$2:B1896,'Resultados dashboard'!$B1896))</f>
        <v>Gaspa</v>
      </c>
      <c r="D1896" s="54">
        <v>5</v>
      </c>
      <c r="E1896" s="54">
        <v>1</v>
      </c>
      <c r="F1896" s="53"/>
      <c r="G1896" s="53"/>
      <c r="H1896" s="38">
        <f t="shared" si="17"/>
        <v>6</v>
      </c>
      <c r="I1896" s="38">
        <f t="shared" si="18"/>
        <v>4</v>
      </c>
      <c r="J1896" s="55"/>
    </row>
    <row r="1897" spans="1:10" ht="15" customHeight="1" x14ac:dyDescent="0.2">
      <c r="A1897" s="50">
        <f t="array" ref="A1897">+INDEX(Partidas!$A:$J,MATCH('Resultados dashboard'!$B1897,Partidas!$C:$C,0),2)</f>
        <v>46084</v>
      </c>
      <c r="B1897" s="56">
        <f>+IF(COUNTIF($B$2:B1896,B1896)=VLOOKUP(B1896,Partidas!$C:$J,8,0),B1896+1,B1896)</f>
        <v>417</v>
      </c>
      <c r="C1897" s="41" t="str">
        <f t="array" ref="C1897">+INDEX(Partidas!$A:$J,MATCH('Resultados dashboard'!$B1897,Partidas!$C:$C,0),3+COUNTIF($B$2:B1897,'Resultados dashboard'!$B1897))</f>
        <v>Ivo</v>
      </c>
      <c r="D1897" s="54">
        <v>4</v>
      </c>
      <c r="E1897" s="54">
        <v>1</v>
      </c>
      <c r="F1897" s="53"/>
      <c r="G1897" s="54">
        <v>1</v>
      </c>
      <c r="H1897" s="38">
        <f t="shared" si="17"/>
        <v>7</v>
      </c>
      <c r="I1897" s="38">
        <f t="shared" si="18"/>
        <v>2</v>
      </c>
      <c r="J1897" s="55"/>
    </row>
    <row r="1898" spans="1:10" ht="15" customHeight="1" x14ac:dyDescent="0.2">
      <c r="A1898" s="50">
        <f t="array" ref="A1898">+INDEX(Partidas!$A:$J,MATCH('Resultados dashboard'!$B1898,Partidas!$C:$C,0),2)</f>
        <v>46084</v>
      </c>
      <c r="B1898" s="56">
        <f>+IF(COUNTIF($B$2:B1897,B1897)=VLOOKUP(B1897,Partidas!$C:$J,8,0),B1897+1,B1897)</f>
        <v>417</v>
      </c>
      <c r="C1898" s="41" t="str">
        <f t="array" ref="C1898">+INDEX(Partidas!$A:$J,MATCH('Resultados dashboard'!$B1898,Partidas!$C:$C,0),3+COUNTIF($B$2:B1898,'Resultados dashboard'!$B1898))</f>
        <v>Max</v>
      </c>
      <c r="D1898" s="54">
        <v>6</v>
      </c>
      <c r="E1898" s="54">
        <v>1</v>
      </c>
      <c r="F1898" s="53"/>
      <c r="G1898" s="53"/>
      <c r="H1898" s="38">
        <f t="shared" si="17"/>
        <v>7</v>
      </c>
      <c r="I1898" s="38">
        <f t="shared" si="18"/>
        <v>2</v>
      </c>
      <c r="J1898" s="55"/>
    </row>
    <row r="1899" spans="1:10" ht="15" customHeight="1" x14ac:dyDescent="0.2">
      <c r="A1899" s="50">
        <f t="array" ref="A1899">+INDEX(Partidas!$A:$J,MATCH('Resultados dashboard'!$B1899,Partidas!$C:$C,0),2)</f>
        <v>46084</v>
      </c>
      <c r="B1899" s="56">
        <f>+IF(COUNTIF($B$2:B1898,B1898)=VLOOKUP(B1898,Partidas!$C:$J,8,0),B1898+1,B1898)</f>
        <v>417</v>
      </c>
      <c r="C1899" s="41" t="str">
        <f t="array" ref="C1899">+INDEX(Partidas!$A:$J,MATCH('Resultados dashboard'!$B1899,Partidas!$C:$C,0),3+COUNTIF($B$2:B1899,'Resultados dashboard'!$B1899))</f>
        <v>Gaspa</v>
      </c>
      <c r="D1899" s="54">
        <v>5</v>
      </c>
      <c r="E1899" s="53"/>
      <c r="F1899" s="54">
        <v>1</v>
      </c>
      <c r="G1899" s="53"/>
      <c r="H1899" s="38">
        <f t="shared" si="17"/>
        <v>7</v>
      </c>
      <c r="I1899" s="38">
        <f t="shared" si="18"/>
        <v>2</v>
      </c>
      <c r="J1899" s="55"/>
    </row>
    <row r="1900" spans="1:10" ht="15" customHeight="1" x14ac:dyDescent="0.2">
      <c r="A1900" s="50">
        <f t="array" ref="A1900">+INDEX(Partidas!$A:$J,MATCH('Resultados dashboard'!$B1900,Partidas!$C:$C,0),2)</f>
        <v>46084</v>
      </c>
      <c r="B1900" s="56">
        <f>+IF(COUNTIF($B$2:B1899,B1899)=VLOOKUP(B1899,Partidas!$C:$J,8,0),B1899+1,B1899)</f>
        <v>417</v>
      </c>
      <c r="C1900" s="41" t="str">
        <f t="array" ref="C1900">+INDEX(Partidas!$A:$J,MATCH('Resultados dashboard'!$B1900,Partidas!$C:$C,0),3+COUNTIF($B$2:B1900,'Resultados dashboard'!$B1900))</f>
        <v>Gasta</v>
      </c>
      <c r="D1900" s="54">
        <v>10</v>
      </c>
      <c r="E1900" s="53"/>
      <c r="F1900" s="53"/>
      <c r="G1900" s="53"/>
      <c r="H1900" s="38">
        <f t="shared" si="17"/>
        <v>10</v>
      </c>
      <c r="I1900" s="38">
        <f t="shared" si="18"/>
        <v>1</v>
      </c>
      <c r="J1900" s="55"/>
    </row>
    <row r="1901" spans="1:10" ht="15" customHeight="1" x14ac:dyDescent="0.2">
      <c r="A1901" s="50">
        <f t="array" ref="A1901">+INDEX(Partidas!$A:$J,MATCH('Resultados dashboard'!$B1901,Partidas!$C:$C,0),2)</f>
        <v>46084</v>
      </c>
      <c r="B1901" s="56">
        <f>+IF(COUNTIF($B$2:B1900,B1900)=VLOOKUP(B1900,Partidas!$C:$J,8,0),B1900+1,B1900)</f>
        <v>418</v>
      </c>
      <c r="C1901" s="41" t="str">
        <f t="array" ref="C1901">+INDEX(Partidas!$A:$J,MATCH('Resultados dashboard'!$B1901,Partidas!$C:$C,0),3+COUNTIF($B$2:B1901,'Resultados dashboard'!$B1901))</f>
        <v>Ivo</v>
      </c>
      <c r="D1901" s="54">
        <v>8</v>
      </c>
      <c r="E1901" s="53"/>
      <c r="F1901" s="53"/>
      <c r="G1901" s="54">
        <v>1</v>
      </c>
      <c r="H1901" s="38">
        <f t="shared" si="17"/>
        <v>10</v>
      </c>
      <c r="I1901" s="38">
        <f t="shared" si="18"/>
        <v>1</v>
      </c>
      <c r="J1901" s="55"/>
    </row>
    <row r="1902" spans="1:10" ht="15" customHeight="1" x14ac:dyDescent="0.2">
      <c r="A1902" s="50">
        <f t="array" ref="A1902">+INDEX(Partidas!$A:$J,MATCH('Resultados dashboard'!$B1902,Partidas!$C:$C,0),2)</f>
        <v>46084</v>
      </c>
      <c r="B1902" s="56">
        <f>+IF(COUNTIF($B$2:B1901,B1901)=VLOOKUP(B1901,Partidas!$C:$J,8,0),B1901+1,B1901)</f>
        <v>418</v>
      </c>
      <c r="C1902" s="41" t="str">
        <f t="array" ref="C1902">+INDEX(Partidas!$A:$J,MATCH('Resultados dashboard'!$B1902,Partidas!$C:$C,0),3+COUNTIF($B$2:B1902,'Resultados dashboard'!$B1902))</f>
        <v>Max</v>
      </c>
      <c r="D1902" s="54">
        <v>3</v>
      </c>
      <c r="E1902" s="53"/>
      <c r="F1902" s="53"/>
      <c r="G1902" s="53"/>
      <c r="H1902" s="38">
        <f t="shared" si="17"/>
        <v>3</v>
      </c>
      <c r="I1902" s="38">
        <f t="shared" si="18"/>
        <v>5</v>
      </c>
      <c r="J1902" s="55"/>
    </row>
    <row r="1903" spans="1:10" ht="15" customHeight="1" x14ac:dyDescent="0.2">
      <c r="A1903" s="50">
        <f t="array" ref="A1903">+INDEX(Partidas!$A:$J,MATCH('Resultados dashboard'!$B1903,Partidas!$C:$C,0),2)</f>
        <v>46084</v>
      </c>
      <c r="B1903" s="56">
        <f>+IF(COUNTIF($B$2:B1902,B1902)=VLOOKUP(B1902,Partidas!$C:$J,8,0),B1902+1,B1902)</f>
        <v>418</v>
      </c>
      <c r="C1903" s="41" t="str">
        <f t="array" ref="C1903">+INDEX(Partidas!$A:$J,MATCH('Resultados dashboard'!$B1903,Partidas!$C:$C,0),3+COUNTIF($B$2:B1903,'Resultados dashboard'!$B1903))</f>
        <v>Gaspa</v>
      </c>
      <c r="D1903" s="54">
        <v>4</v>
      </c>
      <c r="E1903" s="53"/>
      <c r="F1903" s="53"/>
      <c r="G1903" s="53"/>
      <c r="H1903" s="38">
        <f t="shared" si="17"/>
        <v>4</v>
      </c>
      <c r="I1903" s="38">
        <f t="shared" si="18"/>
        <v>3</v>
      </c>
      <c r="J1903" s="55"/>
    </row>
    <row r="1904" spans="1:10" ht="15" customHeight="1" x14ac:dyDescent="0.2">
      <c r="A1904" s="50">
        <f t="array" ref="A1904">+INDEX(Partidas!$A:$J,MATCH('Resultados dashboard'!$B1904,Partidas!$C:$C,0),2)</f>
        <v>46084</v>
      </c>
      <c r="B1904" s="56">
        <f>+IF(COUNTIF($B$2:B1903,B1903)=VLOOKUP(B1903,Partidas!$C:$J,8,0),B1903+1,B1903)</f>
        <v>418</v>
      </c>
      <c r="C1904" s="41" t="str">
        <f t="array" ref="C1904">+INDEX(Partidas!$A:$J,MATCH('Resultados dashboard'!$B1904,Partidas!$C:$C,0),3+COUNTIF($B$2:B1904,'Resultados dashboard'!$B1904))</f>
        <v>Moch</v>
      </c>
      <c r="D1904" s="54">
        <v>4</v>
      </c>
      <c r="E1904" s="54">
        <v>1</v>
      </c>
      <c r="F1904" s="53"/>
      <c r="G1904" s="53"/>
      <c r="H1904" s="38">
        <f t="shared" si="17"/>
        <v>5</v>
      </c>
      <c r="I1904" s="38">
        <f t="shared" si="18"/>
        <v>2</v>
      </c>
      <c r="J1904" s="55"/>
    </row>
    <row r="1905" spans="1:10" ht="15" customHeight="1" x14ac:dyDescent="0.2">
      <c r="A1905" s="50">
        <f t="array" ref="A1905">+INDEX(Partidas!$A:$J,MATCH('Resultados dashboard'!$B1905,Partidas!$C:$C,0),2)</f>
        <v>46084</v>
      </c>
      <c r="B1905" s="56">
        <f>+IF(COUNTIF($B$2:B1904,B1904)=VLOOKUP(B1904,Partidas!$C:$J,8,0),B1904+1,B1904)</f>
        <v>418</v>
      </c>
      <c r="C1905" s="41" t="str">
        <f t="array" ref="C1905">+INDEX(Partidas!$A:$J,MATCH('Resultados dashboard'!$B1905,Partidas!$C:$C,0),3+COUNTIF($B$2:B1905,'Resultados dashboard'!$B1905))</f>
        <v>Gasta</v>
      </c>
      <c r="D1905" s="54">
        <v>4</v>
      </c>
      <c r="E1905" s="53"/>
      <c r="F1905" s="53"/>
      <c r="G1905" s="53"/>
      <c r="H1905" s="38">
        <f t="shared" si="17"/>
        <v>4</v>
      </c>
      <c r="I1905" s="38">
        <f t="shared" si="18"/>
        <v>3</v>
      </c>
      <c r="J1905" s="55"/>
    </row>
    <row r="1906" spans="1:10" ht="15" customHeight="1" x14ac:dyDescent="0.2">
      <c r="A1906" s="50">
        <f t="array" ref="A1906">+INDEX(Partidas!$A:$J,MATCH('Resultados dashboard'!$B1906,Partidas!$C:$C,0),2)</f>
        <v>46084</v>
      </c>
      <c r="B1906" s="56">
        <f>+IF(COUNTIF($B$2:B1905,B1905)=VLOOKUP(B1905,Partidas!$C:$J,8,0),B1905+1,B1905)</f>
        <v>419</v>
      </c>
      <c r="C1906" s="41" t="str">
        <f t="array" ref="C1906">+INDEX(Partidas!$A:$J,MATCH('Resultados dashboard'!$B1906,Partidas!$C:$C,0),3+COUNTIF($B$2:B1906,'Resultados dashboard'!$B1906))</f>
        <v>Ivo</v>
      </c>
      <c r="D1906" s="54">
        <v>5</v>
      </c>
      <c r="E1906" s="54">
        <v>1</v>
      </c>
      <c r="F1906" s="54">
        <v>1</v>
      </c>
      <c r="G1906" s="53"/>
      <c r="H1906" s="38">
        <f t="shared" si="17"/>
        <v>8</v>
      </c>
      <c r="I1906" s="38">
        <f t="shared" si="18"/>
        <v>2</v>
      </c>
      <c r="J1906" s="55"/>
    </row>
    <row r="1907" spans="1:10" ht="15" customHeight="1" x14ac:dyDescent="0.2">
      <c r="A1907" s="50">
        <f t="array" ref="A1907">+INDEX(Partidas!$A:$J,MATCH('Resultados dashboard'!$B1907,Partidas!$C:$C,0),2)</f>
        <v>46084</v>
      </c>
      <c r="B1907" s="56">
        <f>+IF(COUNTIF($B$2:B1906,B1906)=VLOOKUP(B1906,Partidas!$C:$J,8,0),B1906+1,B1906)</f>
        <v>419</v>
      </c>
      <c r="C1907" s="41" t="str">
        <f t="array" ref="C1907">+INDEX(Partidas!$A:$J,MATCH('Resultados dashboard'!$B1907,Partidas!$C:$C,0),3+COUNTIF($B$2:B1907,'Resultados dashboard'!$B1907))</f>
        <v>Max</v>
      </c>
      <c r="D1907" s="54">
        <v>9</v>
      </c>
      <c r="E1907" s="54">
        <v>1</v>
      </c>
      <c r="F1907" s="53"/>
      <c r="G1907" s="53"/>
      <c r="H1907" s="38">
        <f t="shared" si="17"/>
        <v>10</v>
      </c>
      <c r="I1907" s="38">
        <f t="shared" si="18"/>
        <v>1</v>
      </c>
      <c r="J1907" s="55"/>
    </row>
    <row r="1908" spans="1:10" ht="15" customHeight="1" x14ac:dyDescent="0.2">
      <c r="A1908" s="50">
        <f t="array" ref="A1908">+INDEX(Partidas!$A:$J,MATCH('Resultados dashboard'!$B1908,Partidas!$C:$C,0),2)</f>
        <v>46084</v>
      </c>
      <c r="B1908" s="56">
        <f>+IF(COUNTIF($B$2:B1907,B1907)=VLOOKUP(B1907,Partidas!$C:$J,8,0),B1907+1,B1907)</f>
        <v>419</v>
      </c>
      <c r="C1908" s="41" t="str">
        <f t="array" ref="C1908">+INDEX(Partidas!$A:$J,MATCH('Resultados dashboard'!$B1908,Partidas!$C:$C,0),3+COUNTIF($B$2:B1908,'Resultados dashboard'!$B1908))</f>
        <v>Gaspa</v>
      </c>
      <c r="D1908" s="54">
        <v>5</v>
      </c>
      <c r="E1908" s="54">
        <v>2</v>
      </c>
      <c r="F1908" s="53"/>
      <c r="G1908" s="53"/>
      <c r="H1908" s="38">
        <f t="shared" si="17"/>
        <v>7</v>
      </c>
      <c r="I1908" s="38">
        <f t="shared" si="18"/>
        <v>4</v>
      </c>
      <c r="J1908" s="55"/>
    </row>
    <row r="1909" spans="1:10" ht="15" customHeight="1" x14ac:dyDescent="0.2">
      <c r="A1909" s="50">
        <f t="array" ref="A1909">+INDEX(Partidas!$A:$J,MATCH('Resultados dashboard'!$B1909,Partidas!$C:$C,0),2)</f>
        <v>46084</v>
      </c>
      <c r="B1909" s="56">
        <f>+IF(COUNTIF($B$2:B1908,B1908)=VLOOKUP(B1908,Partidas!$C:$J,8,0),B1908+1,B1908)</f>
        <v>419</v>
      </c>
      <c r="C1909" s="41" t="str">
        <f t="array" ref="C1909">+INDEX(Partidas!$A:$J,MATCH('Resultados dashboard'!$B1909,Partidas!$C:$C,0),3+COUNTIF($B$2:B1909,'Resultados dashboard'!$B1909))</f>
        <v>Moch</v>
      </c>
      <c r="D1909" s="54">
        <v>6</v>
      </c>
      <c r="E1909" s="53"/>
      <c r="F1909" s="53"/>
      <c r="G1909" s="54">
        <v>1</v>
      </c>
      <c r="H1909" s="38">
        <f t="shared" si="17"/>
        <v>8</v>
      </c>
      <c r="I1909" s="38">
        <f t="shared" si="18"/>
        <v>2</v>
      </c>
      <c r="J1909" s="55"/>
    </row>
    <row r="1910" spans="1:10" ht="15" customHeight="1" x14ac:dyDescent="0.2">
      <c r="A1910" s="50">
        <f t="array" ref="A1910">+INDEX(Partidas!$A:$J,MATCH('Resultados dashboard'!$B1910,Partidas!$C:$C,0),2)</f>
        <v>46084</v>
      </c>
      <c r="B1910" s="56">
        <f>+IF(COUNTIF($B$2:B1909,B1909)=VLOOKUP(B1909,Partidas!$C:$J,8,0),B1909+1,B1909)</f>
        <v>419</v>
      </c>
      <c r="C1910" s="41" t="str">
        <f t="array" ref="C1910">+INDEX(Partidas!$A:$J,MATCH('Resultados dashboard'!$B1910,Partidas!$C:$C,0),3+COUNTIF($B$2:B1910,'Resultados dashboard'!$B1910))</f>
        <v>Gasta</v>
      </c>
      <c r="D1910" s="54">
        <v>6</v>
      </c>
      <c r="E1910" s="53"/>
      <c r="F1910" s="53"/>
      <c r="G1910" s="53"/>
      <c r="H1910" s="38">
        <f t="shared" si="17"/>
        <v>6</v>
      </c>
      <c r="I1910" s="38">
        <f t="shared" si="18"/>
        <v>5</v>
      </c>
      <c r="J1910" s="55"/>
    </row>
    <row r="1911" spans="1:10" ht="15" customHeight="1" x14ac:dyDescent="0.2">
      <c r="A1911" s="50">
        <f t="array" ref="A1911">+INDEX(Partidas!$A:$J,MATCH('Resultados dashboard'!$B1911,Partidas!$C:$C,0),2)</f>
        <v>46084</v>
      </c>
      <c r="B1911" s="56">
        <f>+IF(COUNTIF($B$2:B1910,B1910)=VLOOKUP(B1910,Partidas!$C:$J,8,0),B1910+1,B1910)</f>
        <v>420</v>
      </c>
      <c r="C1911" s="41" t="str">
        <f t="array" ref="C1911">+INDEX(Partidas!$A:$J,MATCH('Resultados dashboard'!$B1911,Partidas!$C:$C,0),3+COUNTIF($B$2:B1911,'Resultados dashboard'!$B1911))</f>
        <v>Ivo</v>
      </c>
      <c r="D1911" s="54">
        <v>7</v>
      </c>
      <c r="E1911" s="53"/>
      <c r="F1911" s="53"/>
      <c r="G1911" s="53"/>
      <c r="H1911" s="38">
        <f t="shared" si="17"/>
        <v>7</v>
      </c>
      <c r="I1911" s="38">
        <f t="shared" si="18"/>
        <v>3</v>
      </c>
      <c r="J1911" s="55"/>
    </row>
    <row r="1912" spans="1:10" ht="15" customHeight="1" x14ac:dyDescent="0.2">
      <c r="A1912" s="50">
        <f t="array" ref="A1912">+INDEX(Partidas!$A:$J,MATCH('Resultados dashboard'!$B1912,Partidas!$C:$C,0),2)</f>
        <v>46084</v>
      </c>
      <c r="B1912" s="56">
        <f>+IF(COUNTIF($B$2:B1911,B1911)=VLOOKUP(B1911,Partidas!$C:$J,8,0),B1911+1,B1911)</f>
        <v>420</v>
      </c>
      <c r="C1912" s="41" t="str">
        <f t="array" ref="C1912">+INDEX(Partidas!$A:$J,MATCH('Resultados dashboard'!$B1912,Partidas!$C:$C,0),3+COUNTIF($B$2:B1912,'Resultados dashboard'!$B1912))</f>
        <v>Max</v>
      </c>
      <c r="D1912" s="54">
        <v>6</v>
      </c>
      <c r="E1912" s="53"/>
      <c r="F1912" s="53"/>
      <c r="G1912" s="53"/>
      <c r="H1912" s="38">
        <f t="shared" si="17"/>
        <v>6</v>
      </c>
      <c r="I1912" s="38">
        <f t="shared" si="18"/>
        <v>4</v>
      </c>
      <c r="J1912" s="55"/>
    </row>
    <row r="1913" spans="1:10" ht="15" customHeight="1" x14ac:dyDescent="0.2">
      <c r="A1913" s="50">
        <f t="array" ref="A1913">+INDEX(Partidas!$A:$J,MATCH('Resultados dashboard'!$B1913,Partidas!$C:$C,0),2)</f>
        <v>46084</v>
      </c>
      <c r="B1913" s="56">
        <f>+IF(COUNTIF($B$2:B1912,B1912)=VLOOKUP(B1912,Partidas!$C:$J,8,0),B1912+1,B1912)</f>
        <v>420</v>
      </c>
      <c r="C1913" s="41" t="str">
        <f t="array" ref="C1913">+INDEX(Partidas!$A:$J,MATCH('Resultados dashboard'!$B1913,Partidas!$C:$C,0),3+COUNTIF($B$2:B1913,'Resultados dashboard'!$B1913))</f>
        <v>Moch</v>
      </c>
      <c r="D1913" s="54">
        <v>8</v>
      </c>
      <c r="E1913" s="53"/>
      <c r="F1913" s="54">
        <v>1</v>
      </c>
      <c r="G1913" s="53"/>
      <c r="H1913" s="38">
        <f t="shared" si="17"/>
        <v>10</v>
      </c>
      <c r="I1913" s="38">
        <f t="shared" si="18"/>
        <v>1</v>
      </c>
      <c r="J1913" s="55"/>
    </row>
    <row r="1914" spans="1:10" ht="15" customHeight="1" x14ac:dyDescent="0.2">
      <c r="A1914" s="50">
        <f t="array" ref="A1914">+INDEX(Partidas!$A:$J,MATCH('Resultados dashboard'!$B1914,Partidas!$C:$C,0),2)</f>
        <v>46084</v>
      </c>
      <c r="B1914" s="56">
        <f>+IF(COUNTIF($B$2:B1913,B1913)=VLOOKUP(B1913,Partidas!$C:$J,8,0),B1913+1,B1913)</f>
        <v>420</v>
      </c>
      <c r="C1914" s="41" t="str">
        <f t="array" ref="C1914">+INDEX(Partidas!$A:$J,MATCH('Resultados dashboard'!$B1914,Partidas!$C:$C,0),3+COUNTIF($B$2:B1914,'Resultados dashboard'!$B1914))</f>
        <v>Gasta</v>
      </c>
      <c r="D1914" s="54">
        <v>6</v>
      </c>
      <c r="E1914" s="53"/>
      <c r="F1914" s="54"/>
      <c r="G1914" s="54">
        <v>1</v>
      </c>
      <c r="H1914" s="38">
        <f t="shared" si="17"/>
        <v>8</v>
      </c>
      <c r="I1914" s="38">
        <f t="shared" si="18"/>
        <v>2</v>
      </c>
      <c r="J1914" s="55"/>
    </row>
    <row r="1915" spans="1:10" ht="15" customHeight="1" x14ac:dyDescent="0.2">
      <c r="A1915" s="50">
        <f t="array" ref="A1915">+INDEX(Partidas!$A:$J,MATCH('Resultados dashboard'!$B1915,Partidas!$C:$C,0),2)</f>
        <v>46095</v>
      </c>
      <c r="B1915" s="56">
        <f>+IF(COUNTIF($B$2:B1914,B1914)=VLOOKUP(B1914,Partidas!$C:$J,8,0),B1914+1,B1914)</f>
        <v>421</v>
      </c>
      <c r="C1915" s="41" t="str">
        <f t="array" ref="C1915">+INDEX(Partidas!$A:$J,MATCH('Resultados dashboard'!$B1915,Partidas!$C:$C,0),3+COUNTIF($B$2:B1915,'Resultados dashboard'!$B1915))</f>
        <v>Ivo</v>
      </c>
      <c r="D1915" s="54">
        <v>4</v>
      </c>
      <c r="E1915" s="54">
        <v>1</v>
      </c>
      <c r="F1915" s="54">
        <v>1</v>
      </c>
      <c r="G1915" s="54"/>
      <c r="H1915" s="38">
        <f t="shared" si="17"/>
        <v>7</v>
      </c>
      <c r="I1915" s="38">
        <f t="shared" si="18"/>
        <v>2</v>
      </c>
      <c r="J1915" s="55"/>
    </row>
    <row r="1916" spans="1:10" ht="15" customHeight="1" x14ac:dyDescent="0.2">
      <c r="A1916" s="50">
        <f t="array" ref="A1916">+INDEX(Partidas!$A:$J,MATCH('Resultados dashboard'!$B1916,Partidas!$C:$C,0),2)</f>
        <v>46095</v>
      </c>
      <c r="B1916" s="56">
        <f>+IF(COUNTIF($B$2:B1915,B1915)=VLOOKUP(B1915,Partidas!$C:$J,8,0),B1915+1,B1915)</f>
        <v>421</v>
      </c>
      <c r="C1916" s="41" t="str">
        <f t="array" ref="C1916">+INDEX(Partidas!$A:$J,MATCH('Resultados dashboard'!$B1916,Partidas!$C:$C,0),3+COUNTIF($B$2:B1916,'Resultados dashboard'!$B1916))</f>
        <v>Max</v>
      </c>
      <c r="D1916" s="54">
        <v>9</v>
      </c>
      <c r="E1916" s="54">
        <v>1</v>
      </c>
      <c r="F1916" s="53"/>
      <c r="G1916" s="53"/>
      <c r="H1916" s="38">
        <f t="shared" si="17"/>
        <v>10</v>
      </c>
      <c r="I1916" s="38">
        <f t="shared" si="18"/>
        <v>1</v>
      </c>
      <c r="J1916" s="55"/>
    </row>
    <row r="1917" spans="1:10" ht="15" customHeight="1" x14ac:dyDescent="0.2">
      <c r="A1917" s="50">
        <f t="array" ref="A1917">+INDEX(Partidas!$A:$J,MATCH('Resultados dashboard'!$B1917,Partidas!$C:$C,0),2)</f>
        <v>46095</v>
      </c>
      <c r="B1917" s="56">
        <f>+IF(COUNTIF($B$2:B1916,B1916)=VLOOKUP(B1916,Partidas!$C:$J,8,0),B1916+1,B1916)</f>
        <v>421</v>
      </c>
      <c r="C1917" s="41" t="str">
        <f t="array" ref="C1917">+INDEX(Partidas!$A:$J,MATCH('Resultados dashboard'!$B1917,Partidas!$C:$C,0),3+COUNTIF($B$2:B1917,'Resultados dashboard'!$B1917))</f>
        <v>Moch</v>
      </c>
      <c r="D1917" s="54">
        <v>6</v>
      </c>
      <c r="E1917" s="53"/>
      <c r="F1917" s="53"/>
      <c r="G1917" s="53"/>
      <c r="H1917" s="38">
        <f t="shared" si="17"/>
        <v>6</v>
      </c>
      <c r="I1917" s="38">
        <f t="shared" si="18"/>
        <v>3</v>
      </c>
      <c r="J1917" s="55"/>
    </row>
    <row r="1918" spans="1:10" ht="15" customHeight="1" x14ac:dyDescent="0.2">
      <c r="A1918" s="50">
        <f t="array" ref="A1918">+INDEX(Partidas!$A:$J,MATCH('Resultados dashboard'!$B1918,Partidas!$C:$C,0),2)</f>
        <v>46095</v>
      </c>
      <c r="B1918" s="56">
        <f>+IF(COUNTIF($B$2:B1917,B1917)=VLOOKUP(B1917,Partidas!$C:$J,8,0),B1917+1,B1917)</f>
        <v>421</v>
      </c>
      <c r="C1918" s="41" t="str">
        <f t="array" ref="C1918">+INDEX(Partidas!$A:$J,MATCH('Resultados dashboard'!$B1918,Partidas!$C:$C,0),3+COUNTIF($B$2:B1918,'Resultados dashboard'!$B1918))</f>
        <v>Gaspa</v>
      </c>
      <c r="D1918" s="54">
        <v>4</v>
      </c>
      <c r="E1918" s="53"/>
      <c r="F1918" s="53"/>
      <c r="G1918" s="54">
        <v>1</v>
      </c>
      <c r="H1918" s="38">
        <f t="shared" si="17"/>
        <v>6</v>
      </c>
      <c r="I1918" s="38">
        <f t="shared" si="18"/>
        <v>3</v>
      </c>
      <c r="J1918" s="55"/>
    </row>
    <row r="1919" spans="1:10" ht="15" customHeight="1" x14ac:dyDescent="0.2">
      <c r="A1919" s="50">
        <f t="array" ref="A1919">+INDEX(Partidas!$A:$J,MATCH('Resultados dashboard'!$B1919,Partidas!$C:$C,0),2)</f>
        <v>46095</v>
      </c>
      <c r="B1919" s="56">
        <f>+IF(COUNTIF($B$2:B1918,B1918)=VLOOKUP(B1918,Partidas!$C:$J,8,0),B1918+1,B1918)</f>
        <v>422</v>
      </c>
      <c r="C1919" s="41" t="str">
        <f t="array" ref="C1919">+INDEX(Partidas!$A:$J,MATCH('Resultados dashboard'!$B1919,Partidas!$C:$C,0),3+COUNTIF($B$2:B1919,'Resultados dashboard'!$B1919))</f>
        <v>Ivo</v>
      </c>
      <c r="D1919" s="54">
        <v>7</v>
      </c>
      <c r="E1919" s="53"/>
      <c r="F1919" s="54">
        <v>1</v>
      </c>
      <c r="G1919" s="53"/>
      <c r="H1919" s="38">
        <f t="shared" si="17"/>
        <v>9</v>
      </c>
      <c r="I1919" s="38">
        <f t="shared" si="18"/>
        <v>2</v>
      </c>
      <c r="J1919" s="55"/>
    </row>
    <row r="1920" spans="1:10" ht="15" customHeight="1" x14ac:dyDescent="0.2">
      <c r="A1920" s="50">
        <f t="array" ref="A1920">+INDEX(Partidas!$A:$J,MATCH('Resultados dashboard'!$B1920,Partidas!$C:$C,0),2)</f>
        <v>46095</v>
      </c>
      <c r="B1920" s="56">
        <f>+IF(COUNTIF($B$2:B1919,B1919)=VLOOKUP(B1919,Partidas!$C:$J,8,0),B1919+1,B1919)</f>
        <v>422</v>
      </c>
      <c r="C1920" s="41" t="str">
        <f t="array" ref="C1920">+INDEX(Partidas!$A:$J,MATCH('Resultados dashboard'!$B1920,Partidas!$C:$C,0),3+COUNTIF($B$2:B1920,'Resultados dashboard'!$B1920))</f>
        <v>Max</v>
      </c>
      <c r="D1920" s="54">
        <v>9</v>
      </c>
      <c r="E1920" s="53"/>
      <c r="F1920" s="53"/>
      <c r="G1920" s="53"/>
      <c r="H1920" s="38">
        <f t="shared" si="17"/>
        <v>9</v>
      </c>
      <c r="I1920" s="38">
        <f t="shared" si="18"/>
        <v>2</v>
      </c>
      <c r="J1920" s="55"/>
    </row>
    <row r="1921" spans="1:10" ht="15" customHeight="1" x14ac:dyDescent="0.2">
      <c r="A1921" s="50">
        <f t="array" ref="A1921">+INDEX(Partidas!$A:$J,MATCH('Resultados dashboard'!$B1921,Partidas!$C:$C,0),2)</f>
        <v>46095</v>
      </c>
      <c r="B1921" s="56">
        <f>+IF(COUNTIF($B$2:B1920,B1920)=VLOOKUP(B1920,Partidas!$C:$J,8,0),B1920+1,B1920)</f>
        <v>422</v>
      </c>
      <c r="C1921" s="41" t="str">
        <f t="array" ref="C1921">+INDEX(Partidas!$A:$J,MATCH('Resultados dashboard'!$B1921,Partidas!$C:$C,0),3+COUNTIF($B$2:B1921,'Resultados dashboard'!$B1921))</f>
        <v>Moch</v>
      </c>
      <c r="D1921" s="54">
        <v>5</v>
      </c>
      <c r="E1921" s="54">
        <v>2</v>
      </c>
      <c r="F1921" s="53"/>
      <c r="G1921" s="53"/>
      <c r="H1921" s="38">
        <f t="shared" si="17"/>
        <v>7</v>
      </c>
      <c r="I1921" s="38">
        <f t="shared" si="18"/>
        <v>4</v>
      </c>
      <c r="J1921" s="55"/>
    </row>
    <row r="1922" spans="1:10" ht="15" customHeight="1" x14ac:dyDescent="0.2">
      <c r="A1922" s="50">
        <f t="array" ref="A1922">+INDEX(Partidas!$A:$J,MATCH('Resultados dashboard'!$B1922,Partidas!$C:$C,0),2)</f>
        <v>46095</v>
      </c>
      <c r="B1922" s="56">
        <f>+IF(COUNTIF($B$2:B1921,B1921)=VLOOKUP(B1921,Partidas!$C:$J,8,0),B1921+1,B1921)</f>
        <v>422</v>
      </c>
      <c r="C1922" s="41" t="str">
        <f t="array" ref="C1922">+INDEX(Partidas!$A:$J,MATCH('Resultados dashboard'!$B1922,Partidas!$C:$C,0),3+COUNTIF($B$2:B1922,'Resultados dashboard'!$B1922))</f>
        <v>Gaspa</v>
      </c>
      <c r="D1922" s="54">
        <v>8</v>
      </c>
      <c r="E1922" s="53"/>
      <c r="F1922" s="53"/>
      <c r="G1922" s="54">
        <v>1</v>
      </c>
      <c r="H1922" s="38">
        <f t="shared" si="17"/>
        <v>10</v>
      </c>
      <c r="I1922" s="38">
        <f t="shared" si="18"/>
        <v>1</v>
      </c>
      <c r="J1922" s="55"/>
    </row>
    <row r="1923" spans="1:10" ht="15" customHeight="1" x14ac:dyDescent="0.2">
      <c r="A1923" s="50">
        <f t="array" ref="A1923">+INDEX(Partidas!$A:$J,MATCH('Resultados dashboard'!$B1923,Partidas!$C:$C,0),2)</f>
        <v>46095</v>
      </c>
      <c r="B1923" s="56">
        <f>+IF(COUNTIF($B$2:B1922,B1922)=VLOOKUP(B1922,Partidas!$C:$J,8,0),B1922+1,B1922)</f>
        <v>423</v>
      </c>
      <c r="C1923" s="41" t="str">
        <f t="array" ref="C1923">+INDEX(Partidas!$A:$J,MATCH('Resultados dashboard'!$B1923,Partidas!$C:$C,0),3+COUNTIF($B$2:B1923,'Resultados dashboard'!$B1923))</f>
        <v>Ivo</v>
      </c>
      <c r="D1923" s="54">
        <v>7</v>
      </c>
      <c r="E1923" s="54">
        <v>1</v>
      </c>
      <c r="F1923" s="53"/>
      <c r="G1923" s="54">
        <v>1</v>
      </c>
      <c r="H1923" s="38">
        <f t="shared" si="17"/>
        <v>10</v>
      </c>
      <c r="I1923" s="38">
        <f t="shared" si="18"/>
        <v>1</v>
      </c>
      <c r="J1923" s="55"/>
    </row>
    <row r="1924" spans="1:10" ht="15" customHeight="1" x14ac:dyDescent="0.2">
      <c r="A1924" s="50">
        <f t="array" ref="A1924">+INDEX(Partidas!$A:$J,MATCH('Resultados dashboard'!$B1924,Partidas!$C:$C,0),2)</f>
        <v>46095</v>
      </c>
      <c r="B1924" s="56">
        <f>+IF(COUNTIF($B$2:B1923,B1923)=VLOOKUP(B1923,Partidas!$C:$J,8,0),B1923+1,B1923)</f>
        <v>423</v>
      </c>
      <c r="C1924" s="41" t="str">
        <f t="array" ref="C1924">+INDEX(Partidas!$A:$J,MATCH('Resultados dashboard'!$B1924,Partidas!$C:$C,0),3+COUNTIF($B$2:B1924,'Resultados dashboard'!$B1924))</f>
        <v>Max</v>
      </c>
      <c r="D1924" s="54">
        <v>5</v>
      </c>
      <c r="E1924" s="54">
        <v>1</v>
      </c>
      <c r="F1924" s="53"/>
      <c r="G1924" s="53"/>
      <c r="H1924" s="38">
        <f t="shared" si="17"/>
        <v>6</v>
      </c>
      <c r="I1924" s="38">
        <f t="shared" si="18"/>
        <v>4</v>
      </c>
      <c r="J1924" s="55"/>
    </row>
    <row r="1925" spans="1:10" ht="15" customHeight="1" x14ac:dyDescent="0.2">
      <c r="A1925" s="50">
        <f t="array" ref="A1925">+INDEX(Partidas!$A:$J,MATCH('Resultados dashboard'!$B1925,Partidas!$C:$C,0),2)</f>
        <v>46095</v>
      </c>
      <c r="B1925" s="56">
        <f>+IF(COUNTIF($B$2:B1924,B1924)=VLOOKUP(B1924,Partidas!$C:$J,8,0),B1924+1,B1924)</f>
        <v>423</v>
      </c>
      <c r="C1925" s="41" t="str">
        <f t="array" ref="C1925">+INDEX(Partidas!$A:$J,MATCH('Resultados dashboard'!$B1925,Partidas!$C:$C,0),3+COUNTIF($B$2:B1925,'Resultados dashboard'!$B1925))</f>
        <v>Moch</v>
      </c>
      <c r="D1925" s="54">
        <v>6</v>
      </c>
      <c r="E1925" s="54">
        <v>1</v>
      </c>
      <c r="F1925" s="53"/>
      <c r="G1925" s="53"/>
      <c r="H1925" s="38">
        <f t="shared" si="17"/>
        <v>7</v>
      </c>
      <c r="I1925" s="38">
        <f t="shared" si="18"/>
        <v>3</v>
      </c>
      <c r="J1925" s="55"/>
    </row>
    <row r="1926" spans="1:10" ht="15" customHeight="1" x14ac:dyDescent="0.2">
      <c r="A1926" s="50">
        <f t="array" ref="A1926">+INDEX(Partidas!$A:$J,MATCH('Resultados dashboard'!$B1926,Partidas!$C:$C,0),2)</f>
        <v>46095</v>
      </c>
      <c r="B1926" s="56">
        <f>+IF(COUNTIF($B$2:B1925,B1925)=VLOOKUP(B1925,Partidas!$C:$J,8,0),B1925+1,B1925)</f>
        <v>423</v>
      </c>
      <c r="C1926" s="41" t="str">
        <f t="array" ref="C1926">+INDEX(Partidas!$A:$J,MATCH('Resultados dashboard'!$B1926,Partidas!$C:$C,0),3+COUNTIF($B$2:B1926,'Resultados dashboard'!$B1926))</f>
        <v>Gaspa</v>
      </c>
      <c r="D1926" s="54">
        <v>5</v>
      </c>
      <c r="E1926" s="54">
        <v>2</v>
      </c>
      <c r="F1926" s="54">
        <v>1</v>
      </c>
      <c r="G1926" s="53"/>
      <c r="H1926" s="38">
        <f t="shared" si="17"/>
        <v>9</v>
      </c>
      <c r="I1926" s="38">
        <f t="shared" si="18"/>
        <v>2</v>
      </c>
      <c r="J1926" s="55"/>
    </row>
    <row r="1927" spans="1:10" ht="15" customHeight="1" x14ac:dyDescent="0.2">
      <c r="A1927" s="50">
        <f t="array" ref="A1927">+INDEX(Partidas!$A:$J,MATCH('Resultados dashboard'!$B1927,Partidas!$C:$C,0),2)</f>
        <v>46095</v>
      </c>
      <c r="B1927" s="56">
        <f>+IF(COUNTIF($B$2:B1926,B1926)=VLOOKUP(B1926,Partidas!$C:$J,8,0),B1926+1,B1926)</f>
        <v>424</v>
      </c>
      <c r="C1927" s="41" t="str">
        <f t="array" ref="C1927">+INDEX(Partidas!$A:$J,MATCH('Resultados dashboard'!$B1927,Partidas!$C:$C,0),3+COUNTIF($B$2:B1927,'Resultados dashboard'!$B1927))</f>
        <v>Ivo</v>
      </c>
      <c r="D1927" s="54">
        <v>8</v>
      </c>
      <c r="E1927" s="53"/>
      <c r="F1927" s="53"/>
      <c r="G1927" s="54">
        <v>1</v>
      </c>
      <c r="H1927" s="38">
        <f t="shared" si="17"/>
        <v>10</v>
      </c>
      <c r="I1927" s="38">
        <f t="shared" si="18"/>
        <v>1</v>
      </c>
      <c r="J1927" s="55"/>
    </row>
    <row r="1928" spans="1:10" ht="15" customHeight="1" x14ac:dyDescent="0.2">
      <c r="A1928" s="50">
        <f t="array" ref="A1928">+INDEX(Partidas!$A:$J,MATCH('Resultados dashboard'!$B1928,Partidas!$C:$C,0),2)</f>
        <v>46095</v>
      </c>
      <c r="B1928" s="56">
        <f>+IF(COUNTIF($B$2:B1927,B1927)=VLOOKUP(B1927,Partidas!$C:$J,8,0),B1927+1,B1927)</f>
        <v>424</v>
      </c>
      <c r="C1928" s="41" t="str">
        <f t="array" ref="C1928">+INDEX(Partidas!$A:$J,MATCH('Resultados dashboard'!$B1928,Partidas!$C:$C,0),3+COUNTIF($B$2:B1928,'Resultados dashboard'!$B1928))</f>
        <v>Max</v>
      </c>
      <c r="D1928" s="54">
        <v>4</v>
      </c>
      <c r="E1928" s="54">
        <v>2</v>
      </c>
      <c r="F1928" s="53"/>
      <c r="G1928" s="53"/>
      <c r="H1928" s="38">
        <f t="shared" si="17"/>
        <v>6</v>
      </c>
      <c r="I1928" s="38">
        <f t="shared" si="18"/>
        <v>3</v>
      </c>
      <c r="J1928" s="55"/>
    </row>
    <row r="1929" spans="1:10" ht="15" customHeight="1" x14ac:dyDescent="0.2">
      <c r="A1929" s="50">
        <f t="array" ref="A1929">+INDEX(Partidas!$A:$J,MATCH('Resultados dashboard'!$B1929,Partidas!$C:$C,0),2)</f>
        <v>46095</v>
      </c>
      <c r="B1929" s="56">
        <f>+IF(COUNTIF($B$2:B1928,B1928)=VLOOKUP(B1928,Partidas!$C:$J,8,0),B1928+1,B1928)</f>
        <v>424</v>
      </c>
      <c r="C1929" s="41" t="str">
        <f t="array" ref="C1929">+INDEX(Partidas!$A:$J,MATCH('Resultados dashboard'!$B1929,Partidas!$C:$C,0),3+COUNTIF($B$2:B1929,'Resultados dashboard'!$B1929))</f>
        <v>Moch</v>
      </c>
      <c r="D1929" s="54">
        <v>5</v>
      </c>
      <c r="E1929" s="54">
        <v>1</v>
      </c>
      <c r="F1929" s="54">
        <v>1</v>
      </c>
      <c r="G1929" s="53"/>
      <c r="H1929" s="38">
        <f t="shared" si="17"/>
        <v>8</v>
      </c>
      <c r="I1929" s="38">
        <f t="shared" si="18"/>
        <v>2</v>
      </c>
      <c r="J1929" s="55"/>
    </row>
    <row r="1930" spans="1:10" ht="15" customHeight="1" x14ac:dyDescent="0.2">
      <c r="A1930" s="50">
        <f t="array" ref="A1930">+INDEX(Partidas!$A:$J,MATCH('Resultados dashboard'!$B1930,Partidas!$C:$C,0),2)</f>
        <v>46095</v>
      </c>
      <c r="B1930" s="56">
        <f>+IF(COUNTIF($B$2:B1929,B1929)=VLOOKUP(B1929,Partidas!$C:$J,8,0),B1929+1,B1929)</f>
        <v>424</v>
      </c>
      <c r="C1930" s="41" t="str">
        <f t="array" ref="C1930">+INDEX(Partidas!$A:$J,MATCH('Resultados dashboard'!$B1930,Partidas!$C:$C,0),3+COUNTIF($B$2:B1930,'Resultados dashboard'!$B1930))</f>
        <v>Gaspa</v>
      </c>
      <c r="D1930" s="54">
        <v>6</v>
      </c>
      <c r="E1930" s="53"/>
      <c r="F1930" s="53"/>
      <c r="G1930" s="53"/>
      <c r="H1930" s="38">
        <f t="shared" si="17"/>
        <v>6</v>
      </c>
      <c r="I1930" s="38">
        <f t="shared" si="18"/>
        <v>3</v>
      </c>
      <c r="J1930" s="55"/>
    </row>
    <row r="1931" spans="1:10" ht="15" customHeight="1" x14ac:dyDescent="0.2">
      <c r="A1931" s="50">
        <f t="array" ref="A1931">+INDEX(Partidas!$A:$J,MATCH('Resultados dashboard'!$B1931,Partidas!$C:$C,0),2)</f>
        <v>46100</v>
      </c>
      <c r="B1931" s="56">
        <f>+IF(COUNTIF($B$2:B1930,B1930)=VLOOKUP(B1930,Partidas!$C:$J,8,0),B1930+1,B1930)</f>
        <v>425</v>
      </c>
      <c r="C1931" s="41" t="str">
        <f t="array" ref="C1931">+INDEX(Partidas!$A:$J,MATCH('Resultados dashboard'!$B1931,Partidas!$C:$C,0),3+COUNTIF($B$2:B1931,'Resultados dashboard'!$B1931))</f>
        <v>Gallo</v>
      </c>
      <c r="D1931" s="54">
        <v>7</v>
      </c>
      <c r="E1931" s="54">
        <v>1</v>
      </c>
      <c r="F1931" s="53"/>
      <c r="G1931" s="53"/>
      <c r="H1931" s="38">
        <f t="shared" si="17"/>
        <v>8</v>
      </c>
      <c r="I1931" s="38">
        <f t="shared" si="18"/>
        <v>2</v>
      </c>
      <c r="J1931" s="55"/>
    </row>
    <row r="1932" spans="1:10" ht="15" customHeight="1" x14ac:dyDescent="0.2">
      <c r="A1932" s="50">
        <f t="array" ref="A1932">+INDEX(Partidas!$A:$J,MATCH('Resultados dashboard'!$B1932,Partidas!$C:$C,0),2)</f>
        <v>46100</v>
      </c>
      <c r="B1932" s="56">
        <f>+IF(COUNTIF($B$2:B1931,B1931)=VLOOKUP(B1931,Partidas!$C:$J,8,0),B1931+1,B1931)</f>
        <v>425</v>
      </c>
      <c r="C1932" s="41" t="str">
        <f t="array" ref="C1932">+INDEX(Partidas!$A:$J,MATCH('Resultados dashboard'!$B1932,Partidas!$C:$C,0),3+COUNTIF($B$2:B1932,'Resultados dashboard'!$B1932))</f>
        <v>Ivo</v>
      </c>
      <c r="D1932" s="54">
        <v>5</v>
      </c>
      <c r="E1932" s="54">
        <v>1</v>
      </c>
      <c r="F1932" s="54">
        <v>1</v>
      </c>
      <c r="G1932" s="53"/>
      <c r="H1932" s="38">
        <f t="shared" si="17"/>
        <v>8</v>
      </c>
      <c r="I1932" s="38">
        <f t="shared" si="18"/>
        <v>2</v>
      </c>
      <c r="J1932" s="55"/>
    </row>
    <row r="1933" spans="1:10" ht="15" customHeight="1" x14ac:dyDescent="0.2">
      <c r="A1933" s="50">
        <f t="array" ref="A1933">+INDEX(Partidas!$A:$J,MATCH('Resultados dashboard'!$B1933,Partidas!$C:$C,0),2)</f>
        <v>46100</v>
      </c>
      <c r="B1933" s="56">
        <f>+IF(COUNTIF($B$2:B1932,B1932)=VLOOKUP(B1932,Partidas!$C:$J,8,0),B1932+1,B1932)</f>
        <v>425</v>
      </c>
      <c r="C1933" s="41" t="str">
        <f t="array" ref="C1933">+INDEX(Partidas!$A:$J,MATCH('Resultados dashboard'!$B1933,Partidas!$C:$C,0),3+COUNTIF($B$2:B1933,'Resultados dashboard'!$B1933))</f>
        <v>Max</v>
      </c>
      <c r="D1933" s="54">
        <v>5</v>
      </c>
      <c r="E1933" s="53"/>
      <c r="F1933" s="53"/>
      <c r="G1933" s="53"/>
      <c r="H1933" s="38">
        <f t="shared" si="17"/>
        <v>5</v>
      </c>
      <c r="I1933" s="38">
        <f t="shared" si="18"/>
        <v>5</v>
      </c>
      <c r="J1933" s="55"/>
    </row>
    <row r="1934" spans="1:10" ht="15" customHeight="1" x14ac:dyDescent="0.2">
      <c r="A1934" s="50">
        <f t="array" ref="A1934">+INDEX(Partidas!$A:$J,MATCH('Resultados dashboard'!$B1934,Partidas!$C:$C,0),2)</f>
        <v>46100</v>
      </c>
      <c r="B1934" s="56">
        <f>+IF(COUNTIF($B$2:B1933,B1933)=VLOOKUP(B1933,Partidas!$C:$J,8,0),B1933+1,B1933)</f>
        <v>425</v>
      </c>
      <c r="C1934" s="41" t="str">
        <f t="array" ref="C1934">+INDEX(Partidas!$A:$J,MATCH('Resultados dashboard'!$B1934,Partidas!$C:$C,0),3+COUNTIF($B$2:B1934,'Resultados dashboard'!$B1934))</f>
        <v>Moch</v>
      </c>
      <c r="D1934" s="54">
        <v>5</v>
      </c>
      <c r="E1934" s="54">
        <v>1</v>
      </c>
      <c r="F1934" s="53"/>
      <c r="G1934" s="53"/>
      <c r="H1934" s="38">
        <f t="shared" si="17"/>
        <v>6</v>
      </c>
      <c r="I1934" s="38">
        <f t="shared" si="18"/>
        <v>4</v>
      </c>
      <c r="J1934" s="55"/>
    </row>
    <row r="1935" spans="1:10" ht="15" customHeight="1" x14ac:dyDescent="0.2">
      <c r="A1935" s="50">
        <f t="array" ref="A1935">+INDEX(Partidas!$A:$J,MATCH('Resultados dashboard'!$B1935,Partidas!$C:$C,0),2)</f>
        <v>46100</v>
      </c>
      <c r="B1935" s="56">
        <f>+IF(COUNTIF($B$2:B1934,B1934)=VLOOKUP(B1934,Partidas!$C:$J,8,0),B1934+1,B1934)</f>
        <v>425</v>
      </c>
      <c r="C1935" s="41" t="str">
        <f t="array" ref="C1935">+INDEX(Partidas!$A:$J,MATCH('Resultados dashboard'!$B1935,Partidas!$C:$C,0),3+COUNTIF($B$2:B1935,'Resultados dashboard'!$B1935))</f>
        <v>Gaspa</v>
      </c>
      <c r="D1935" s="54">
        <v>8</v>
      </c>
      <c r="E1935" s="53"/>
      <c r="F1935" s="53"/>
      <c r="G1935" s="54">
        <v>1</v>
      </c>
      <c r="H1935" s="38">
        <f t="shared" si="17"/>
        <v>10</v>
      </c>
      <c r="I1935" s="38">
        <f t="shared" si="18"/>
        <v>1</v>
      </c>
      <c r="J1935" s="55"/>
    </row>
    <row r="1936" spans="1:10" ht="15" customHeight="1" x14ac:dyDescent="0.2">
      <c r="A1936" s="50">
        <f t="array" ref="A1936">+INDEX(Partidas!$A:$J,MATCH('Resultados dashboard'!$B1936,Partidas!$C:$C,0),2)</f>
        <v>46100</v>
      </c>
      <c r="B1936" s="56">
        <f>+IF(COUNTIF($B$2:B1935,B1935)=VLOOKUP(B1935,Partidas!$C:$J,8,0),B1935+1,B1935)</f>
        <v>426</v>
      </c>
      <c r="C1936" s="41" t="str">
        <f t="array" ref="C1936">+INDEX(Partidas!$A:$J,MATCH('Resultados dashboard'!$B1936,Partidas!$C:$C,0),3+COUNTIF($B$2:B1936,'Resultados dashboard'!$B1936))</f>
        <v>Gallo</v>
      </c>
      <c r="D1936" s="54">
        <v>7</v>
      </c>
      <c r="E1936" s="53"/>
      <c r="F1936" s="53"/>
      <c r="G1936" s="53"/>
      <c r="H1936" s="38">
        <f t="shared" si="17"/>
        <v>7</v>
      </c>
      <c r="I1936" s="38">
        <f t="shared" si="18"/>
        <v>3</v>
      </c>
      <c r="J1936" s="55"/>
    </row>
    <row r="1937" spans="1:10" ht="15" customHeight="1" x14ac:dyDescent="0.2">
      <c r="A1937" s="50">
        <f t="array" ref="A1937">+INDEX(Partidas!$A:$J,MATCH('Resultados dashboard'!$B1937,Partidas!$C:$C,0),2)</f>
        <v>46100</v>
      </c>
      <c r="B1937" s="56">
        <f>+IF(COUNTIF($B$2:B1936,B1936)=VLOOKUP(B1936,Partidas!$C:$J,8,0),B1936+1,B1936)</f>
        <v>426</v>
      </c>
      <c r="C1937" s="41" t="str">
        <f t="array" ref="C1937">+INDEX(Partidas!$A:$J,MATCH('Resultados dashboard'!$B1937,Partidas!$C:$C,0),3+COUNTIF($B$2:B1937,'Resultados dashboard'!$B1937))</f>
        <v>Ivo</v>
      </c>
      <c r="D1937" s="54">
        <v>7</v>
      </c>
      <c r="E1937" s="53"/>
      <c r="F1937" s="53"/>
      <c r="G1937" s="53"/>
      <c r="H1937" s="38">
        <f t="shared" si="17"/>
        <v>7</v>
      </c>
      <c r="I1937" s="38">
        <f t="shared" si="18"/>
        <v>3</v>
      </c>
      <c r="J1937" s="55"/>
    </row>
    <row r="1938" spans="1:10" ht="15" customHeight="1" x14ac:dyDescent="0.2">
      <c r="A1938" s="50">
        <f t="array" ref="A1938">+INDEX(Partidas!$A:$J,MATCH('Resultados dashboard'!$B1938,Partidas!$C:$C,0),2)</f>
        <v>46100</v>
      </c>
      <c r="B1938" s="56">
        <f>+IF(COUNTIF($B$2:B1937,B1937)=VLOOKUP(B1937,Partidas!$C:$J,8,0),B1937+1,B1937)</f>
        <v>426</v>
      </c>
      <c r="C1938" s="41" t="str">
        <f t="array" ref="C1938">+INDEX(Partidas!$A:$J,MATCH('Resultados dashboard'!$B1938,Partidas!$C:$C,0),3+COUNTIF($B$2:B1938,'Resultados dashboard'!$B1938))</f>
        <v>Max</v>
      </c>
      <c r="D1938" s="54">
        <v>6</v>
      </c>
      <c r="E1938" s="54">
        <v>1</v>
      </c>
      <c r="F1938" s="53"/>
      <c r="G1938" s="53"/>
      <c r="H1938" s="38">
        <f t="shared" si="17"/>
        <v>7</v>
      </c>
      <c r="I1938" s="38">
        <f t="shared" si="18"/>
        <v>3</v>
      </c>
      <c r="J1938" s="55"/>
    </row>
    <row r="1939" spans="1:10" ht="15" customHeight="1" x14ac:dyDescent="0.2">
      <c r="A1939" s="50">
        <f t="array" ref="A1939">+INDEX(Partidas!$A:$J,MATCH('Resultados dashboard'!$B1939,Partidas!$C:$C,0),2)</f>
        <v>46100</v>
      </c>
      <c r="B1939" s="56">
        <f>+IF(COUNTIF($B$2:B1938,B1938)=VLOOKUP(B1938,Partidas!$C:$J,8,0),B1938+1,B1938)</f>
        <v>426</v>
      </c>
      <c r="C1939" s="41" t="str">
        <f t="array" ref="C1939">+INDEX(Partidas!$A:$J,MATCH('Resultados dashboard'!$B1939,Partidas!$C:$C,0),3+COUNTIF($B$2:B1939,'Resultados dashboard'!$B1939))</f>
        <v>Moch</v>
      </c>
      <c r="D1939" s="54">
        <v>7</v>
      </c>
      <c r="E1939" s="54">
        <v>1</v>
      </c>
      <c r="F1939" s="53"/>
      <c r="G1939" s="54">
        <v>1</v>
      </c>
      <c r="H1939" s="38">
        <f t="shared" si="17"/>
        <v>10</v>
      </c>
      <c r="I1939" s="38">
        <f t="shared" si="18"/>
        <v>1</v>
      </c>
      <c r="J1939" s="55"/>
    </row>
    <row r="1940" spans="1:10" ht="15" customHeight="1" x14ac:dyDescent="0.2">
      <c r="A1940" s="50">
        <f t="array" ref="A1940">+INDEX(Partidas!$A:$J,MATCH('Resultados dashboard'!$B1940,Partidas!$C:$C,0),2)</f>
        <v>46100</v>
      </c>
      <c r="B1940" s="56">
        <f>+IF(COUNTIF($B$2:B1939,B1939)=VLOOKUP(B1939,Partidas!$C:$J,8,0),B1939+1,B1939)</f>
        <v>426</v>
      </c>
      <c r="C1940" s="41" t="str">
        <f t="array" ref="C1940">+INDEX(Partidas!$A:$J,MATCH('Resultados dashboard'!$B1940,Partidas!$C:$C,0),3+COUNTIF($B$2:B1940,'Resultados dashboard'!$B1940))</f>
        <v>Gaspa</v>
      </c>
      <c r="D1940" s="54">
        <v>5</v>
      </c>
      <c r="E1940" s="54">
        <v>1</v>
      </c>
      <c r="F1940" s="54">
        <v>1</v>
      </c>
      <c r="G1940" s="53"/>
      <c r="H1940" s="38">
        <f t="shared" si="17"/>
        <v>8</v>
      </c>
      <c r="I1940" s="38">
        <f t="shared" si="18"/>
        <v>2</v>
      </c>
      <c r="J1940" s="55"/>
    </row>
    <row r="1941" spans="1:10" ht="15" customHeight="1" x14ac:dyDescent="0.2">
      <c r="A1941" s="50">
        <f t="array" ref="A1941">+INDEX(Partidas!$A:$J,MATCH('Resultados dashboard'!$B1941,Partidas!$C:$C,0),2)</f>
        <v>46100</v>
      </c>
      <c r="B1941" s="56">
        <f>+IF(COUNTIF($B$2:B1940,B1940)=VLOOKUP(B1940,Partidas!$C:$J,8,0),B1940+1,B1940)</f>
        <v>427</v>
      </c>
      <c r="C1941" s="41" t="str">
        <f t="array" ref="C1941">+INDEX(Partidas!$A:$J,MATCH('Resultados dashboard'!$B1941,Partidas!$C:$C,0),3+COUNTIF($B$2:B1941,'Resultados dashboard'!$B1941))</f>
        <v>Gallo</v>
      </c>
      <c r="D1941" s="54">
        <v>7</v>
      </c>
      <c r="E1941" s="53"/>
      <c r="F1941" s="53"/>
      <c r="G1941" s="53"/>
      <c r="H1941" s="38">
        <f t="shared" si="17"/>
        <v>7</v>
      </c>
      <c r="I1941" s="38">
        <f t="shared" si="18"/>
        <v>2</v>
      </c>
      <c r="J1941" s="55"/>
    </row>
    <row r="1942" spans="1:10" ht="15" customHeight="1" x14ac:dyDescent="0.2">
      <c r="A1942" s="50">
        <f t="array" ref="A1942">+INDEX(Partidas!$A:$J,MATCH('Resultados dashboard'!$B1942,Partidas!$C:$C,0),2)</f>
        <v>46100</v>
      </c>
      <c r="B1942" s="56">
        <f>+IF(COUNTIF($B$2:B1941,B1941)=VLOOKUP(B1941,Partidas!$C:$J,8,0),B1941+1,B1941)</f>
        <v>427</v>
      </c>
      <c r="C1942" s="41" t="str">
        <f t="array" ref="C1942">+INDEX(Partidas!$A:$J,MATCH('Resultados dashboard'!$B1942,Partidas!$C:$C,0),3+COUNTIF($B$2:B1942,'Resultados dashboard'!$B1942))</f>
        <v>Ivo</v>
      </c>
      <c r="D1942" s="54">
        <v>3</v>
      </c>
      <c r="E1942" s="54">
        <v>1</v>
      </c>
      <c r="F1942" s="53"/>
      <c r="G1942" s="53"/>
      <c r="H1942" s="38">
        <f t="shared" si="17"/>
        <v>4</v>
      </c>
      <c r="I1942" s="38">
        <f t="shared" si="18"/>
        <v>4</v>
      </c>
      <c r="J1942" s="55"/>
    </row>
    <row r="1943" spans="1:10" ht="15" customHeight="1" x14ac:dyDescent="0.2">
      <c r="A1943" s="50">
        <f t="array" ref="A1943">+INDEX(Partidas!$A:$J,MATCH('Resultados dashboard'!$B1943,Partidas!$C:$C,0),2)</f>
        <v>46100</v>
      </c>
      <c r="B1943" s="56">
        <f>+IF(COUNTIF($B$2:B1942,B1942)=VLOOKUP(B1942,Partidas!$C:$J,8,0),B1942+1,B1942)</f>
        <v>427</v>
      </c>
      <c r="C1943" s="41" t="str">
        <f t="array" ref="C1943">+INDEX(Partidas!$A:$J,MATCH('Resultados dashboard'!$B1943,Partidas!$C:$C,0),3+COUNTIF($B$2:B1943,'Resultados dashboard'!$B1943))</f>
        <v>Max</v>
      </c>
      <c r="D1943" s="54">
        <v>6</v>
      </c>
      <c r="E1943" s="53"/>
      <c r="F1943" s="53"/>
      <c r="G1943" s="53"/>
      <c r="H1943" s="38">
        <f t="shared" si="17"/>
        <v>6</v>
      </c>
      <c r="I1943" s="38">
        <f t="shared" si="18"/>
        <v>3</v>
      </c>
      <c r="J1943" s="55"/>
    </row>
    <row r="1944" spans="1:10" ht="15" customHeight="1" x14ac:dyDescent="0.2">
      <c r="A1944" s="50">
        <f t="array" ref="A1944">+INDEX(Partidas!$A:$J,MATCH('Resultados dashboard'!$B1944,Partidas!$C:$C,0),2)</f>
        <v>46100</v>
      </c>
      <c r="B1944" s="56">
        <f>+IF(COUNTIF($B$2:B1943,B1943)=VLOOKUP(B1943,Partidas!$C:$J,8,0),B1943+1,B1943)</f>
        <v>427</v>
      </c>
      <c r="C1944" s="41" t="str">
        <f t="array" ref="C1944">+INDEX(Partidas!$A:$J,MATCH('Resultados dashboard'!$B1944,Partidas!$C:$C,0),3+COUNTIF($B$2:B1944,'Resultados dashboard'!$B1944))</f>
        <v>Moch</v>
      </c>
      <c r="D1944" s="54">
        <v>4</v>
      </c>
      <c r="E1944" s="53"/>
      <c r="F1944" s="53"/>
      <c r="G1944" s="53"/>
      <c r="H1944" s="38">
        <f t="shared" si="17"/>
        <v>4</v>
      </c>
      <c r="I1944" s="38">
        <f t="shared" si="18"/>
        <v>4</v>
      </c>
      <c r="J1944" s="55"/>
    </row>
    <row r="1945" spans="1:10" ht="15" customHeight="1" x14ac:dyDescent="0.2">
      <c r="A1945" s="50">
        <f t="array" ref="A1945">+INDEX(Partidas!$A:$J,MATCH('Resultados dashboard'!$B1945,Partidas!$C:$C,0),2)</f>
        <v>46100</v>
      </c>
      <c r="B1945" s="56">
        <f>+IF(COUNTIF($B$2:B1944,B1944)=VLOOKUP(B1944,Partidas!$C:$J,8,0),B1944+1,B1944)</f>
        <v>427</v>
      </c>
      <c r="C1945" s="41" t="str">
        <f t="array" ref="C1945">+INDEX(Partidas!$A:$J,MATCH('Resultados dashboard'!$B1945,Partidas!$C:$C,0),3+COUNTIF($B$2:B1945,'Resultados dashboard'!$B1945))</f>
        <v>Gaspa</v>
      </c>
      <c r="D1945" s="54">
        <v>6</v>
      </c>
      <c r="E1945" s="54">
        <v>2</v>
      </c>
      <c r="F1945" s="54">
        <v>1</v>
      </c>
      <c r="G1945" s="53"/>
      <c r="H1945" s="38">
        <f t="shared" si="17"/>
        <v>10</v>
      </c>
      <c r="I1945" s="38">
        <f t="shared" si="18"/>
        <v>1</v>
      </c>
      <c r="J1945" s="55"/>
    </row>
    <row r="1946" spans="1:10" ht="15" customHeight="1" x14ac:dyDescent="0.2">
      <c r="A1946" s="50">
        <f t="array" ref="A1946">+INDEX(Partidas!$A:$J,MATCH('Resultados dashboard'!$B1946,Partidas!$C:$C,0),2)</f>
        <v>46102</v>
      </c>
      <c r="B1946" s="56">
        <f>+IF(COUNTIF($B$2:B1945,B1945)=VLOOKUP(B1945,Partidas!$C:$J,8,0),B1945+1,B1945)</f>
        <v>428</v>
      </c>
      <c r="C1946" s="41" t="str">
        <f t="array" ref="C1946">+INDEX(Partidas!$A:$J,MATCH('Resultados dashboard'!$B1946,Partidas!$C:$C,0),3+COUNTIF($B$2:B1946,'Resultados dashboard'!$B1946))</f>
        <v>Gallo</v>
      </c>
      <c r="D1946" s="54">
        <v>8</v>
      </c>
      <c r="E1946" s="53"/>
      <c r="F1946" s="53"/>
      <c r="G1946" s="54">
        <v>1</v>
      </c>
      <c r="H1946" s="38">
        <f t="shared" si="17"/>
        <v>10</v>
      </c>
      <c r="I1946" s="38">
        <f t="shared" si="18"/>
        <v>1</v>
      </c>
      <c r="J1946" s="55"/>
    </row>
    <row r="1947" spans="1:10" ht="15" customHeight="1" x14ac:dyDescent="0.2">
      <c r="A1947" s="50">
        <f t="array" ref="A1947">+INDEX(Partidas!$A:$J,MATCH('Resultados dashboard'!$B1947,Partidas!$C:$C,0),2)</f>
        <v>46102</v>
      </c>
      <c r="B1947" s="56">
        <f>+IF(COUNTIF($B$2:B1946,B1946)=VLOOKUP(B1946,Partidas!$C:$J,8,0),B1946+1,B1946)</f>
        <v>428</v>
      </c>
      <c r="C1947" s="41" t="str">
        <f t="array" ref="C1947">+INDEX(Partidas!$A:$J,MATCH('Resultados dashboard'!$B1947,Partidas!$C:$C,0),3+COUNTIF($B$2:B1947,'Resultados dashboard'!$B1947))</f>
        <v>Ivo</v>
      </c>
      <c r="D1947" s="54">
        <v>6</v>
      </c>
      <c r="E1947" s="54">
        <v>2</v>
      </c>
      <c r="F1947" s="53"/>
      <c r="G1947" s="53"/>
      <c r="H1947" s="38">
        <f t="shared" si="17"/>
        <v>8</v>
      </c>
      <c r="I1947" s="38">
        <f t="shared" si="18"/>
        <v>2</v>
      </c>
      <c r="J1947" s="55"/>
    </row>
    <row r="1948" spans="1:10" ht="15" customHeight="1" x14ac:dyDescent="0.2">
      <c r="A1948" s="50">
        <f t="array" ref="A1948">+INDEX(Partidas!$A:$J,MATCH('Resultados dashboard'!$B1948,Partidas!$C:$C,0),2)</f>
        <v>46102</v>
      </c>
      <c r="B1948" s="56">
        <f>+IF(COUNTIF($B$2:B1947,B1947)=VLOOKUP(B1947,Partidas!$C:$J,8,0),B1947+1,B1947)</f>
        <v>428</v>
      </c>
      <c r="C1948" s="41" t="str">
        <f t="array" ref="C1948">+INDEX(Partidas!$A:$J,MATCH('Resultados dashboard'!$B1948,Partidas!$C:$C,0),3+COUNTIF($B$2:B1948,'Resultados dashboard'!$B1948))</f>
        <v>Max</v>
      </c>
      <c r="D1948" s="54">
        <v>5</v>
      </c>
      <c r="E1948" s="53"/>
      <c r="F1948" s="53"/>
      <c r="G1948" s="53"/>
      <c r="H1948" s="38">
        <f t="shared" si="17"/>
        <v>5</v>
      </c>
      <c r="I1948" s="38">
        <f t="shared" si="18"/>
        <v>4</v>
      </c>
      <c r="J1948" s="55"/>
    </row>
    <row r="1949" spans="1:10" ht="15" customHeight="1" x14ac:dyDescent="0.2">
      <c r="A1949" s="50">
        <f t="array" ref="A1949">+INDEX(Partidas!$A:$J,MATCH('Resultados dashboard'!$B1949,Partidas!$C:$C,0),2)</f>
        <v>46102</v>
      </c>
      <c r="B1949" s="56">
        <f>+IF(COUNTIF($B$2:B1948,B1948)=VLOOKUP(B1948,Partidas!$C:$J,8,0),B1948+1,B1948)</f>
        <v>428</v>
      </c>
      <c r="C1949" s="41" t="str">
        <f t="array" ref="C1949">+INDEX(Partidas!$A:$J,MATCH('Resultados dashboard'!$B1949,Partidas!$C:$C,0),3+COUNTIF($B$2:B1949,'Resultados dashboard'!$B1949))</f>
        <v>Gaspa</v>
      </c>
      <c r="D1949" s="54">
        <v>4</v>
      </c>
      <c r="E1949" s="54">
        <v>2</v>
      </c>
      <c r="F1949" s="54">
        <v>1</v>
      </c>
      <c r="G1949" s="53"/>
      <c r="H1949" s="38">
        <f t="shared" si="17"/>
        <v>8</v>
      </c>
      <c r="I1949" s="38">
        <f t="shared" si="18"/>
        <v>2</v>
      </c>
      <c r="J1949" s="55"/>
    </row>
    <row r="1950" spans="1:10" ht="15" customHeight="1" x14ac:dyDescent="0.2">
      <c r="A1950" s="50">
        <f t="array" ref="A1950">+INDEX(Partidas!$A:$J,MATCH('Resultados dashboard'!$B1950,Partidas!$C:$C,0),2)</f>
        <v>46102</v>
      </c>
      <c r="B1950" s="56">
        <f>+IF(COUNTIF($B$2:B1949,B1949)=VLOOKUP(B1949,Partidas!$C:$J,8,0),B1949+1,B1949)</f>
        <v>429</v>
      </c>
      <c r="C1950" s="41" t="str">
        <f t="array" ref="C1950">+INDEX(Partidas!$A:$J,MATCH('Resultados dashboard'!$B1950,Partidas!$C:$C,0),3+COUNTIF($B$2:B1950,'Resultados dashboard'!$B1950))</f>
        <v>Gallo</v>
      </c>
      <c r="D1950" s="54">
        <v>6</v>
      </c>
      <c r="E1950" s="53"/>
      <c r="F1950" s="53"/>
      <c r="G1950" s="53"/>
      <c r="H1950" s="38">
        <f t="shared" si="17"/>
        <v>6</v>
      </c>
      <c r="I1950" s="38">
        <f t="shared" si="18"/>
        <v>3</v>
      </c>
      <c r="J1950" s="55"/>
    </row>
    <row r="1951" spans="1:10" ht="15" customHeight="1" x14ac:dyDescent="0.2">
      <c r="A1951" s="50">
        <f t="array" ref="A1951">+INDEX(Partidas!$A:$J,MATCH('Resultados dashboard'!$B1951,Partidas!$C:$C,0),2)</f>
        <v>46102</v>
      </c>
      <c r="B1951" s="56">
        <f>+IF(COUNTIF($B$2:B1950,B1950)=VLOOKUP(B1950,Partidas!$C:$J,8,0),B1950+1,B1950)</f>
        <v>429</v>
      </c>
      <c r="C1951" s="41" t="str">
        <f t="array" ref="C1951">+INDEX(Partidas!$A:$J,MATCH('Resultados dashboard'!$B1951,Partidas!$C:$C,0),3+COUNTIF($B$2:B1951,'Resultados dashboard'!$B1951))</f>
        <v>Ivo</v>
      </c>
      <c r="D1951" s="54">
        <v>5</v>
      </c>
      <c r="E1951" s="53"/>
      <c r="F1951" s="54">
        <v>1</v>
      </c>
      <c r="G1951" s="53"/>
      <c r="H1951" s="38">
        <f t="shared" si="17"/>
        <v>7</v>
      </c>
      <c r="I1951" s="38">
        <f t="shared" si="18"/>
        <v>2</v>
      </c>
      <c r="J1951" s="55"/>
    </row>
    <row r="1952" spans="1:10" ht="15" customHeight="1" x14ac:dyDescent="0.2">
      <c r="A1952" s="50">
        <f t="array" ref="A1952">+INDEX(Partidas!$A:$J,MATCH('Resultados dashboard'!$B1952,Partidas!$C:$C,0),2)</f>
        <v>46102</v>
      </c>
      <c r="B1952" s="56">
        <f>+IF(COUNTIF($B$2:B1951,B1951)=VLOOKUP(B1951,Partidas!$C:$J,8,0),B1951+1,B1951)</f>
        <v>429</v>
      </c>
      <c r="C1952" s="41" t="str">
        <f t="array" ref="C1952">+INDEX(Partidas!$A:$J,MATCH('Resultados dashboard'!$B1952,Partidas!$C:$C,0),3+COUNTIF($B$2:B1952,'Resultados dashboard'!$B1952))</f>
        <v>Max</v>
      </c>
      <c r="D1952" s="54">
        <v>8</v>
      </c>
      <c r="E1952" s="53"/>
      <c r="F1952" s="53"/>
      <c r="G1952" s="54">
        <v>1</v>
      </c>
      <c r="H1952" s="38">
        <f t="shared" si="17"/>
        <v>10</v>
      </c>
      <c r="I1952" s="38">
        <f t="shared" si="18"/>
        <v>1</v>
      </c>
      <c r="J1952" s="55"/>
    </row>
    <row r="1953" spans="1:10" ht="15" customHeight="1" x14ac:dyDescent="0.2">
      <c r="A1953" s="50">
        <f t="array" ref="A1953">+INDEX(Partidas!$A:$J,MATCH('Resultados dashboard'!$B1953,Partidas!$C:$C,0),2)</f>
        <v>46102</v>
      </c>
      <c r="B1953" s="56">
        <f>+IF(COUNTIF($B$2:B1952,B1952)=VLOOKUP(B1952,Partidas!$C:$J,8,0),B1952+1,B1952)</f>
        <v>429</v>
      </c>
      <c r="C1953" s="41" t="str">
        <f t="array" ref="C1953">+INDEX(Partidas!$A:$J,MATCH('Resultados dashboard'!$B1953,Partidas!$C:$C,0),3+COUNTIF($B$2:B1953,'Resultados dashboard'!$B1953))</f>
        <v>Gaspa</v>
      </c>
      <c r="D1953" s="54">
        <v>4</v>
      </c>
      <c r="E1953" s="54">
        <v>2</v>
      </c>
      <c r="F1953" s="53"/>
      <c r="G1953" s="53"/>
      <c r="H1953" s="38">
        <f t="shared" si="17"/>
        <v>6</v>
      </c>
      <c r="I1953" s="38">
        <f t="shared" si="18"/>
        <v>3</v>
      </c>
      <c r="J1953" s="55"/>
    </row>
    <row r="1954" spans="1:10" ht="15" customHeight="1" x14ac:dyDescent="0.2">
      <c r="A1954" s="50">
        <f t="array" ref="A1954">+INDEX(Partidas!$A:$J,MATCH('Resultados dashboard'!$B1954,Partidas!$C:$C,0),2)</f>
        <v>46102</v>
      </c>
      <c r="B1954" s="56">
        <f>+IF(COUNTIF($B$2:B1953,B1953)=VLOOKUP(B1953,Partidas!$C:$J,8,0),B1953+1,B1953)</f>
        <v>430</v>
      </c>
      <c r="C1954" s="41" t="str">
        <f t="array" ref="C1954">+INDEX(Partidas!$A:$J,MATCH('Resultados dashboard'!$B1954,Partidas!$C:$C,0),3+COUNTIF($B$2:B1954,'Resultados dashboard'!$B1954))</f>
        <v>Gallo</v>
      </c>
      <c r="D1954" s="54">
        <v>6</v>
      </c>
      <c r="E1954" s="53"/>
      <c r="F1954" s="53"/>
      <c r="G1954" s="53"/>
      <c r="H1954" s="38">
        <f t="shared" si="17"/>
        <v>6</v>
      </c>
      <c r="I1954" s="38">
        <f t="shared" si="18"/>
        <v>4</v>
      </c>
      <c r="J1954" s="55"/>
    </row>
    <row r="1955" spans="1:10" ht="15" customHeight="1" x14ac:dyDescent="0.2">
      <c r="A1955" s="50">
        <f t="array" ref="A1955">+INDEX(Partidas!$A:$J,MATCH('Resultados dashboard'!$B1955,Partidas!$C:$C,0),2)</f>
        <v>46102</v>
      </c>
      <c r="B1955" s="56">
        <f>+IF(COUNTIF($B$2:B1954,B1954)=VLOOKUP(B1954,Partidas!$C:$J,8,0),B1954+1,B1954)</f>
        <v>430</v>
      </c>
      <c r="C1955" s="41" t="str">
        <f t="array" ref="C1955">+INDEX(Partidas!$A:$J,MATCH('Resultados dashboard'!$B1955,Partidas!$C:$C,0),3+COUNTIF($B$2:B1955,'Resultados dashboard'!$B1955))</f>
        <v>Ivo</v>
      </c>
      <c r="D1955" s="54">
        <v>7</v>
      </c>
      <c r="E1955" s="54">
        <v>1</v>
      </c>
      <c r="F1955" s="53"/>
      <c r="G1955" s="54">
        <v>1</v>
      </c>
      <c r="H1955" s="38">
        <f t="shared" si="17"/>
        <v>10</v>
      </c>
      <c r="I1955" s="38">
        <f t="shared" si="18"/>
        <v>1</v>
      </c>
      <c r="J1955" s="55"/>
    </row>
    <row r="1956" spans="1:10" ht="15" customHeight="1" x14ac:dyDescent="0.2">
      <c r="A1956" s="50">
        <f t="array" ref="A1956">+INDEX(Partidas!$A:$J,MATCH('Resultados dashboard'!$B1956,Partidas!$C:$C,0),2)</f>
        <v>46102</v>
      </c>
      <c r="B1956" s="56">
        <f>+IF(COUNTIF($B$2:B1955,B1955)=VLOOKUP(B1955,Partidas!$C:$J,8,0),B1955+1,B1955)</f>
        <v>430</v>
      </c>
      <c r="C1956" s="41" t="str">
        <f t="array" ref="C1956">+INDEX(Partidas!$A:$J,MATCH('Resultados dashboard'!$B1956,Partidas!$C:$C,0),3+COUNTIF($B$2:B1956,'Resultados dashboard'!$B1956))</f>
        <v>Max</v>
      </c>
      <c r="D1956" s="54">
        <v>7</v>
      </c>
      <c r="E1956" s="53"/>
      <c r="F1956" s="54">
        <v>1</v>
      </c>
      <c r="G1956" s="53"/>
      <c r="H1956" s="38">
        <f t="shared" si="17"/>
        <v>9</v>
      </c>
      <c r="I1956" s="38">
        <f t="shared" si="18"/>
        <v>2</v>
      </c>
      <c r="J1956" s="55"/>
    </row>
    <row r="1957" spans="1:10" ht="15" customHeight="1" x14ac:dyDescent="0.2">
      <c r="A1957" s="50">
        <f t="array" ref="A1957">+INDEX(Partidas!$A:$J,MATCH('Resultados dashboard'!$B1957,Partidas!$C:$C,0),2)</f>
        <v>46102</v>
      </c>
      <c r="B1957" s="56">
        <f>+IF(COUNTIF($B$2:B1956,B1956)=VLOOKUP(B1956,Partidas!$C:$J,8,0),B1956+1,B1956)</f>
        <v>430</v>
      </c>
      <c r="C1957" s="41" t="str">
        <f t="array" ref="C1957">+INDEX(Partidas!$A:$J,MATCH('Resultados dashboard'!$B1957,Partidas!$C:$C,0),3+COUNTIF($B$2:B1957,'Resultados dashboard'!$B1957))</f>
        <v>Gaspa</v>
      </c>
      <c r="D1957" s="54">
        <v>6</v>
      </c>
      <c r="E1957" s="54">
        <v>1</v>
      </c>
      <c r="F1957" s="53"/>
      <c r="G1957" s="53"/>
      <c r="H1957" s="38">
        <f t="shared" si="17"/>
        <v>7</v>
      </c>
      <c r="I1957" s="38">
        <f t="shared" si="18"/>
        <v>3</v>
      </c>
      <c r="J1957" s="55"/>
    </row>
    <row r="1958" spans="1:10" ht="15" customHeight="1" x14ac:dyDescent="0.2">
      <c r="A1958" s="50">
        <f t="array" ref="A1958">+INDEX(Partidas!$A:$J,MATCH('Resultados dashboard'!$B1958,Partidas!$C:$C,0),2)</f>
        <v>46112</v>
      </c>
      <c r="B1958" s="56">
        <f>+IF(COUNTIF($B$2:B1957,B1957)=VLOOKUP(B1957,Partidas!$C:$J,8,0),B1957+1,B1957)</f>
        <v>431</v>
      </c>
      <c r="C1958" s="41" t="str">
        <f t="array" ref="C1958">+INDEX(Partidas!$A:$J,MATCH('Resultados dashboard'!$B1958,Partidas!$C:$C,0),3+COUNTIF($B$2:B1958,'Resultados dashboard'!$B1958))</f>
        <v>Gallo</v>
      </c>
      <c r="D1958" s="54">
        <v>4</v>
      </c>
      <c r="E1958" s="54">
        <v>1</v>
      </c>
      <c r="F1958" s="53"/>
      <c r="G1958" s="53"/>
      <c r="H1958" s="38">
        <f t="shared" si="17"/>
        <v>5</v>
      </c>
      <c r="I1958" s="38">
        <f t="shared" si="18"/>
        <v>2</v>
      </c>
      <c r="J1958" s="55"/>
    </row>
    <row r="1959" spans="1:10" ht="15" customHeight="1" x14ac:dyDescent="0.2">
      <c r="A1959" s="50">
        <f t="array" ref="A1959">+INDEX(Partidas!$A:$J,MATCH('Resultados dashboard'!$B1959,Partidas!$C:$C,0),2)</f>
        <v>46112</v>
      </c>
      <c r="B1959" s="56">
        <f>+IF(COUNTIF($B$2:B1958,B1958)=VLOOKUP(B1958,Partidas!$C:$J,8,0),B1958+1,B1958)</f>
        <v>431</v>
      </c>
      <c r="C1959" s="41" t="str">
        <f t="array" ref="C1959">+INDEX(Partidas!$A:$J,MATCH('Resultados dashboard'!$B1959,Partidas!$C:$C,0),3+COUNTIF($B$2:B1959,'Resultados dashboard'!$B1959))</f>
        <v>Ivo</v>
      </c>
      <c r="D1959" s="54">
        <v>4</v>
      </c>
      <c r="E1959" s="54">
        <v>1</v>
      </c>
      <c r="F1959" s="53"/>
      <c r="G1959" s="53"/>
      <c r="H1959" s="38">
        <f t="shared" si="17"/>
        <v>5</v>
      </c>
      <c r="I1959" s="38">
        <f t="shared" si="18"/>
        <v>2</v>
      </c>
      <c r="J1959" s="55"/>
    </row>
    <row r="1960" spans="1:10" ht="15" customHeight="1" x14ac:dyDescent="0.2">
      <c r="A1960" s="50">
        <f t="array" ref="A1960">+INDEX(Partidas!$A:$J,MATCH('Resultados dashboard'!$B1960,Partidas!$C:$C,0),2)</f>
        <v>46112</v>
      </c>
      <c r="B1960" s="56">
        <f>+IF(COUNTIF($B$2:B1959,B1959)=VLOOKUP(B1959,Partidas!$C:$J,8,0),B1959+1,B1959)</f>
        <v>431</v>
      </c>
      <c r="C1960" s="41" t="str">
        <f t="array" ref="C1960">+INDEX(Partidas!$A:$J,MATCH('Resultados dashboard'!$B1960,Partidas!$C:$C,0),3+COUNTIF($B$2:B1960,'Resultados dashboard'!$B1960))</f>
        <v>Max</v>
      </c>
      <c r="D1960" s="54">
        <v>5</v>
      </c>
      <c r="E1960" s="53"/>
      <c r="F1960" s="53"/>
      <c r="G1960" s="53"/>
      <c r="H1960" s="38">
        <f t="shared" si="17"/>
        <v>5</v>
      </c>
      <c r="I1960" s="38">
        <f t="shared" si="18"/>
        <v>2</v>
      </c>
      <c r="J1960" s="55"/>
    </row>
    <row r="1961" spans="1:10" ht="15" customHeight="1" x14ac:dyDescent="0.2">
      <c r="A1961" s="50">
        <f t="array" ref="A1961">+INDEX(Partidas!$A:$J,MATCH('Resultados dashboard'!$B1961,Partidas!$C:$C,0),2)</f>
        <v>46112</v>
      </c>
      <c r="B1961" s="56">
        <f>+IF(COUNTIF($B$2:B1960,B1960)=VLOOKUP(B1960,Partidas!$C:$J,8,0),B1960+1,B1960)</f>
        <v>431</v>
      </c>
      <c r="C1961" s="41" t="str">
        <f t="array" ref="C1961">+INDEX(Partidas!$A:$J,MATCH('Resultados dashboard'!$B1961,Partidas!$C:$C,0),3+COUNTIF($B$2:B1961,'Resultados dashboard'!$B1961))</f>
        <v>Moch</v>
      </c>
      <c r="D1961" s="54">
        <v>6</v>
      </c>
      <c r="E1961" s="53"/>
      <c r="F1961" s="54">
        <v>1</v>
      </c>
      <c r="G1961" s="54">
        <v>1</v>
      </c>
      <c r="H1961" s="38">
        <f t="shared" si="17"/>
        <v>10</v>
      </c>
      <c r="I1961" s="38">
        <f t="shared" si="18"/>
        <v>1</v>
      </c>
      <c r="J1961" s="55"/>
    </row>
    <row r="1962" spans="1:10" ht="15" customHeight="1" x14ac:dyDescent="0.2">
      <c r="A1962" s="50">
        <f t="array" ref="A1962">+INDEX(Partidas!$A:$J,MATCH('Resultados dashboard'!$B1962,Partidas!$C:$C,0),2)</f>
        <v>46112</v>
      </c>
      <c r="B1962" s="56">
        <f>+IF(COUNTIF($B$2:B1961,B1961)=VLOOKUP(B1961,Partidas!$C:$J,8,0),B1961+1,B1961)</f>
        <v>432</v>
      </c>
      <c r="C1962" s="41" t="str">
        <f t="array" ref="C1962">+INDEX(Partidas!$A:$J,MATCH('Resultados dashboard'!$B1962,Partidas!$C:$C,0),3+COUNTIF($B$2:B1962,'Resultados dashboard'!$B1962))</f>
        <v>Gallo</v>
      </c>
      <c r="D1962" s="54">
        <v>6</v>
      </c>
      <c r="E1962" s="54">
        <v>1</v>
      </c>
      <c r="F1962" s="53"/>
      <c r="G1962" s="53"/>
      <c r="H1962" s="38">
        <f t="shared" si="17"/>
        <v>7</v>
      </c>
      <c r="I1962" s="38">
        <f t="shared" si="18"/>
        <v>2</v>
      </c>
      <c r="J1962" s="55"/>
    </row>
    <row r="1963" spans="1:10" ht="15" customHeight="1" x14ac:dyDescent="0.2">
      <c r="A1963" s="50">
        <f t="array" ref="A1963">+INDEX(Partidas!$A:$J,MATCH('Resultados dashboard'!$B1963,Partidas!$C:$C,0),2)</f>
        <v>46112</v>
      </c>
      <c r="B1963" s="56">
        <f>+IF(COUNTIF($B$2:B1962,B1962)=VLOOKUP(B1962,Partidas!$C:$J,8,0),B1962+1,B1962)</f>
        <v>432</v>
      </c>
      <c r="C1963" s="41" t="str">
        <f t="array" ref="C1963">+INDEX(Partidas!$A:$J,MATCH('Resultados dashboard'!$B1963,Partidas!$C:$C,0),3+COUNTIF($B$2:B1963,'Resultados dashboard'!$B1963))</f>
        <v>Ivo</v>
      </c>
      <c r="D1963" s="54">
        <v>4</v>
      </c>
      <c r="E1963" s="54">
        <v>1</v>
      </c>
      <c r="F1963" s="54">
        <v>1</v>
      </c>
      <c r="G1963" s="53"/>
      <c r="H1963" s="38">
        <f t="shared" si="17"/>
        <v>7</v>
      </c>
      <c r="I1963" s="38">
        <f t="shared" si="18"/>
        <v>2</v>
      </c>
      <c r="J1963" s="55"/>
    </row>
    <row r="1964" spans="1:10" ht="15" customHeight="1" x14ac:dyDescent="0.2">
      <c r="A1964" s="50">
        <f t="array" ref="A1964">+INDEX(Partidas!$A:$J,MATCH('Resultados dashboard'!$B1964,Partidas!$C:$C,0),2)</f>
        <v>46112</v>
      </c>
      <c r="B1964" s="56">
        <f>+IF(COUNTIF($B$2:B1963,B1963)=VLOOKUP(B1963,Partidas!$C:$J,8,0),B1963+1,B1963)</f>
        <v>432</v>
      </c>
      <c r="C1964" s="41" t="str">
        <f t="array" ref="C1964">+INDEX(Partidas!$A:$J,MATCH('Resultados dashboard'!$B1964,Partidas!$C:$C,0),3+COUNTIF($B$2:B1964,'Resultados dashboard'!$B1964))</f>
        <v>Max</v>
      </c>
      <c r="D1964" s="54">
        <v>6</v>
      </c>
      <c r="E1964" s="54">
        <v>1</v>
      </c>
      <c r="F1964" s="53"/>
      <c r="G1964" s="53"/>
      <c r="H1964" s="38">
        <f t="shared" si="17"/>
        <v>7</v>
      </c>
      <c r="I1964" s="38">
        <f t="shared" si="18"/>
        <v>2</v>
      </c>
      <c r="J1964" s="55"/>
    </row>
    <row r="1965" spans="1:10" ht="15" customHeight="1" x14ac:dyDescent="0.2">
      <c r="A1965" s="50">
        <f t="array" ref="A1965">+INDEX(Partidas!$A:$J,MATCH('Resultados dashboard'!$B1965,Partidas!$C:$C,0),2)</f>
        <v>46112</v>
      </c>
      <c r="B1965" s="56">
        <f>+IF(COUNTIF($B$2:B1964,B1964)=VLOOKUP(B1964,Partidas!$C:$J,8,0),B1964+1,B1964)</f>
        <v>432</v>
      </c>
      <c r="C1965" s="41" t="str">
        <f t="array" ref="C1965">+INDEX(Partidas!$A:$J,MATCH('Resultados dashboard'!$B1965,Partidas!$C:$C,0),3+COUNTIF($B$2:B1965,'Resultados dashboard'!$B1965))</f>
        <v>Moch</v>
      </c>
      <c r="D1965" s="54">
        <v>7</v>
      </c>
      <c r="E1965" s="54">
        <v>1</v>
      </c>
      <c r="F1965" s="53"/>
      <c r="G1965" s="54">
        <v>1</v>
      </c>
      <c r="H1965" s="38">
        <f t="shared" si="17"/>
        <v>10</v>
      </c>
      <c r="I1965" s="38">
        <f t="shared" si="18"/>
        <v>1</v>
      </c>
      <c r="J1965" s="55"/>
    </row>
    <row r="1966" spans="1:10" ht="15" customHeight="1" x14ac:dyDescent="0.2">
      <c r="A1966" s="50">
        <f t="array" ref="A1966">+INDEX(Partidas!$A:$J,MATCH('Resultados dashboard'!$B1966,Partidas!$C:$C,0),2)</f>
        <v>46112</v>
      </c>
      <c r="B1966" s="56">
        <f>+IF(COUNTIF($B$2:B1965,B1965)=VLOOKUP(B1965,Partidas!$C:$J,8,0),B1965+1,B1965)</f>
        <v>433</v>
      </c>
      <c r="C1966" s="41" t="str">
        <f t="array" ref="C1966">+INDEX(Partidas!$A:$J,MATCH('Resultados dashboard'!$B1966,Partidas!$C:$C,0),3+COUNTIF($B$2:B1966,'Resultados dashboard'!$B1966))</f>
        <v>Gallo</v>
      </c>
      <c r="D1966" s="54">
        <v>8</v>
      </c>
      <c r="E1966" s="54">
        <v>2</v>
      </c>
      <c r="F1966" s="53"/>
      <c r="G1966" s="53"/>
      <c r="H1966" s="38">
        <f t="shared" si="17"/>
        <v>10</v>
      </c>
      <c r="I1966" s="38">
        <f t="shared" si="18"/>
        <v>1</v>
      </c>
      <c r="J1966" s="55"/>
    </row>
    <row r="1967" spans="1:10" ht="15" customHeight="1" x14ac:dyDescent="0.2">
      <c r="A1967" s="50">
        <f t="array" ref="A1967">+INDEX(Partidas!$A:$J,MATCH('Resultados dashboard'!$B1967,Partidas!$C:$C,0),2)</f>
        <v>46112</v>
      </c>
      <c r="B1967" s="56">
        <f>+IF(COUNTIF($B$2:B1966,B1966)=VLOOKUP(B1966,Partidas!$C:$J,8,0),B1966+1,B1966)</f>
        <v>433</v>
      </c>
      <c r="C1967" s="41" t="str">
        <f t="array" ref="C1967">+INDEX(Partidas!$A:$J,MATCH('Resultados dashboard'!$B1967,Partidas!$C:$C,0),3+COUNTIF($B$2:B1967,'Resultados dashboard'!$B1967))</f>
        <v>Ivo</v>
      </c>
      <c r="D1967" s="54">
        <v>5</v>
      </c>
      <c r="E1967" s="53"/>
      <c r="F1967" s="54">
        <v>1</v>
      </c>
      <c r="G1967" s="53"/>
      <c r="H1967" s="38">
        <f t="shared" si="17"/>
        <v>7</v>
      </c>
      <c r="I1967" s="38">
        <f t="shared" si="18"/>
        <v>3</v>
      </c>
      <c r="J1967" s="55"/>
    </row>
    <row r="1968" spans="1:10" ht="15" customHeight="1" x14ac:dyDescent="0.2">
      <c r="A1968" s="50">
        <f t="array" ref="A1968">+INDEX(Partidas!$A:$J,MATCH('Resultados dashboard'!$B1968,Partidas!$C:$C,0),2)</f>
        <v>46112</v>
      </c>
      <c r="B1968" s="56">
        <f>+IF(COUNTIF($B$2:B1967,B1967)=VLOOKUP(B1967,Partidas!$C:$J,8,0),B1967+1,B1967)</f>
        <v>433</v>
      </c>
      <c r="C1968" s="41" t="str">
        <f t="array" ref="C1968">+INDEX(Partidas!$A:$J,MATCH('Resultados dashboard'!$B1968,Partidas!$C:$C,0),3+COUNTIF($B$2:B1968,'Resultados dashboard'!$B1968))</f>
        <v>Max</v>
      </c>
      <c r="D1968" s="54">
        <v>7</v>
      </c>
      <c r="E1968" s="53"/>
      <c r="F1968" s="53"/>
      <c r="G1968" s="53"/>
      <c r="H1968" s="38">
        <f t="shared" si="17"/>
        <v>7</v>
      </c>
      <c r="I1968" s="38">
        <f t="shared" si="18"/>
        <v>3</v>
      </c>
      <c r="J1968" s="55"/>
    </row>
    <row r="1969" spans="1:10" ht="15" customHeight="1" x14ac:dyDescent="0.2">
      <c r="A1969" s="50">
        <f t="array" ref="A1969">+INDEX(Partidas!$A:$J,MATCH('Resultados dashboard'!$B1969,Partidas!$C:$C,0),2)</f>
        <v>46112</v>
      </c>
      <c r="B1969" s="56">
        <f>+IF(COUNTIF($B$2:B1968,B1968)=VLOOKUP(B1968,Partidas!$C:$J,8,0),B1968+1,B1968)</f>
        <v>433</v>
      </c>
      <c r="C1969" s="41" t="str">
        <f t="array" ref="C1969">+INDEX(Partidas!$A:$J,MATCH('Resultados dashboard'!$B1969,Partidas!$C:$C,0),3+COUNTIF($B$2:B1969,'Resultados dashboard'!$B1969))</f>
        <v>Moch</v>
      </c>
      <c r="D1969" s="54">
        <v>5</v>
      </c>
      <c r="E1969" s="54">
        <v>1</v>
      </c>
      <c r="F1969" s="53"/>
      <c r="G1969" s="54">
        <v>1</v>
      </c>
      <c r="H1969" s="38">
        <f t="shared" si="17"/>
        <v>8</v>
      </c>
      <c r="I1969" s="38">
        <f t="shared" si="18"/>
        <v>2</v>
      </c>
      <c r="J1969" s="55"/>
    </row>
    <row r="1970" spans="1:10" ht="15" customHeight="1" x14ac:dyDescent="0.2">
      <c r="A1970" s="50">
        <f t="array" ref="A1970">+INDEX(Partidas!$A:$J,MATCH('Resultados dashboard'!$B1970,Partidas!$C:$C,0),2)</f>
        <v>46114</v>
      </c>
      <c r="B1970" s="56">
        <f>+IF(COUNTIF($B$2:B1969,B1969)=VLOOKUP(B1969,Partidas!$C:$J,8,0),B1969+1,B1969)</f>
        <v>434</v>
      </c>
      <c r="C1970" s="41" t="str">
        <f t="array" ref="C1970">+INDEX(Partidas!$A:$J,MATCH('Resultados dashboard'!$B1970,Partidas!$C:$C,0),3+COUNTIF($B$2:B1970,'Resultados dashboard'!$B1970))</f>
        <v>Gallo</v>
      </c>
      <c r="D1970" s="54">
        <v>10</v>
      </c>
      <c r="E1970" s="53"/>
      <c r="F1970" s="53"/>
      <c r="G1970" s="53"/>
      <c r="H1970" s="38">
        <f t="shared" si="17"/>
        <v>10</v>
      </c>
      <c r="I1970" s="38">
        <f t="shared" si="18"/>
        <v>1</v>
      </c>
      <c r="J1970" s="55"/>
    </row>
    <row r="1971" spans="1:10" ht="15" customHeight="1" x14ac:dyDescent="0.2">
      <c r="A1971" s="50">
        <f t="array" ref="A1971">+INDEX(Partidas!$A:$J,MATCH('Resultados dashboard'!$B1971,Partidas!$C:$C,0),2)</f>
        <v>46114</v>
      </c>
      <c r="B1971" s="56">
        <f>+IF(COUNTIF($B$2:B1970,B1970)=VLOOKUP(B1970,Partidas!$C:$J,8,0),B1970+1,B1970)</f>
        <v>434</v>
      </c>
      <c r="C1971" s="41" t="str">
        <f t="array" ref="C1971">+INDEX(Partidas!$A:$J,MATCH('Resultados dashboard'!$B1971,Partidas!$C:$C,0),3+COUNTIF($B$2:B1971,'Resultados dashboard'!$B1971))</f>
        <v>Ivo</v>
      </c>
      <c r="D1971" s="54">
        <v>7</v>
      </c>
      <c r="E1971" s="54">
        <v>1</v>
      </c>
      <c r="F1971" s="53"/>
      <c r="G1971" s="53"/>
      <c r="H1971" s="38">
        <f t="shared" si="17"/>
        <v>8</v>
      </c>
      <c r="I1971" s="38">
        <f t="shared" si="18"/>
        <v>2</v>
      </c>
      <c r="J1971" s="55"/>
    </row>
    <row r="1972" spans="1:10" ht="15" customHeight="1" x14ac:dyDescent="0.2">
      <c r="A1972" s="50">
        <f t="array" ref="A1972">+INDEX(Partidas!$A:$J,MATCH('Resultados dashboard'!$B1972,Partidas!$C:$C,0),2)</f>
        <v>46114</v>
      </c>
      <c r="B1972" s="56">
        <f>+IF(COUNTIF($B$2:B1971,B1971)=VLOOKUP(B1971,Partidas!$C:$J,8,0),B1971+1,B1971)</f>
        <v>434</v>
      </c>
      <c r="C1972" s="41" t="str">
        <f t="array" ref="C1972">+INDEX(Partidas!$A:$J,MATCH('Resultados dashboard'!$B1972,Partidas!$C:$C,0),3+COUNTIF($B$2:B1972,'Resultados dashboard'!$B1972))</f>
        <v>Max</v>
      </c>
      <c r="D1972" s="54">
        <v>5</v>
      </c>
      <c r="E1972" s="53"/>
      <c r="F1972" s="53"/>
      <c r="G1972" s="54">
        <v>1</v>
      </c>
      <c r="H1972" s="38">
        <f t="shared" si="17"/>
        <v>7</v>
      </c>
      <c r="I1972" s="38">
        <f t="shared" si="18"/>
        <v>5</v>
      </c>
      <c r="J1972" s="55"/>
    </row>
    <row r="1973" spans="1:10" ht="15" customHeight="1" x14ac:dyDescent="0.2">
      <c r="A1973" s="50">
        <f t="array" ref="A1973">+INDEX(Partidas!$A:$J,MATCH('Resultados dashboard'!$B1973,Partidas!$C:$C,0),2)</f>
        <v>46114</v>
      </c>
      <c r="B1973" s="56">
        <f>+IF(COUNTIF($B$2:B1972,B1972)=VLOOKUP(B1972,Partidas!$C:$J,8,0),B1972+1,B1972)</f>
        <v>434</v>
      </c>
      <c r="C1973" s="41" t="str">
        <f t="array" ref="C1973">+INDEX(Partidas!$A:$J,MATCH('Resultados dashboard'!$B1973,Partidas!$C:$C,0),3+COUNTIF($B$2:B1973,'Resultados dashboard'!$B1973))</f>
        <v>Moch</v>
      </c>
      <c r="D1973" s="54">
        <v>6</v>
      </c>
      <c r="E1973" s="54">
        <v>2</v>
      </c>
      <c r="F1973" s="53"/>
      <c r="G1973" s="53"/>
      <c r="H1973" s="38">
        <f t="shared" si="17"/>
        <v>8</v>
      </c>
      <c r="I1973" s="38">
        <f t="shared" si="18"/>
        <v>2</v>
      </c>
      <c r="J1973" s="55"/>
    </row>
    <row r="1974" spans="1:10" ht="15" customHeight="1" x14ac:dyDescent="0.2">
      <c r="A1974" s="50">
        <f t="array" ref="A1974">+INDEX(Partidas!$A:$J,MATCH('Resultados dashboard'!$B1974,Partidas!$C:$C,0),2)</f>
        <v>46114</v>
      </c>
      <c r="B1974" s="56">
        <f>+IF(COUNTIF($B$2:B1973,B1973)=VLOOKUP(B1973,Partidas!$C:$J,8,0),B1973+1,B1973)</f>
        <v>434</v>
      </c>
      <c r="C1974" s="41" t="str">
        <f t="array" ref="C1974">+INDEX(Partidas!$A:$J,MATCH('Resultados dashboard'!$B1974,Partidas!$C:$C,0),3+COUNTIF($B$2:B1974,'Resultados dashboard'!$B1974))</f>
        <v>Hugo</v>
      </c>
      <c r="D1974" s="54">
        <v>6</v>
      </c>
      <c r="E1974" s="53"/>
      <c r="F1974" s="54">
        <v>1</v>
      </c>
      <c r="G1974" s="53"/>
      <c r="H1974" s="38">
        <f t="shared" si="17"/>
        <v>8</v>
      </c>
      <c r="I1974" s="38">
        <f t="shared" si="18"/>
        <v>2</v>
      </c>
      <c r="J1974" s="55"/>
    </row>
    <row r="1975" spans="1:10" ht="15" customHeight="1" x14ac:dyDescent="0.2">
      <c r="A1975" s="50">
        <f t="array" ref="A1975">+INDEX(Partidas!$A:$J,MATCH('Resultados dashboard'!$B1975,Partidas!$C:$C,0),2)</f>
        <v>46114</v>
      </c>
      <c r="B1975" s="56">
        <f>+IF(COUNTIF($B$2:B1974,B1974)=VLOOKUP(B1974,Partidas!$C:$J,8,0),B1974+1,B1974)</f>
        <v>435</v>
      </c>
      <c r="C1975" s="41" t="str">
        <f t="array" ref="C1975">+INDEX(Partidas!$A:$J,MATCH('Resultados dashboard'!$B1975,Partidas!$C:$C,0),3+COUNTIF($B$2:B1975,'Resultados dashboard'!$B1975))</f>
        <v>Gallo</v>
      </c>
      <c r="D1975" s="54">
        <v>7</v>
      </c>
      <c r="E1975" s="53"/>
      <c r="F1975" s="53"/>
      <c r="G1975" s="53"/>
      <c r="H1975" s="38">
        <f t="shared" si="17"/>
        <v>7</v>
      </c>
      <c r="I1975" s="38">
        <f t="shared" si="18"/>
        <v>3</v>
      </c>
      <c r="J1975" s="55"/>
    </row>
    <row r="1976" spans="1:10" ht="15" customHeight="1" x14ac:dyDescent="0.2">
      <c r="A1976" s="50">
        <f t="array" ref="A1976">+INDEX(Partidas!$A:$J,MATCH('Resultados dashboard'!$B1976,Partidas!$C:$C,0),2)</f>
        <v>46114</v>
      </c>
      <c r="B1976" s="56">
        <f>+IF(COUNTIF($B$2:B1975,B1975)=VLOOKUP(B1975,Partidas!$C:$J,8,0),B1975+1,B1975)</f>
        <v>435</v>
      </c>
      <c r="C1976" s="41" t="str">
        <f t="array" ref="C1976">+INDEX(Partidas!$A:$J,MATCH('Resultados dashboard'!$B1976,Partidas!$C:$C,0),3+COUNTIF($B$2:B1976,'Resultados dashboard'!$B1976))</f>
        <v>Ivo</v>
      </c>
      <c r="D1976" s="54">
        <v>8</v>
      </c>
      <c r="E1976" s="54">
        <v>1</v>
      </c>
      <c r="F1976" s="54">
        <v>1</v>
      </c>
      <c r="G1976" s="53"/>
      <c r="H1976" s="38">
        <f t="shared" si="17"/>
        <v>11</v>
      </c>
      <c r="I1976" s="38">
        <f t="shared" si="18"/>
        <v>1</v>
      </c>
      <c r="J1976" s="55"/>
    </row>
    <row r="1977" spans="1:10" ht="15" customHeight="1" x14ac:dyDescent="0.2">
      <c r="A1977" s="50">
        <f t="array" ref="A1977">+INDEX(Partidas!$A:$J,MATCH('Resultados dashboard'!$B1977,Partidas!$C:$C,0),2)</f>
        <v>46114</v>
      </c>
      <c r="B1977" s="56">
        <f>+IF(COUNTIF($B$2:B1976,B1976)=VLOOKUP(B1976,Partidas!$C:$J,8,0),B1976+1,B1976)</f>
        <v>435</v>
      </c>
      <c r="C1977" s="41" t="str">
        <f t="array" ref="C1977">+INDEX(Partidas!$A:$J,MATCH('Resultados dashboard'!$B1977,Partidas!$C:$C,0),3+COUNTIF($B$2:B1977,'Resultados dashboard'!$B1977))</f>
        <v>Max</v>
      </c>
      <c r="D1977" s="54">
        <v>5</v>
      </c>
      <c r="E1977" s="53"/>
      <c r="F1977" s="53"/>
      <c r="G1977" s="53"/>
      <c r="H1977" s="38">
        <f t="shared" si="17"/>
        <v>5</v>
      </c>
      <c r="I1977" s="38">
        <f t="shared" si="18"/>
        <v>5</v>
      </c>
      <c r="J1977" s="55"/>
    </row>
    <row r="1978" spans="1:10" ht="15" customHeight="1" x14ac:dyDescent="0.2">
      <c r="A1978" s="50">
        <f t="array" ref="A1978">+INDEX(Partidas!$A:$J,MATCH('Resultados dashboard'!$B1978,Partidas!$C:$C,0),2)</f>
        <v>46114</v>
      </c>
      <c r="B1978" s="56">
        <f>+IF(COUNTIF($B$2:B1977,B1977)=VLOOKUP(B1977,Partidas!$C:$J,8,0),B1977+1,B1977)</f>
        <v>435</v>
      </c>
      <c r="C1978" s="41" t="str">
        <f t="array" ref="C1978">+INDEX(Partidas!$A:$J,MATCH('Resultados dashboard'!$B1978,Partidas!$C:$C,0),3+COUNTIF($B$2:B1978,'Resultados dashboard'!$B1978))</f>
        <v>Moch</v>
      </c>
      <c r="D1978" s="54">
        <v>6</v>
      </c>
      <c r="E1978" s="53"/>
      <c r="F1978" s="53"/>
      <c r="G1978" s="54">
        <v>1</v>
      </c>
      <c r="H1978" s="38">
        <f t="shared" si="17"/>
        <v>8</v>
      </c>
      <c r="I1978" s="38">
        <f t="shared" si="18"/>
        <v>2</v>
      </c>
      <c r="J1978" s="55"/>
    </row>
    <row r="1979" spans="1:10" ht="15" customHeight="1" x14ac:dyDescent="0.2">
      <c r="A1979" s="50">
        <f t="array" ref="A1979">+INDEX(Partidas!$A:$J,MATCH('Resultados dashboard'!$B1979,Partidas!$C:$C,0),2)</f>
        <v>46114</v>
      </c>
      <c r="B1979" s="56">
        <f>+IF(COUNTIF($B$2:B1978,B1978)=VLOOKUP(B1978,Partidas!$C:$J,8,0),B1978+1,B1978)</f>
        <v>435</v>
      </c>
      <c r="C1979" s="41" t="str">
        <f t="array" ref="C1979">+INDEX(Partidas!$A:$J,MATCH('Resultados dashboard'!$B1979,Partidas!$C:$C,0),3+COUNTIF($B$2:B1979,'Resultados dashboard'!$B1979))</f>
        <v>Hugo</v>
      </c>
      <c r="D1979" s="54">
        <v>6</v>
      </c>
      <c r="E1979" s="53"/>
      <c r="F1979" s="53"/>
      <c r="G1979" s="53"/>
      <c r="H1979" s="38">
        <f t="shared" si="17"/>
        <v>6</v>
      </c>
      <c r="I1979" s="38">
        <f t="shared" si="18"/>
        <v>4</v>
      </c>
      <c r="J1979" s="55"/>
    </row>
    <row r="1980" spans="1:10" ht="15" customHeight="1" x14ac:dyDescent="0.2">
      <c r="A1980" s="50">
        <f t="array" ref="A1980">+INDEX(Partidas!$A:$J,MATCH('Resultados dashboard'!$B1980,Partidas!$C:$C,0),2)</f>
        <v>46114</v>
      </c>
      <c r="B1980" s="56">
        <f>+IF(COUNTIF($B$2:B1979,B1979)=VLOOKUP(B1979,Partidas!$C:$J,8,0),B1979+1,B1979)</f>
        <v>436</v>
      </c>
      <c r="C1980" s="41" t="str">
        <f t="array" ref="C1980">+INDEX(Partidas!$A:$J,MATCH('Resultados dashboard'!$B1980,Partidas!$C:$C,0),3+COUNTIF($B$2:B1980,'Resultados dashboard'!$B1980))</f>
        <v>Gallo</v>
      </c>
      <c r="D1980" s="54">
        <v>6</v>
      </c>
      <c r="E1980" s="54">
        <v>1</v>
      </c>
      <c r="F1980" s="54"/>
      <c r="G1980" s="53"/>
      <c r="H1980" s="38">
        <f t="shared" si="17"/>
        <v>7</v>
      </c>
      <c r="I1980" s="38">
        <f t="shared" si="18"/>
        <v>4</v>
      </c>
      <c r="J1980" s="55"/>
    </row>
    <row r="1981" spans="1:10" ht="15" customHeight="1" x14ac:dyDescent="0.2">
      <c r="A1981" s="50">
        <f t="array" ref="A1981">+INDEX(Partidas!$A:$J,MATCH('Resultados dashboard'!$B1981,Partidas!$C:$C,0),2)</f>
        <v>46114</v>
      </c>
      <c r="B1981" s="56">
        <f>+IF(COUNTIF($B$2:B1980,B1980)=VLOOKUP(B1980,Partidas!$C:$J,8,0),B1980+1,B1980)</f>
        <v>436</v>
      </c>
      <c r="C1981" s="41" t="str">
        <f t="array" ref="C1981">+INDEX(Partidas!$A:$J,MATCH('Resultados dashboard'!$B1981,Partidas!$C:$C,0),3+COUNTIF($B$2:B1981,'Resultados dashboard'!$B1981))</f>
        <v>Ivo</v>
      </c>
      <c r="D1981" s="54">
        <v>5</v>
      </c>
      <c r="E1981" s="54">
        <v>2</v>
      </c>
      <c r="F1981" s="53"/>
      <c r="G1981" s="54">
        <v>1</v>
      </c>
      <c r="H1981" s="38">
        <f t="shared" si="17"/>
        <v>9</v>
      </c>
      <c r="I1981" s="38">
        <f t="shared" si="18"/>
        <v>2</v>
      </c>
      <c r="J1981" s="55"/>
    </row>
    <row r="1982" spans="1:10" ht="15" customHeight="1" x14ac:dyDescent="0.2">
      <c r="A1982" s="50">
        <f t="array" ref="A1982">+INDEX(Partidas!$A:$J,MATCH('Resultados dashboard'!$B1982,Partidas!$C:$C,0),2)</f>
        <v>46114</v>
      </c>
      <c r="B1982" s="56">
        <f>+IF(COUNTIF($B$2:B1981,B1981)=VLOOKUP(B1981,Partidas!$C:$J,8,0),B1981+1,B1981)</f>
        <v>436</v>
      </c>
      <c r="C1982" s="41" t="str">
        <f t="array" ref="C1982">+INDEX(Partidas!$A:$J,MATCH('Resultados dashboard'!$B1982,Partidas!$C:$C,0),3+COUNTIF($B$2:B1982,'Resultados dashboard'!$B1982))</f>
        <v>Max</v>
      </c>
      <c r="D1982" s="54">
        <v>9</v>
      </c>
      <c r="E1982" s="53"/>
      <c r="F1982" s="53"/>
      <c r="G1982" s="53"/>
      <c r="H1982" s="38">
        <f t="shared" si="17"/>
        <v>9</v>
      </c>
      <c r="I1982" s="38">
        <f t="shared" si="18"/>
        <v>2</v>
      </c>
      <c r="J1982" s="55"/>
    </row>
    <row r="1983" spans="1:10" ht="15" customHeight="1" x14ac:dyDescent="0.2">
      <c r="A1983" s="50">
        <f t="array" ref="A1983">+INDEX(Partidas!$A:$J,MATCH('Resultados dashboard'!$B1983,Partidas!$C:$C,0),2)</f>
        <v>46114</v>
      </c>
      <c r="B1983" s="56">
        <f>+IF(COUNTIF($B$2:B1982,B1982)=VLOOKUP(B1982,Partidas!$C:$J,8,0),B1982+1,B1982)</f>
        <v>436</v>
      </c>
      <c r="C1983" s="41" t="str">
        <f t="array" ref="C1983">+INDEX(Partidas!$A:$J,MATCH('Resultados dashboard'!$B1983,Partidas!$C:$C,0),3+COUNTIF($B$2:B1983,'Resultados dashboard'!$B1983))</f>
        <v>Hugo</v>
      </c>
      <c r="D1983" s="54">
        <v>6</v>
      </c>
      <c r="E1983" s="54">
        <v>2</v>
      </c>
      <c r="F1983" s="54">
        <v>1</v>
      </c>
      <c r="G1983" s="53"/>
      <c r="H1983" s="38">
        <f t="shared" si="17"/>
        <v>10</v>
      </c>
      <c r="I1983" s="38">
        <f t="shared" si="18"/>
        <v>1</v>
      </c>
      <c r="J1983" s="55"/>
    </row>
    <row r="1984" spans="1:10" ht="15" customHeight="1" x14ac:dyDescent="0.2">
      <c r="A1984" s="50">
        <f t="array" ref="A1984">+INDEX(Partidas!$A:$J,MATCH('Resultados dashboard'!$B1984,Partidas!$C:$C,0),2)</f>
        <v>46116</v>
      </c>
      <c r="B1984" s="56">
        <f>+IF(COUNTIF($B$2:B1983,B1983)=VLOOKUP(B1983,Partidas!$C:$J,8,0),B1983+1,B1983)</f>
        <v>437</v>
      </c>
      <c r="C1984" s="41" t="str">
        <f t="array" ref="C1984">+INDEX(Partidas!$A:$J,MATCH('Resultados dashboard'!$B1984,Partidas!$C:$C,0),3+COUNTIF($B$2:B1984,'Resultados dashboard'!$B1984))</f>
        <v>Gallo</v>
      </c>
      <c r="D1984" s="54">
        <v>6</v>
      </c>
      <c r="E1984" s="54">
        <v>1</v>
      </c>
      <c r="F1984" s="53"/>
      <c r="G1984" s="53"/>
      <c r="H1984" s="38">
        <f t="shared" si="17"/>
        <v>7</v>
      </c>
      <c r="I1984" s="38">
        <f t="shared" si="18"/>
        <v>2</v>
      </c>
      <c r="J1984" s="55"/>
    </row>
    <row r="1985" spans="1:10" ht="15" customHeight="1" x14ac:dyDescent="0.2">
      <c r="A1985" s="50">
        <f t="array" ref="A1985">+INDEX(Partidas!$A:$J,MATCH('Resultados dashboard'!$B1985,Partidas!$C:$C,0),2)</f>
        <v>46116</v>
      </c>
      <c r="B1985" s="56">
        <f>+IF(COUNTIF($B$2:B1984,B1984)=VLOOKUP(B1984,Partidas!$C:$J,8,0),B1984+1,B1984)</f>
        <v>437</v>
      </c>
      <c r="C1985" s="41" t="str">
        <f t="array" ref="C1985">+INDEX(Partidas!$A:$J,MATCH('Resultados dashboard'!$B1985,Partidas!$C:$C,0),3+COUNTIF($B$2:B1985,'Resultados dashboard'!$B1985))</f>
        <v>Ivo</v>
      </c>
      <c r="D1985" s="54">
        <v>5</v>
      </c>
      <c r="E1985" s="54">
        <v>1</v>
      </c>
      <c r="F1985" s="53"/>
      <c r="G1985" s="53"/>
      <c r="H1985" s="38">
        <f t="shared" si="17"/>
        <v>6</v>
      </c>
      <c r="I1985" s="38">
        <f t="shared" si="18"/>
        <v>3</v>
      </c>
      <c r="J1985" s="55"/>
    </row>
    <row r="1986" spans="1:10" ht="15" customHeight="1" x14ac:dyDescent="0.2">
      <c r="A1986" s="50">
        <f t="array" ref="A1986">+INDEX(Partidas!$A:$J,MATCH('Resultados dashboard'!$B1986,Partidas!$C:$C,0),2)</f>
        <v>46116</v>
      </c>
      <c r="B1986" s="56">
        <f>+IF(COUNTIF($B$2:B1985,B1985)=VLOOKUP(B1985,Partidas!$C:$J,8,0),B1985+1,B1985)</f>
        <v>437</v>
      </c>
      <c r="C1986" s="41" t="str">
        <f t="array" ref="C1986">+INDEX(Partidas!$A:$J,MATCH('Resultados dashboard'!$B1986,Partidas!$C:$C,0),3+COUNTIF($B$2:B1986,'Resultados dashboard'!$B1986))</f>
        <v>Moch</v>
      </c>
      <c r="D1986" s="54">
        <v>6</v>
      </c>
      <c r="E1986" s="54">
        <v>1</v>
      </c>
      <c r="F1986" s="54">
        <v>1</v>
      </c>
      <c r="G1986" s="54">
        <v>1</v>
      </c>
      <c r="H1986" s="38">
        <f t="shared" si="17"/>
        <v>11</v>
      </c>
      <c r="I1986" s="38">
        <f t="shared" si="18"/>
        <v>1</v>
      </c>
      <c r="J1986" s="55"/>
    </row>
    <row r="1987" spans="1:10" ht="15" customHeight="1" x14ac:dyDescent="0.2">
      <c r="A1987" s="50">
        <f t="array" ref="A1987">+INDEX(Partidas!$A:$J,MATCH('Resultados dashboard'!$B1987,Partidas!$C:$C,0),2)</f>
        <v>46116</v>
      </c>
      <c r="B1987" s="56">
        <f>+IF(COUNTIF($B$2:B1986,B1986)=VLOOKUP(B1986,Partidas!$C:$J,8,0),B1986+1,B1986)</f>
        <v>437</v>
      </c>
      <c r="C1987" s="41" t="str">
        <f t="array" ref="C1987">+INDEX(Partidas!$A:$J,MATCH('Resultados dashboard'!$B1987,Partidas!$C:$C,0),3+COUNTIF($B$2:B1987,'Resultados dashboard'!$B1987))</f>
        <v>Hugo</v>
      </c>
      <c r="D1987" s="54">
        <v>4</v>
      </c>
      <c r="E1987" s="54">
        <v>1</v>
      </c>
      <c r="F1987" s="53"/>
      <c r="G1987" s="53"/>
      <c r="H1987" s="38">
        <f t="shared" si="17"/>
        <v>5</v>
      </c>
      <c r="I1987" s="38">
        <f t="shared" si="18"/>
        <v>4</v>
      </c>
      <c r="J1987" s="55"/>
    </row>
    <row r="1988" spans="1:10" ht="15" customHeight="1" x14ac:dyDescent="0.2">
      <c r="A1988" s="50">
        <f t="array" ref="A1988">+INDEX(Partidas!$A:$J,MATCH('Resultados dashboard'!$B1988,Partidas!$C:$C,0),2)</f>
        <v>46116</v>
      </c>
      <c r="B1988" s="56">
        <f>+IF(COUNTIF($B$2:B1987,B1987)=VLOOKUP(B1987,Partidas!$C:$J,8,0),B1987+1,B1987)</f>
        <v>438</v>
      </c>
      <c r="C1988" s="41" t="str">
        <f t="array" ref="C1988">+INDEX(Partidas!$A:$J,MATCH('Resultados dashboard'!$B1988,Partidas!$C:$C,0),3+COUNTIF($B$2:B1988,'Resultados dashboard'!$B1988))</f>
        <v>Gallo</v>
      </c>
      <c r="D1988" s="54">
        <v>5</v>
      </c>
      <c r="E1988" s="54">
        <v>2</v>
      </c>
      <c r="F1988" s="53"/>
      <c r="G1988" s="53"/>
      <c r="H1988" s="38">
        <f t="shared" si="17"/>
        <v>7</v>
      </c>
      <c r="I1988" s="38">
        <f t="shared" si="18"/>
        <v>3</v>
      </c>
      <c r="J1988" s="55"/>
    </row>
    <row r="1989" spans="1:10" ht="15" customHeight="1" x14ac:dyDescent="0.2">
      <c r="A1989" s="50">
        <f t="array" ref="A1989">+INDEX(Partidas!$A:$J,MATCH('Resultados dashboard'!$B1989,Partidas!$C:$C,0),2)</f>
        <v>46116</v>
      </c>
      <c r="B1989" s="56">
        <f>+IF(COUNTIF($B$2:B1988,B1988)=VLOOKUP(B1988,Partidas!$C:$J,8,0),B1988+1,B1988)</f>
        <v>438</v>
      </c>
      <c r="C1989" s="41" t="str">
        <f t="array" ref="C1989">+INDEX(Partidas!$A:$J,MATCH('Resultados dashboard'!$B1989,Partidas!$C:$C,0),3+COUNTIF($B$2:B1989,'Resultados dashboard'!$B1989))</f>
        <v>Ivo</v>
      </c>
      <c r="D1989" s="54">
        <v>5</v>
      </c>
      <c r="E1989" s="53"/>
      <c r="F1989" s="53"/>
      <c r="G1989" s="53"/>
      <c r="H1989" s="38">
        <f t="shared" si="17"/>
        <v>5</v>
      </c>
      <c r="I1989" s="38">
        <f t="shared" si="18"/>
        <v>4</v>
      </c>
      <c r="J1989" s="55"/>
    </row>
    <row r="1990" spans="1:10" ht="15" customHeight="1" x14ac:dyDescent="0.2">
      <c r="A1990" s="50">
        <f t="array" ref="A1990">+INDEX(Partidas!$A:$J,MATCH('Resultados dashboard'!$B1990,Partidas!$C:$C,0),2)</f>
        <v>46116</v>
      </c>
      <c r="B1990" s="56">
        <f>+IF(COUNTIF($B$2:B1989,B1989)=VLOOKUP(B1989,Partidas!$C:$J,8,0),B1989+1,B1989)</f>
        <v>438</v>
      </c>
      <c r="C1990" s="41" t="str">
        <f t="array" ref="C1990">+INDEX(Partidas!$A:$J,MATCH('Resultados dashboard'!$B1990,Partidas!$C:$C,0),3+COUNTIF($B$2:B1990,'Resultados dashboard'!$B1990))</f>
        <v>Moch</v>
      </c>
      <c r="D1990" s="54">
        <v>9</v>
      </c>
      <c r="E1990" s="54">
        <v>1</v>
      </c>
      <c r="F1990" s="53"/>
      <c r="G1990" s="53"/>
      <c r="H1990" s="38">
        <f t="shared" si="17"/>
        <v>10</v>
      </c>
      <c r="I1990" s="38">
        <f t="shared" si="18"/>
        <v>1</v>
      </c>
      <c r="J1990" s="55"/>
    </row>
    <row r="1991" spans="1:10" ht="15" customHeight="1" x14ac:dyDescent="0.2">
      <c r="A1991" s="50">
        <f t="array" ref="A1991">+INDEX(Partidas!$A:$J,MATCH('Resultados dashboard'!$B1991,Partidas!$C:$C,0),2)</f>
        <v>46116</v>
      </c>
      <c r="B1991" s="56">
        <f>+IF(COUNTIF($B$2:B1990,B1990)=VLOOKUP(B1990,Partidas!$C:$J,8,0),B1990+1,B1990)</f>
        <v>438</v>
      </c>
      <c r="C1991" s="41" t="str">
        <f t="array" ref="C1991">+INDEX(Partidas!$A:$J,MATCH('Resultados dashboard'!$B1991,Partidas!$C:$C,0),3+COUNTIF($B$2:B1991,'Resultados dashboard'!$B1991))</f>
        <v>Hugo</v>
      </c>
      <c r="D1991" s="54">
        <v>5</v>
      </c>
      <c r="E1991" s="54">
        <v>1</v>
      </c>
      <c r="F1991" s="54">
        <v>1</v>
      </c>
      <c r="G1991" s="53"/>
      <c r="H1991" s="38">
        <f t="shared" si="17"/>
        <v>8</v>
      </c>
      <c r="I1991" s="38">
        <f t="shared" si="18"/>
        <v>2</v>
      </c>
      <c r="J1991" s="55"/>
    </row>
    <row r="1992" spans="1:10" ht="15" customHeight="1" x14ac:dyDescent="0.2">
      <c r="A1992" s="50">
        <f t="array" ref="A1992">+INDEX(Partidas!$A:$J,MATCH('Resultados dashboard'!$B1992,Partidas!$C:$C,0),2)</f>
        <v>46116</v>
      </c>
      <c r="B1992" s="56">
        <f>+IF(COUNTIF($B$2:B1991,B1991)=VLOOKUP(B1991,Partidas!$C:$J,8,0),B1991+1,B1991)</f>
        <v>439</v>
      </c>
      <c r="C1992" s="41" t="str">
        <f t="array" ref="C1992">+INDEX(Partidas!$A:$J,MATCH('Resultados dashboard'!$B1992,Partidas!$C:$C,0),3+COUNTIF($B$2:B1992,'Resultados dashboard'!$B1992))</f>
        <v>Gallo</v>
      </c>
      <c r="D1992" s="54">
        <v>6</v>
      </c>
      <c r="E1992" s="53"/>
      <c r="F1992" s="53"/>
      <c r="G1992" s="53"/>
      <c r="H1992" s="38">
        <f t="shared" si="17"/>
        <v>6</v>
      </c>
      <c r="I1992" s="38">
        <f t="shared" si="18"/>
        <v>2</v>
      </c>
      <c r="J1992" s="55"/>
    </row>
    <row r="1993" spans="1:10" ht="15" customHeight="1" x14ac:dyDescent="0.2">
      <c r="A1993" s="50">
        <f t="array" ref="A1993">+INDEX(Partidas!$A:$J,MATCH('Resultados dashboard'!$B1993,Partidas!$C:$C,0),2)</f>
        <v>46116</v>
      </c>
      <c r="B1993" s="56">
        <f>+IF(COUNTIF($B$2:B1992,B1992)=VLOOKUP(B1992,Partidas!$C:$J,8,0),B1992+1,B1992)</f>
        <v>439</v>
      </c>
      <c r="C1993" s="41" t="str">
        <f t="array" ref="C1993">+INDEX(Partidas!$A:$J,MATCH('Resultados dashboard'!$B1993,Partidas!$C:$C,0),3+COUNTIF($B$2:B1993,'Resultados dashboard'!$B1993))</f>
        <v>Ivo</v>
      </c>
      <c r="D1993" s="54">
        <v>4</v>
      </c>
      <c r="E1993" s="53"/>
      <c r="F1993" s="53"/>
      <c r="G1993" s="53"/>
      <c r="H1993" s="38">
        <f t="shared" si="17"/>
        <v>4</v>
      </c>
      <c r="I1993" s="38">
        <f t="shared" si="18"/>
        <v>3</v>
      </c>
      <c r="J1993" s="55"/>
    </row>
    <row r="1994" spans="1:10" ht="15" customHeight="1" x14ac:dyDescent="0.2">
      <c r="A1994" s="50">
        <f t="array" ref="A1994">+INDEX(Partidas!$A:$J,MATCH('Resultados dashboard'!$B1994,Partidas!$C:$C,0),2)</f>
        <v>46116</v>
      </c>
      <c r="B1994" s="56">
        <f>+IF(COUNTIF($B$2:B1993,B1993)=VLOOKUP(B1993,Partidas!$C:$J,8,0),B1993+1,B1993)</f>
        <v>439</v>
      </c>
      <c r="C1994" s="41" t="str">
        <f t="array" ref="C1994">+INDEX(Partidas!$A:$J,MATCH('Resultados dashboard'!$B1994,Partidas!$C:$C,0),3+COUNTIF($B$2:B1994,'Resultados dashboard'!$B1994))</f>
        <v>Moch</v>
      </c>
      <c r="D1994" s="54">
        <v>2</v>
      </c>
      <c r="E1994" s="54">
        <v>1</v>
      </c>
      <c r="F1994" s="53"/>
      <c r="G1994" s="53"/>
      <c r="H1994" s="38">
        <f t="shared" si="17"/>
        <v>3</v>
      </c>
      <c r="I1994" s="38">
        <f t="shared" si="18"/>
        <v>4</v>
      </c>
      <c r="J1994" s="55"/>
    </row>
    <row r="1995" spans="1:10" ht="15" customHeight="1" x14ac:dyDescent="0.2">
      <c r="A1995" s="50">
        <f t="array" ref="A1995">+INDEX(Partidas!$A:$J,MATCH('Resultados dashboard'!$B1995,Partidas!$C:$C,0),2)</f>
        <v>46116</v>
      </c>
      <c r="B1995" s="56">
        <f>+IF(COUNTIF($B$2:B1994,B1994)=VLOOKUP(B1994,Partidas!$C:$J,8,0),B1994+1,B1994)</f>
        <v>439</v>
      </c>
      <c r="C1995" s="41" t="str">
        <f t="array" ref="C1995">+INDEX(Partidas!$A:$J,MATCH('Resultados dashboard'!$B1995,Partidas!$C:$C,0),3+COUNTIF($B$2:B1995,'Resultados dashboard'!$B1995))</f>
        <v>Hugo</v>
      </c>
      <c r="D1995" s="54">
        <v>6</v>
      </c>
      <c r="E1995" s="53"/>
      <c r="F1995" s="54">
        <v>1</v>
      </c>
      <c r="G1995" s="54">
        <v>1</v>
      </c>
      <c r="H1995" s="38">
        <f t="shared" si="17"/>
        <v>10</v>
      </c>
      <c r="I1995" s="38">
        <f t="shared" si="18"/>
        <v>1</v>
      </c>
      <c r="J1995" s="55"/>
    </row>
    <row r="1996" spans="1:10" ht="15" customHeight="1" x14ac:dyDescent="0.2">
      <c r="A1996" s="50">
        <f t="array" ref="A1996">+INDEX(Partidas!$A:$J,MATCH('Resultados dashboard'!$B1996,Partidas!$C:$C,0),2)</f>
        <v>46116</v>
      </c>
      <c r="B1996" s="56">
        <f>+IF(COUNTIF($B$2:B1995,B1995)=VLOOKUP(B1995,Partidas!$C:$J,8,0),B1995+1,B1995)</f>
        <v>440</v>
      </c>
      <c r="C1996" s="41" t="str">
        <f t="array" ref="C1996">+INDEX(Partidas!$A:$J,MATCH('Resultados dashboard'!$B1996,Partidas!$C:$C,0),3+COUNTIF($B$2:B1996,'Resultados dashboard'!$B1996))</f>
        <v>Gallo</v>
      </c>
      <c r="D1996" s="54">
        <v>6</v>
      </c>
      <c r="E1996" s="54">
        <v>1</v>
      </c>
      <c r="F1996" s="53"/>
      <c r="G1996" s="53"/>
      <c r="H1996" s="38">
        <f t="shared" si="17"/>
        <v>7</v>
      </c>
      <c r="I1996" s="38">
        <f t="shared" si="18"/>
        <v>3</v>
      </c>
      <c r="J1996" s="55"/>
    </row>
    <row r="1997" spans="1:10" ht="15" customHeight="1" x14ac:dyDescent="0.2">
      <c r="A1997" s="50">
        <f t="array" ref="A1997">+INDEX(Partidas!$A:$J,MATCH('Resultados dashboard'!$B1997,Partidas!$C:$C,0),2)</f>
        <v>46116</v>
      </c>
      <c r="B1997" s="56">
        <f>+IF(COUNTIF($B$2:B1996,B1996)=VLOOKUP(B1996,Partidas!$C:$J,8,0),B1996+1,B1996)</f>
        <v>440</v>
      </c>
      <c r="C1997" s="41" t="str">
        <f t="array" ref="C1997">+INDEX(Partidas!$A:$J,MATCH('Resultados dashboard'!$B1997,Partidas!$C:$C,0),3+COUNTIF($B$2:B1997,'Resultados dashboard'!$B1997))</f>
        <v>Ivo</v>
      </c>
      <c r="D1997" s="54">
        <v>5</v>
      </c>
      <c r="E1997" s="54">
        <v>3</v>
      </c>
      <c r="F1997" s="53"/>
      <c r="G1997" s="54">
        <v>1</v>
      </c>
      <c r="H1997" s="38">
        <f t="shared" si="17"/>
        <v>10</v>
      </c>
      <c r="I1997" s="38">
        <f t="shared" si="18"/>
        <v>1</v>
      </c>
      <c r="J1997" s="55"/>
    </row>
    <row r="1998" spans="1:10" ht="15" customHeight="1" x14ac:dyDescent="0.2">
      <c r="A1998" s="50">
        <f t="array" ref="A1998">+INDEX(Partidas!$A:$J,MATCH('Resultados dashboard'!$B1998,Partidas!$C:$C,0),2)</f>
        <v>46116</v>
      </c>
      <c r="B1998" s="56">
        <f>+IF(COUNTIF($B$2:B1997,B1997)=VLOOKUP(B1997,Partidas!$C:$J,8,0),B1997+1,B1997)</f>
        <v>440</v>
      </c>
      <c r="C1998" s="41" t="str">
        <f t="array" ref="C1998">+INDEX(Partidas!$A:$J,MATCH('Resultados dashboard'!$B1998,Partidas!$C:$C,0),3+COUNTIF($B$2:B1998,'Resultados dashboard'!$B1998))</f>
        <v>Moch</v>
      </c>
      <c r="D1998" s="54">
        <v>8</v>
      </c>
      <c r="E1998" s="53"/>
      <c r="F1998" s="53"/>
      <c r="G1998" s="53"/>
      <c r="H1998" s="38">
        <f t="shared" si="17"/>
        <v>8</v>
      </c>
      <c r="I1998" s="38">
        <f t="shared" si="18"/>
        <v>2</v>
      </c>
      <c r="J1998" s="55"/>
    </row>
    <row r="1999" spans="1:10" ht="15" customHeight="1" x14ac:dyDescent="0.2">
      <c r="A1999" s="50">
        <f t="array" ref="A1999">+INDEX(Partidas!$A:$J,MATCH('Resultados dashboard'!$B1999,Partidas!$C:$C,0),2)</f>
        <v>46116</v>
      </c>
      <c r="B1999" s="56">
        <f>+IF(COUNTIF($B$2:B1998,B1998)=VLOOKUP(B1998,Partidas!$C:$J,8,0),B1998+1,B1998)</f>
        <v>440</v>
      </c>
      <c r="C1999" s="41" t="str">
        <f t="array" ref="C1999">+INDEX(Partidas!$A:$J,MATCH('Resultados dashboard'!$B1999,Partidas!$C:$C,0),3+COUNTIF($B$2:B1999,'Resultados dashboard'!$B1999))</f>
        <v>Hugo</v>
      </c>
      <c r="D1999" s="54">
        <v>5</v>
      </c>
      <c r="E1999" s="53"/>
      <c r="F1999" s="54">
        <v>1</v>
      </c>
      <c r="G1999" s="53"/>
      <c r="H1999" s="38">
        <f t="shared" si="17"/>
        <v>7</v>
      </c>
      <c r="I1999" s="38">
        <f t="shared" si="18"/>
        <v>3</v>
      </c>
      <c r="J1999" s="55"/>
    </row>
    <row r="2000" spans="1:10" ht="15" customHeight="1" x14ac:dyDescent="0.2">
      <c r="A2000" s="50">
        <f t="array" ref="A2000">+INDEX(Partidas!$A:$J,MATCH('Resultados dashboard'!$B2000,Partidas!$C:$C,0),2)</f>
        <v>46116</v>
      </c>
      <c r="B2000" s="56">
        <f>+IF(COUNTIF($B$2:B1999,B1999)=VLOOKUP(B1999,Partidas!$C:$J,8,0),B1999+1,B1999)</f>
        <v>441</v>
      </c>
      <c r="C2000" s="41" t="str">
        <f t="array" ref="C2000">+INDEX(Partidas!$A:$J,MATCH('Resultados dashboard'!$B2000,Partidas!$C:$C,0),3+COUNTIF($B$2:B2000,'Resultados dashboard'!$B2000))</f>
        <v>Gallo</v>
      </c>
      <c r="D2000" s="54">
        <v>7</v>
      </c>
      <c r="E2000" s="53"/>
      <c r="F2000" s="53"/>
      <c r="G2000" s="53"/>
      <c r="H2000" s="38">
        <f t="shared" si="17"/>
        <v>7</v>
      </c>
      <c r="I2000" s="38">
        <f t="shared" si="18"/>
        <v>4</v>
      </c>
      <c r="J2000" s="55"/>
    </row>
    <row r="2001" spans="1:10" ht="15" customHeight="1" x14ac:dyDescent="0.2">
      <c r="A2001" s="50">
        <f t="array" ref="A2001">+INDEX(Partidas!$A:$J,MATCH('Resultados dashboard'!$B2001,Partidas!$C:$C,0),2)</f>
        <v>46116</v>
      </c>
      <c r="B2001" s="56">
        <f>+IF(COUNTIF($B$2:B2000,B2000)=VLOOKUP(B2000,Partidas!$C:$J,8,0),B2000+1,B2000)</f>
        <v>441</v>
      </c>
      <c r="C2001" s="41" t="str">
        <f t="array" ref="C2001">+INDEX(Partidas!$A:$J,MATCH('Resultados dashboard'!$B2001,Partidas!$C:$C,0),3+COUNTIF($B$2:B2001,'Resultados dashboard'!$B2001))</f>
        <v>Ivo</v>
      </c>
      <c r="D2001" s="54">
        <v>4</v>
      </c>
      <c r="E2001" s="54">
        <v>2</v>
      </c>
      <c r="F2001" s="54">
        <v>1</v>
      </c>
      <c r="G2001" s="54">
        <v>1</v>
      </c>
      <c r="H2001" s="38">
        <f t="shared" si="17"/>
        <v>10</v>
      </c>
      <c r="I2001" s="38">
        <f t="shared" si="18"/>
        <v>1</v>
      </c>
      <c r="J2001" s="55"/>
    </row>
    <row r="2002" spans="1:10" ht="15" customHeight="1" x14ac:dyDescent="0.2">
      <c r="A2002" s="50">
        <f t="array" ref="A2002">+INDEX(Partidas!$A:$J,MATCH('Resultados dashboard'!$B2002,Partidas!$C:$C,0),2)</f>
        <v>46116</v>
      </c>
      <c r="B2002" s="56">
        <f>+IF(COUNTIF($B$2:B2001,B2001)=VLOOKUP(B2001,Partidas!$C:$J,8,0),B2001+1,B2001)</f>
        <v>441</v>
      </c>
      <c r="C2002" s="41" t="str">
        <f t="array" ref="C2002">+INDEX(Partidas!$A:$J,MATCH('Resultados dashboard'!$B2002,Partidas!$C:$C,0),3+COUNTIF($B$2:B2002,'Resultados dashboard'!$B2002))</f>
        <v>Moch</v>
      </c>
      <c r="D2002" s="54">
        <v>9</v>
      </c>
      <c r="E2002" s="53"/>
      <c r="F2002" s="53"/>
      <c r="G2002" s="53"/>
      <c r="H2002" s="38">
        <f t="shared" si="17"/>
        <v>9</v>
      </c>
      <c r="I2002" s="38">
        <f t="shared" si="18"/>
        <v>2</v>
      </c>
      <c r="J2002" s="55"/>
    </row>
    <row r="2003" spans="1:10" ht="15" customHeight="1" x14ac:dyDescent="0.2">
      <c r="A2003" s="50">
        <f t="array" ref="A2003">+INDEX(Partidas!$A:$J,MATCH('Resultados dashboard'!$B2003,Partidas!$C:$C,0),2)</f>
        <v>46116</v>
      </c>
      <c r="B2003" s="56">
        <f>+IF(COUNTIF($B$2:B2002,B2002)=VLOOKUP(B2002,Partidas!$C:$J,8,0),B2002+1,B2002)</f>
        <v>441</v>
      </c>
      <c r="C2003" s="41" t="str">
        <f t="array" ref="C2003">+INDEX(Partidas!$A:$J,MATCH('Resultados dashboard'!$B2003,Partidas!$C:$C,0),3+COUNTIF($B$2:B2003,'Resultados dashboard'!$B2003))</f>
        <v>Hugo</v>
      </c>
      <c r="D2003" s="54">
        <v>9</v>
      </c>
      <c r="E2003" s="53"/>
      <c r="F2003" s="53"/>
      <c r="G2003" s="53"/>
      <c r="H2003" s="38">
        <f t="shared" si="17"/>
        <v>9</v>
      </c>
      <c r="I2003" s="38">
        <f t="shared" si="18"/>
        <v>2</v>
      </c>
      <c r="J2003" s="55"/>
    </row>
    <row r="2004" spans="1:10" ht="15" customHeight="1" x14ac:dyDescent="0.2">
      <c r="A2004" s="50">
        <f t="array" ref="A2004">+INDEX(Partidas!$A:$J,MATCH('Resultados dashboard'!$B2004,Partidas!$C:$C,0),2)</f>
        <v>46121</v>
      </c>
      <c r="B2004" s="56">
        <f>+IF(COUNTIF($B$2:B2003,B2003)=VLOOKUP(B2003,Partidas!$C:$J,8,0),B2003+1,B2003)</f>
        <v>442</v>
      </c>
      <c r="C2004" s="41" t="str">
        <f t="array" ref="C2004">+INDEX(Partidas!$A:$J,MATCH('Resultados dashboard'!$B2004,Partidas!$C:$C,0),3+COUNTIF($B$2:B2004,'Resultados dashboard'!$B2004))</f>
        <v>Gallo</v>
      </c>
      <c r="D2004" s="54">
        <v>5</v>
      </c>
      <c r="E2004" s="53"/>
      <c r="F2004" s="53"/>
      <c r="G2004" s="54">
        <v>1</v>
      </c>
      <c r="H2004" s="38">
        <f t="shared" si="17"/>
        <v>7</v>
      </c>
      <c r="I2004" s="38">
        <f t="shared" si="18"/>
        <v>2</v>
      </c>
      <c r="J2004" s="55"/>
    </row>
    <row r="2005" spans="1:10" ht="15" customHeight="1" x14ac:dyDescent="0.2">
      <c r="A2005" s="50">
        <f t="array" ref="A2005">+INDEX(Partidas!$A:$J,MATCH('Resultados dashboard'!$B2005,Partidas!$C:$C,0),2)</f>
        <v>46121</v>
      </c>
      <c r="B2005" s="56">
        <f>+IF(COUNTIF($B$2:B2004,B2004)=VLOOKUP(B2004,Partidas!$C:$J,8,0),B2004+1,B2004)</f>
        <v>442</v>
      </c>
      <c r="C2005" s="41" t="str">
        <f t="array" ref="C2005">+INDEX(Partidas!$A:$J,MATCH('Resultados dashboard'!$B2005,Partidas!$C:$C,0),3+COUNTIF($B$2:B2005,'Resultados dashboard'!$B2005))</f>
        <v>Moch</v>
      </c>
      <c r="D2005" s="54">
        <v>5</v>
      </c>
      <c r="E2005" s="53"/>
      <c r="F2005" s="53"/>
      <c r="G2005" s="53"/>
      <c r="H2005" s="38">
        <f t="shared" si="17"/>
        <v>5</v>
      </c>
      <c r="I2005" s="38">
        <f t="shared" si="18"/>
        <v>3</v>
      </c>
      <c r="J2005" s="55"/>
    </row>
    <row r="2006" spans="1:10" ht="15" customHeight="1" x14ac:dyDescent="0.2">
      <c r="A2006" s="50">
        <f t="array" ref="A2006">+INDEX(Partidas!$A:$J,MATCH('Resultados dashboard'!$B2006,Partidas!$C:$C,0),2)</f>
        <v>46121</v>
      </c>
      <c r="B2006" s="56">
        <f>+IF(COUNTIF($B$2:B2005,B2005)=VLOOKUP(B2005,Partidas!$C:$J,8,0),B2005+1,B2005)</f>
        <v>442</v>
      </c>
      <c r="C2006" s="41" t="str">
        <f t="array" ref="C2006">+INDEX(Partidas!$A:$J,MATCH('Resultados dashboard'!$B2006,Partidas!$C:$C,0),3+COUNTIF($B$2:B2006,'Resultados dashboard'!$B2006))</f>
        <v>Hugo</v>
      </c>
      <c r="D2006" s="54">
        <v>4</v>
      </c>
      <c r="E2006" s="53"/>
      <c r="F2006" s="53"/>
      <c r="G2006" s="53"/>
      <c r="H2006" s="38">
        <f t="shared" si="17"/>
        <v>4</v>
      </c>
      <c r="I2006" s="38">
        <f t="shared" si="18"/>
        <v>4</v>
      </c>
      <c r="J2006" s="55"/>
    </row>
    <row r="2007" spans="1:10" ht="15" customHeight="1" x14ac:dyDescent="0.2">
      <c r="A2007" s="50">
        <f t="array" ref="A2007">+INDEX(Partidas!$A:$J,MATCH('Resultados dashboard'!$B2007,Partidas!$C:$C,0),2)</f>
        <v>46121</v>
      </c>
      <c r="B2007" s="56">
        <f>+IF(COUNTIF($B$2:B2006,B2006)=VLOOKUP(B2006,Partidas!$C:$J,8,0),B2006+1,B2006)</f>
        <v>442</v>
      </c>
      <c r="C2007" s="41" t="str">
        <f t="array" ref="C2007">+INDEX(Partidas!$A:$J,MATCH('Resultados dashboard'!$B2007,Partidas!$C:$C,0),3+COUNTIF($B$2:B2007,'Resultados dashboard'!$B2007))</f>
        <v>Gaspa</v>
      </c>
      <c r="D2007" s="54">
        <v>7</v>
      </c>
      <c r="E2007" s="54">
        <v>1</v>
      </c>
      <c r="F2007" s="54">
        <v>1</v>
      </c>
      <c r="G2007" s="53"/>
      <c r="H2007" s="38">
        <f t="shared" si="17"/>
        <v>10</v>
      </c>
      <c r="I2007" s="38">
        <f t="shared" si="18"/>
        <v>1</v>
      </c>
      <c r="J2007" s="55"/>
    </row>
    <row r="2008" spans="1:10" ht="15" customHeight="1" x14ac:dyDescent="0.2">
      <c r="A2008" s="50">
        <f t="array" ref="A2008">+INDEX(Partidas!$A:$J,MATCH('Resultados dashboard'!$B2008,Partidas!$C:$C,0),2)</f>
        <v>46121</v>
      </c>
      <c r="B2008" s="56">
        <f>+IF(COUNTIF($B$2:B2007,B2007)=VLOOKUP(B2007,Partidas!$C:$J,8,0),B2007+1,B2007)</f>
        <v>443</v>
      </c>
      <c r="C2008" s="41" t="str">
        <f t="array" ref="C2008">+INDEX(Partidas!$A:$J,MATCH('Resultados dashboard'!$B2008,Partidas!$C:$C,0),3+COUNTIF($B$2:B2008,'Resultados dashboard'!$B2008))</f>
        <v>Gallo</v>
      </c>
      <c r="D2008" s="54">
        <v>4</v>
      </c>
      <c r="E2008" s="53"/>
      <c r="F2008" s="53"/>
      <c r="G2008" s="53"/>
      <c r="H2008" s="38">
        <f t="shared" si="17"/>
        <v>4</v>
      </c>
      <c r="I2008" s="38">
        <f t="shared" si="18"/>
        <v>4</v>
      </c>
      <c r="J2008" s="55"/>
    </row>
    <row r="2009" spans="1:10" ht="15" customHeight="1" x14ac:dyDescent="0.2">
      <c r="A2009" s="50">
        <f t="array" ref="A2009">+INDEX(Partidas!$A:$J,MATCH('Resultados dashboard'!$B2009,Partidas!$C:$C,0),2)</f>
        <v>46121</v>
      </c>
      <c r="B2009" s="56">
        <f>+IF(COUNTIF($B$2:B2008,B2008)=VLOOKUP(B2008,Partidas!$C:$J,8,0),B2008+1,B2008)</f>
        <v>443</v>
      </c>
      <c r="C2009" s="41" t="str">
        <f t="array" ref="C2009">+INDEX(Partidas!$A:$J,MATCH('Resultados dashboard'!$B2009,Partidas!$C:$C,0),3+COUNTIF($B$2:B2009,'Resultados dashboard'!$B2009))</f>
        <v>Moch</v>
      </c>
      <c r="D2009" s="54">
        <v>5</v>
      </c>
      <c r="E2009" s="54">
        <v>2</v>
      </c>
      <c r="F2009" s="53"/>
      <c r="G2009" s="53"/>
      <c r="H2009" s="38">
        <f t="shared" si="17"/>
        <v>7</v>
      </c>
      <c r="I2009" s="38">
        <f t="shared" si="18"/>
        <v>2</v>
      </c>
      <c r="J2009" s="55"/>
    </row>
    <row r="2010" spans="1:10" ht="15" customHeight="1" x14ac:dyDescent="0.2">
      <c r="A2010" s="50">
        <f t="array" ref="A2010">+INDEX(Partidas!$A:$J,MATCH('Resultados dashboard'!$B2010,Partidas!$C:$C,0),2)</f>
        <v>46121</v>
      </c>
      <c r="B2010" s="56">
        <f>+IF(COUNTIF($B$2:B2009,B2009)=VLOOKUP(B2009,Partidas!$C:$J,8,0),B2009+1,B2009)</f>
        <v>443</v>
      </c>
      <c r="C2010" s="41" t="str">
        <f t="array" ref="C2010">+INDEX(Partidas!$A:$J,MATCH('Resultados dashboard'!$B2010,Partidas!$C:$C,0),3+COUNTIF($B$2:B2010,'Resultados dashboard'!$B2010))</f>
        <v>Hugo</v>
      </c>
      <c r="D2010" s="54">
        <v>6</v>
      </c>
      <c r="E2010" s="54">
        <v>2</v>
      </c>
      <c r="F2010" s="54">
        <v>1</v>
      </c>
      <c r="G2010" s="53"/>
      <c r="H2010" s="38">
        <f t="shared" si="17"/>
        <v>10</v>
      </c>
      <c r="I2010" s="38">
        <f t="shared" si="18"/>
        <v>1</v>
      </c>
      <c r="J2010" s="55"/>
    </row>
    <row r="2011" spans="1:10" ht="15" customHeight="1" x14ac:dyDescent="0.2">
      <c r="A2011" s="50">
        <f t="array" ref="A2011">+INDEX(Partidas!$A:$J,MATCH('Resultados dashboard'!$B2011,Partidas!$C:$C,0),2)</f>
        <v>46121</v>
      </c>
      <c r="B2011" s="56">
        <f>+IF(COUNTIF($B$2:B2010,B2010)=VLOOKUP(B2010,Partidas!$C:$J,8,0),B2010+1,B2010)</f>
        <v>443</v>
      </c>
      <c r="C2011" s="41" t="str">
        <f t="array" ref="C2011">+INDEX(Partidas!$A:$J,MATCH('Resultados dashboard'!$B2011,Partidas!$C:$C,0),3+COUNTIF($B$2:B2011,'Resultados dashboard'!$B2011))</f>
        <v>Gaspa</v>
      </c>
      <c r="D2011" s="54">
        <v>5</v>
      </c>
      <c r="E2011" s="53"/>
      <c r="F2011" s="53"/>
      <c r="G2011" s="54">
        <v>1</v>
      </c>
      <c r="H2011" s="38">
        <f t="shared" si="17"/>
        <v>7</v>
      </c>
      <c r="I2011" s="38">
        <f t="shared" si="18"/>
        <v>2</v>
      </c>
      <c r="J2011" s="55"/>
    </row>
    <row r="2012" spans="1:10" ht="15" customHeight="1" x14ac:dyDescent="0.2">
      <c r="A2012" s="50">
        <f t="array" ref="A2012">+INDEX(Partidas!$A:$J,MATCH('Resultados dashboard'!$B2012,Partidas!$C:$C,0),2)</f>
        <v>46121</v>
      </c>
      <c r="B2012" s="56">
        <f>+IF(COUNTIF($B$2:B2011,B2011)=VLOOKUP(B2011,Partidas!$C:$J,8,0),B2011+1,B2011)</f>
        <v>444</v>
      </c>
      <c r="C2012" s="41" t="str">
        <f t="array" ref="C2012">+INDEX(Partidas!$A:$J,MATCH('Resultados dashboard'!$B2012,Partidas!$C:$C,0),3+COUNTIF($B$2:B2012,'Resultados dashboard'!$B2012))</f>
        <v>Gallo</v>
      </c>
      <c r="D2012" s="54">
        <v>4</v>
      </c>
      <c r="E2012" s="54">
        <v>3</v>
      </c>
      <c r="F2012" s="53"/>
      <c r="G2012" s="53"/>
      <c r="H2012" s="38">
        <f t="shared" si="17"/>
        <v>7</v>
      </c>
      <c r="I2012" s="38">
        <f t="shared" si="18"/>
        <v>3</v>
      </c>
      <c r="J2012" s="55"/>
    </row>
    <row r="2013" spans="1:10" ht="15" customHeight="1" x14ac:dyDescent="0.2">
      <c r="A2013" s="50">
        <f t="array" ref="A2013">+INDEX(Partidas!$A:$J,MATCH('Resultados dashboard'!$B2013,Partidas!$C:$C,0),2)</f>
        <v>46121</v>
      </c>
      <c r="B2013" s="56">
        <f>+IF(COUNTIF($B$2:B2012,B2012)=VLOOKUP(B2012,Partidas!$C:$J,8,0),B2012+1,B2012)</f>
        <v>444</v>
      </c>
      <c r="C2013" s="41" t="str">
        <f t="array" ref="C2013">+INDEX(Partidas!$A:$J,MATCH('Resultados dashboard'!$B2013,Partidas!$C:$C,0),3+COUNTIF($B$2:B2013,'Resultados dashboard'!$B2013))</f>
        <v>Moch</v>
      </c>
      <c r="D2013" s="54">
        <v>7</v>
      </c>
      <c r="E2013" s="54">
        <v>1</v>
      </c>
      <c r="F2013" s="53"/>
      <c r="G2013" s="54">
        <v>1</v>
      </c>
      <c r="H2013" s="38">
        <f t="shared" si="17"/>
        <v>10</v>
      </c>
      <c r="I2013" s="38">
        <f t="shared" si="18"/>
        <v>1</v>
      </c>
      <c r="J2013" s="55"/>
    </row>
    <row r="2014" spans="1:10" ht="15" customHeight="1" x14ac:dyDescent="0.2">
      <c r="A2014" s="50">
        <f t="array" ref="A2014">+INDEX(Partidas!$A:$J,MATCH('Resultados dashboard'!$B2014,Partidas!$C:$C,0),2)</f>
        <v>46121</v>
      </c>
      <c r="B2014" s="56">
        <f>+IF(COUNTIF($B$2:B2013,B2013)=VLOOKUP(B2013,Partidas!$C:$J,8,0),B2013+1,B2013)</f>
        <v>444</v>
      </c>
      <c r="C2014" s="41" t="str">
        <f t="array" ref="C2014">+INDEX(Partidas!$A:$J,MATCH('Resultados dashboard'!$B2014,Partidas!$C:$C,0),3+COUNTIF($B$2:B2014,'Resultados dashboard'!$B2014))</f>
        <v>Hugo</v>
      </c>
      <c r="D2014" s="54">
        <v>7</v>
      </c>
      <c r="E2014" s="54">
        <v>1</v>
      </c>
      <c r="F2014" s="53"/>
      <c r="G2014" s="53"/>
      <c r="H2014" s="38">
        <f t="shared" si="17"/>
        <v>8</v>
      </c>
      <c r="I2014" s="38">
        <f t="shared" si="18"/>
        <v>2</v>
      </c>
      <c r="J2014" s="55"/>
    </row>
    <row r="2015" spans="1:10" ht="15" customHeight="1" x14ac:dyDescent="0.2">
      <c r="A2015" s="50">
        <f t="array" ref="A2015">+INDEX(Partidas!$A:$J,MATCH('Resultados dashboard'!$B2015,Partidas!$C:$C,0),2)</f>
        <v>46121</v>
      </c>
      <c r="B2015" s="56">
        <f>+IF(COUNTIF($B$2:B2014,B2014)=VLOOKUP(B2014,Partidas!$C:$J,8,0),B2014+1,B2014)</f>
        <v>444</v>
      </c>
      <c r="C2015" s="41" t="str">
        <f t="array" ref="C2015">+INDEX(Partidas!$A:$J,MATCH('Resultados dashboard'!$B2015,Partidas!$C:$C,0),3+COUNTIF($B$2:B2015,'Resultados dashboard'!$B2015))</f>
        <v>Gaspa</v>
      </c>
      <c r="D2015" s="54">
        <v>5</v>
      </c>
      <c r="E2015" s="53"/>
      <c r="F2015" s="53"/>
      <c r="G2015" s="53"/>
      <c r="H2015" s="38">
        <f t="shared" si="17"/>
        <v>5</v>
      </c>
      <c r="I2015" s="38">
        <f t="shared" si="18"/>
        <v>4</v>
      </c>
      <c r="J2015" s="55"/>
    </row>
    <row r="2016" spans="1:10" ht="15" customHeight="1" x14ac:dyDescent="0.2">
      <c r="A2016" s="50">
        <f t="array" ref="A2016">+INDEX(Partidas!$A:$J,MATCH('Resultados dashboard'!$B2016,Partidas!$C:$C,0),2)</f>
        <v>46125</v>
      </c>
      <c r="B2016" s="56">
        <f>+IF(COUNTIF($B$2:B2015,B2015)=VLOOKUP(B2015,Partidas!$C:$J,8,0),B2015+1,B2015)</f>
        <v>445</v>
      </c>
      <c r="C2016" s="41" t="str">
        <f t="array" ref="C2016">+INDEX(Partidas!$A:$J,MATCH('Resultados dashboard'!$B2016,Partidas!$C:$C,0),3+COUNTIF($B$2:B2016,'Resultados dashboard'!$B2016))</f>
        <v>Ivo</v>
      </c>
      <c r="D2016" s="54">
        <v>6</v>
      </c>
      <c r="E2016" s="54">
        <v>2</v>
      </c>
      <c r="F2016" s="54">
        <v>1</v>
      </c>
      <c r="G2016" s="53"/>
      <c r="H2016" s="38">
        <f t="shared" si="17"/>
        <v>10</v>
      </c>
      <c r="I2016" s="38">
        <f t="shared" si="18"/>
        <v>1</v>
      </c>
      <c r="J2016" s="55"/>
    </row>
    <row r="2017" spans="1:10" ht="15" customHeight="1" x14ac:dyDescent="0.2">
      <c r="A2017" s="50">
        <f t="array" ref="A2017">+INDEX(Partidas!$A:$J,MATCH('Resultados dashboard'!$B2017,Partidas!$C:$C,0),2)</f>
        <v>46125</v>
      </c>
      <c r="B2017" s="56">
        <f>+IF(COUNTIF($B$2:B2016,B2016)=VLOOKUP(B2016,Partidas!$C:$J,8,0),B2016+1,B2016)</f>
        <v>445</v>
      </c>
      <c r="C2017" s="41" t="str">
        <f t="array" ref="C2017">+INDEX(Partidas!$A:$J,MATCH('Resultados dashboard'!$B2017,Partidas!$C:$C,0),3+COUNTIF($B$2:B2017,'Resultados dashboard'!$B2017))</f>
        <v>Moch</v>
      </c>
      <c r="D2017" s="54">
        <v>4</v>
      </c>
      <c r="E2017" s="53"/>
      <c r="F2017" s="53"/>
      <c r="G2017" s="53"/>
      <c r="H2017" s="38">
        <f t="shared" si="17"/>
        <v>4</v>
      </c>
      <c r="I2017" s="38">
        <f t="shared" si="18"/>
        <v>5</v>
      </c>
      <c r="J2017" s="55"/>
    </row>
    <row r="2018" spans="1:10" ht="15" customHeight="1" x14ac:dyDescent="0.2">
      <c r="A2018" s="50">
        <f t="array" ref="A2018">+INDEX(Partidas!$A:$J,MATCH('Resultados dashboard'!$B2018,Partidas!$C:$C,0),2)</f>
        <v>46125</v>
      </c>
      <c r="B2018" s="56">
        <f>+IF(COUNTIF($B$2:B2017,B2017)=VLOOKUP(B2017,Partidas!$C:$J,8,0),B2017+1,B2017)</f>
        <v>445</v>
      </c>
      <c r="C2018" s="41" t="str">
        <f t="array" ref="C2018">+INDEX(Partidas!$A:$J,MATCH('Resultados dashboard'!$B2018,Partidas!$C:$C,0),3+COUNTIF($B$2:B2018,'Resultados dashboard'!$B2018))</f>
        <v>Hugo</v>
      </c>
      <c r="D2018" s="54">
        <v>7</v>
      </c>
      <c r="E2018" s="53"/>
      <c r="F2018" s="53"/>
      <c r="G2018" s="54">
        <v>1</v>
      </c>
      <c r="H2018" s="38">
        <f t="shared" si="17"/>
        <v>9</v>
      </c>
      <c r="I2018" s="38">
        <f t="shared" si="18"/>
        <v>2</v>
      </c>
      <c r="J2018" s="55"/>
    </row>
    <row r="2019" spans="1:10" ht="15" customHeight="1" x14ac:dyDescent="0.2">
      <c r="A2019" s="50">
        <f t="array" ref="A2019">+INDEX(Partidas!$A:$J,MATCH('Resultados dashboard'!$B2019,Partidas!$C:$C,0),2)</f>
        <v>46125</v>
      </c>
      <c r="B2019" s="56">
        <f>+IF(COUNTIF($B$2:B2018,B2018)=VLOOKUP(B2018,Partidas!$C:$J,8,0),B2018+1,B2018)</f>
        <v>445</v>
      </c>
      <c r="C2019" s="41" t="str">
        <f t="array" ref="C2019">+INDEX(Partidas!$A:$J,MATCH('Resultados dashboard'!$B2019,Partidas!$C:$C,0),3+COUNTIF($B$2:B2019,'Resultados dashboard'!$B2019))</f>
        <v>Gaspa</v>
      </c>
      <c r="D2019" s="54">
        <v>3</v>
      </c>
      <c r="E2019" s="54">
        <v>2</v>
      </c>
      <c r="F2019" s="53"/>
      <c r="G2019" s="53"/>
      <c r="H2019" s="38">
        <f t="shared" si="17"/>
        <v>5</v>
      </c>
      <c r="I2019" s="38">
        <f t="shared" si="18"/>
        <v>3</v>
      </c>
      <c r="J2019" s="55"/>
    </row>
    <row r="2020" spans="1:10" ht="15" customHeight="1" x14ac:dyDescent="0.2">
      <c r="A2020" s="50">
        <f t="array" ref="A2020">+INDEX(Partidas!$A:$J,MATCH('Resultados dashboard'!$B2020,Partidas!$C:$C,0),2)</f>
        <v>46125</v>
      </c>
      <c r="B2020" s="56">
        <f>+IF(COUNTIF($B$2:B2019,B2019)=VLOOKUP(B2019,Partidas!$C:$J,8,0),B2019+1,B2019)</f>
        <v>445</v>
      </c>
      <c r="C2020" s="41" t="str">
        <f t="array" ref="C2020">+INDEX(Partidas!$A:$J,MATCH('Resultados dashboard'!$B2020,Partidas!$C:$C,0),3+COUNTIF($B$2:B2020,'Resultados dashboard'!$B2020))</f>
        <v>Max</v>
      </c>
      <c r="D2020" s="54">
        <v>5</v>
      </c>
      <c r="E2020" s="53"/>
      <c r="F2020" s="53"/>
      <c r="G2020" s="53"/>
      <c r="H2020" s="38">
        <f t="shared" si="17"/>
        <v>5</v>
      </c>
      <c r="I2020" s="38">
        <f t="shared" si="18"/>
        <v>3</v>
      </c>
      <c r="J2020" s="55"/>
    </row>
    <row r="2021" spans="1:10" ht="15" customHeight="1" x14ac:dyDescent="0.2">
      <c r="A2021" s="50">
        <f t="array" ref="A2021">+INDEX(Partidas!$A:$J,MATCH('Resultados dashboard'!$B2021,Partidas!$C:$C,0),2)</f>
        <v>46125</v>
      </c>
      <c r="B2021" s="56">
        <f>+IF(COUNTIF($B$2:B2020,B2020)=VLOOKUP(B2020,Partidas!$C:$J,8,0),B2020+1,B2020)</f>
        <v>446</v>
      </c>
      <c r="C2021" s="41" t="str">
        <f t="array" ref="C2021">+INDEX(Partidas!$A:$J,MATCH('Resultados dashboard'!$B2021,Partidas!$C:$C,0),3+COUNTIF($B$2:B2021,'Resultados dashboard'!$B2021))</f>
        <v>Ivo</v>
      </c>
      <c r="D2021" s="54">
        <v>6</v>
      </c>
      <c r="E2021" s="53"/>
      <c r="F2021" s="53"/>
      <c r="G2021" s="53"/>
      <c r="H2021" s="38">
        <f t="shared" si="17"/>
        <v>6</v>
      </c>
      <c r="I2021" s="38">
        <f t="shared" si="18"/>
        <v>5</v>
      </c>
      <c r="J2021" s="55"/>
    </row>
    <row r="2022" spans="1:10" ht="15" customHeight="1" x14ac:dyDescent="0.2">
      <c r="A2022" s="50">
        <f t="array" ref="A2022">+INDEX(Partidas!$A:$J,MATCH('Resultados dashboard'!$B2022,Partidas!$C:$C,0),2)</f>
        <v>46125</v>
      </c>
      <c r="B2022" s="56">
        <f>+IF(COUNTIF($B$2:B2021,B2021)=VLOOKUP(B2021,Partidas!$C:$J,8,0),B2021+1,B2021)</f>
        <v>446</v>
      </c>
      <c r="C2022" s="41" t="str">
        <f t="array" ref="C2022">+INDEX(Partidas!$A:$J,MATCH('Resultados dashboard'!$B2022,Partidas!$C:$C,0),3+COUNTIF($B$2:B2022,'Resultados dashboard'!$B2022))</f>
        <v>Moch</v>
      </c>
      <c r="D2022" s="54">
        <v>8</v>
      </c>
      <c r="E2022" s="53"/>
      <c r="F2022" s="53"/>
      <c r="G2022" s="54">
        <v>1</v>
      </c>
      <c r="H2022" s="38">
        <f t="shared" si="17"/>
        <v>10</v>
      </c>
      <c r="I2022" s="38">
        <f t="shared" si="18"/>
        <v>1</v>
      </c>
      <c r="J2022" s="55"/>
    </row>
    <row r="2023" spans="1:10" ht="15" customHeight="1" x14ac:dyDescent="0.2">
      <c r="A2023" s="50">
        <f t="array" ref="A2023">+INDEX(Partidas!$A:$J,MATCH('Resultados dashboard'!$B2023,Partidas!$C:$C,0),2)</f>
        <v>46125</v>
      </c>
      <c r="B2023" s="56">
        <f>+IF(COUNTIF($B$2:B2022,B2022)=VLOOKUP(B2022,Partidas!$C:$J,8,0),B2022+1,B2022)</f>
        <v>446</v>
      </c>
      <c r="C2023" s="41" t="str">
        <f t="array" ref="C2023">+INDEX(Partidas!$A:$J,MATCH('Resultados dashboard'!$B2023,Partidas!$C:$C,0),3+COUNTIF($B$2:B2023,'Resultados dashboard'!$B2023))</f>
        <v>Hugo</v>
      </c>
      <c r="D2023" s="54">
        <v>8</v>
      </c>
      <c r="E2023" s="53"/>
      <c r="F2023" s="53"/>
      <c r="G2023" s="53"/>
      <c r="H2023" s="38">
        <f t="shared" si="17"/>
        <v>8</v>
      </c>
      <c r="I2023" s="38">
        <f t="shared" si="18"/>
        <v>3</v>
      </c>
      <c r="J2023" s="55"/>
    </row>
    <row r="2024" spans="1:10" ht="15" customHeight="1" x14ac:dyDescent="0.2">
      <c r="A2024" s="50">
        <f t="array" ref="A2024">+INDEX(Partidas!$A:$J,MATCH('Resultados dashboard'!$B2024,Partidas!$C:$C,0),2)</f>
        <v>46125</v>
      </c>
      <c r="B2024" s="56">
        <f>+IF(COUNTIF($B$2:B2023,B2023)=VLOOKUP(B2023,Partidas!$C:$J,8,0),B2023+1,B2023)</f>
        <v>446</v>
      </c>
      <c r="C2024" s="41" t="str">
        <f t="array" ref="C2024">+INDEX(Partidas!$A:$J,MATCH('Resultados dashboard'!$B2024,Partidas!$C:$C,0),3+COUNTIF($B$2:B2024,'Resultados dashboard'!$B2024))</f>
        <v>Gaspa</v>
      </c>
      <c r="D2024" s="54">
        <v>5</v>
      </c>
      <c r="E2024" s="54">
        <v>3</v>
      </c>
      <c r="F2024" s="53"/>
      <c r="G2024" s="53"/>
      <c r="H2024" s="38">
        <f t="shared" si="17"/>
        <v>8</v>
      </c>
      <c r="I2024" s="38">
        <f t="shared" si="18"/>
        <v>3</v>
      </c>
      <c r="J2024" s="55"/>
    </row>
    <row r="2025" spans="1:10" ht="15" customHeight="1" x14ac:dyDescent="0.2">
      <c r="A2025" s="50">
        <f t="array" ref="A2025">+INDEX(Partidas!$A:$J,MATCH('Resultados dashboard'!$B2025,Partidas!$C:$C,0),2)</f>
        <v>46125</v>
      </c>
      <c r="B2025" s="56">
        <f>+IF(COUNTIF($B$2:B2024,B2024)=VLOOKUP(B2024,Partidas!$C:$J,8,0),B2024+1,B2024)</f>
        <v>446</v>
      </c>
      <c r="C2025" s="41" t="str">
        <f t="array" ref="C2025">+INDEX(Partidas!$A:$J,MATCH('Resultados dashboard'!$B2025,Partidas!$C:$C,0),3+COUNTIF($B$2:B2025,'Resultados dashboard'!$B2025))</f>
        <v>Max</v>
      </c>
      <c r="D2025" s="54">
        <v>6</v>
      </c>
      <c r="E2025" s="54">
        <v>1</v>
      </c>
      <c r="F2025" s="54">
        <v>1</v>
      </c>
      <c r="G2025" s="53"/>
      <c r="H2025" s="38">
        <f t="shared" si="17"/>
        <v>9</v>
      </c>
      <c r="I2025" s="38">
        <f t="shared" si="18"/>
        <v>2</v>
      </c>
      <c r="J2025" s="55"/>
    </row>
    <row r="2026" spans="1:10" ht="15" customHeight="1" x14ac:dyDescent="0.2">
      <c r="A2026" s="50">
        <f t="array" ref="A2026">+INDEX(Partidas!$A:$J,MATCH('Resultados dashboard'!$B2026,Partidas!$C:$C,0),2)</f>
        <v>46125</v>
      </c>
      <c r="B2026" s="56">
        <f>+IF(COUNTIF($B$2:B2025,B2025)=VLOOKUP(B2025,Partidas!$C:$J,8,0),B2025+1,B2025)</f>
        <v>447</v>
      </c>
      <c r="C2026" s="41" t="str">
        <f t="array" ref="C2026">+INDEX(Partidas!$A:$J,MATCH('Resultados dashboard'!$B2026,Partidas!$C:$C,0),3+COUNTIF($B$2:B2026,'Resultados dashboard'!$B2026))</f>
        <v>Ivo</v>
      </c>
      <c r="D2026" s="54">
        <v>5</v>
      </c>
      <c r="E2026" s="54">
        <v>1</v>
      </c>
      <c r="F2026" s="53"/>
      <c r="G2026" s="54">
        <v>1</v>
      </c>
      <c r="H2026" s="38">
        <f t="shared" si="17"/>
        <v>8</v>
      </c>
      <c r="I2026" s="38">
        <f t="shared" si="18"/>
        <v>3</v>
      </c>
      <c r="J2026" s="55"/>
    </row>
    <row r="2027" spans="1:10" ht="15" customHeight="1" x14ac:dyDescent="0.2">
      <c r="A2027" s="50">
        <f t="array" ref="A2027">+INDEX(Partidas!$A:$J,MATCH('Resultados dashboard'!$B2027,Partidas!$C:$C,0),2)</f>
        <v>46125</v>
      </c>
      <c r="B2027" s="56">
        <f>+IF(COUNTIF($B$2:B2026,B2026)=VLOOKUP(B2026,Partidas!$C:$J,8,0),B2026+1,B2026)</f>
        <v>447</v>
      </c>
      <c r="C2027" s="41" t="str">
        <f t="array" ref="C2027">+INDEX(Partidas!$A:$J,MATCH('Resultados dashboard'!$B2027,Partidas!$C:$C,0),3+COUNTIF($B$2:B2027,'Resultados dashboard'!$B2027))</f>
        <v>Moch</v>
      </c>
      <c r="D2027" s="54">
        <v>8</v>
      </c>
      <c r="E2027" s="54">
        <v>2</v>
      </c>
      <c r="F2027" s="53"/>
      <c r="G2027" s="53"/>
      <c r="H2027" s="38">
        <f t="shared" si="17"/>
        <v>10</v>
      </c>
      <c r="I2027" s="38">
        <f t="shared" si="18"/>
        <v>1</v>
      </c>
      <c r="J2027" s="55"/>
    </row>
    <row r="2028" spans="1:10" ht="15" customHeight="1" x14ac:dyDescent="0.2">
      <c r="A2028" s="50">
        <f t="array" ref="A2028">+INDEX(Partidas!$A:$J,MATCH('Resultados dashboard'!$B2028,Partidas!$C:$C,0),2)</f>
        <v>46125</v>
      </c>
      <c r="B2028" s="56">
        <f>+IF(COUNTIF($B$2:B2027,B2027)=VLOOKUP(B2027,Partidas!$C:$J,8,0),B2027+1,B2027)</f>
        <v>447</v>
      </c>
      <c r="C2028" s="41" t="str">
        <f t="array" ref="C2028">+INDEX(Partidas!$A:$J,MATCH('Resultados dashboard'!$B2028,Partidas!$C:$C,0),3+COUNTIF($B$2:B2028,'Resultados dashboard'!$B2028))</f>
        <v>Hugo</v>
      </c>
      <c r="D2028" s="54">
        <v>8</v>
      </c>
      <c r="E2028" s="53"/>
      <c r="F2028" s="53"/>
      <c r="G2028" s="53"/>
      <c r="H2028" s="38">
        <f t="shared" si="17"/>
        <v>8</v>
      </c>
      <c r="I2028" s="38">
        <f t="shared" si="18"/>
        <v>3</v>
      </c>
      <c r="J2028" s="55"/>
    </row>
    <row r="2029" spans="1:10" ht="15" customHeight="1" x14ac:dyDescent="0.2">
      <c r="A2029" s="50">
        <f t="array" ref="A2029">+INDEX(Partidas!$A:$J,MATCH('Resultados dashboard'!$B2029,Partidas!$C:$C,0),2)</f>
        <v>46125</v>
      </c>
      <c r="B2029" s="56">
        <f>+IF(COUNTIF($B$2:B2028,B2028)=VLOOKUP(B2028,Partidas!$C:$J,8,0),B2028+1,B2028)</f>
        <v>447</v>
      </c>
      <c r="C2029" s="41" t="str">
        <f t="array" ref="C2029">+INDEX(Partidas!$A:$J,MATCH('Resultados dashboard'!$B2029,Partidas!$C:$C,0),3+COUNTIF($B$2:B2029,'Resultados dashboard'!$B2029))</f>
        <v>Gaspa</v>
      </c>
      <c r="D2029" s="54">
        <v>8</v>
      </c>
      <c r="E2029" s="53"/>
      <c r="F2029" s="53"/>
      <c r="G2029" s="53"/>
      <c r="H2029" s="38">
        <f t="shared" si="17"/>
        <v>8</v>
      </c>
      <c r="I2029" s="38">
        <f t="shared" si="18"/>
        <v>3</v>
      </c>
      <c r="J2029" s="55"/>
    </row>
    <row r="2030" spans="1:10" ht="15" customHeight="1" thickBot="1" x14ac:dyDescent="0.25">
      <c r="A2030" s="50">
        <f t="array" ref="A2030">+INDEX(Partidas!$A:$J,MATCH('Resultados dashboard'!$B2030,Partidas!$C:$C,0),2)</f>
        <v>46125</v>
      </c>
      <c r="B2030" s="56">
        <f>+IF(COUNTIF($B$2:B2029,B2029)=VLOOKUP(B2029,Partidas!$C:$J,8,0),B2029+1,B2029)</f>
        <v>447</v>
      </c>
      <c r="C2030" s="41" t="str">
        <f t="array" ref="C2030">+INDEX(Partidas!$A:$J,MATCH('Resultados dashboard'!$B2030,Partidas!$C:$C,0),3+COUNTIF($B$2:B2030,'Resultados dashboard'!$B2030))</f>
        <v>Max</v>
      </c>
      <c r="D2030" s="54">
        <v>7</v>
      </c>
      <c r="E2030" s="53"/>
      <c r="F2030" s="54">
        <v>1</v>
      </c>
      <c r="G2030" s="53"/>
      <c r="H2030" s="38">
        <f t="shared" si="17"/>
        <v>9</v>
      </c>
      <c r="I2030" s="38">
        <f t="shared" si="18"/>
        <v>2</v>
      </c>
      <c r="J2030" s="55"/>
    </row>
    <row r="2031" spans="1:10" ht="15" customHeight="1" thickBot="1" x14ac:dyDescent="0.25">
      <c r="A2031" s="50">
        <f t="array" ref="A2031">+INDEX(Partidas!$A:$J,MATCH('Resultados dashboard'!$B2031,Partidas!$C:$C,0),2)</f>
        <v>46130</v>
      </c>
      <c r="B2031" s="56">
        <f>+IF(COUNTIF($B$2:B2030,B2030)=VLOOKUP(B2030,Partidas!$C:$J,8,0),B2030+1,B2030)</f>
        <v>448</v>
      </c>
      <c r="C2031" s="41" t="str">
        <f t="array" ref="C2031">+INDEX(Partidas!$A:$J,MATCH('Resultados dashboard'!$B2031,Partidas!$C:$C,0),3+COUNTIF($B$2:B2031,'Resultados dashboard'!$B2031))</f>
        <v>Gaspa</v>
      </c>
      <c r="D2031" s="63">
        <v>5</v>
      </c>
      <c r="E2031" s="64">
        <v>1</v>
      </c>
      <c r="F2031" s="65"/>
      <c r="G2031" s="65"/>
      <c r="H2031" s="38">
        <f t="shared" si="17"/>
        <v>6</v>
      </c>
      <c r="I2031" s="38">
        <f t="shared" si="18"/>
        <v>3</v>
      </c>
      <c r="J2031" s="55"/>
    </row>
    <row r="2032" spans="1:10" ht="15" customHeight="1" thickBot="1" x14ac:dyDescent="0.25">
      <c r="A2032" s="50">
        <f t="array" ref="A2032">+INDEX(Partidas!$A:$J,MATCH('Resultados dashboard'!$B2032,Partidas!$C:$C,0),2)</f>
        <v>46130</v>
      </c>
      <c r="B2032" s="56">
        <f>+IF(COUNTIF($B$2:B2031,B2031)=VLOOKUP(B2031,Partidas!$C:$J,8,0),B2031+1,B2031)</f>
        <v>448</v>
      </c>
      <c r="C2032" s="41" t="str">
        <f t="array" ref="C2032">+INDEX(Partidas!$A:$J,MATCH('Resultados dashboard'!$B2032,Partidas!$C:$C,0),3+COUNTIF($B$2:B2032,'Resultados dashboard'!$B2032))</f>
        <v>Gallo</v>
      </c>
      <c r="D2032" s="66">
        <v>5</v>
      </c>
      <c r="E2032" s="67">
        <v>1</v>
      </c>
      <c r="F2032" s="68"/>
      <c r="G2032" s="68"/>
      <c r="H2032" s="38">
        <f t="shared" si="17"/>
        <v>6</v>
      </c>
      <c r="I2032" s="38">
        <f t="shared" si="18"/>
        <v>3</v>
      </c>
      <c r="J2032" s="55"/>
    </row>
    <row r="2033" spans="1:10" ht="15" customHeight="1" thickBot="1" x14ac:dyDescent="0.25">
      <c r="A2033" s="50">
        <f t="array" ref="A2033">+INDEX(Partidas!$A:$J,MATCH('Resultados dashboard'!$B2033,Partidas!$C:$C,0),2)</f>
        <v>46130</v>
      </c>
      <c r="B2033" s="56">
        <f>+IF(COUNTIF($B$2:B2032,B2032)=VLOOKUP(B2032,Partidas!$C:$J,8,0),B2032+1,B2032)</f>
        <v>448</v>
      </c>
      <c r="C2033" s="41" t="str">
        <f t="array" ref="C2033">+INDEX(Partidas!$A:$J,MATCH('Resultados dashboard'!$B2033,Partidas!$C:$C,0),3+COUNTIF($B$2:B2033,'Resultados dashboard'!$B2033))</f>
        <v>Ivo</v>
      </c>
      <c r="D2033" s="66">
        <v>5</v>
      </c>
      <c r="E2033" s="67">
        <v>2</v>
      </c>
      <c r="F2033" s="67">
        <v>1</v>
      </c>
      <c r="G2033" s="68"/>
      <c r="H2033" s="38">
        <f t="shared" si="17"/>
        <v>9</v>
      </c>
      <c r="I2033" s="38">
        <f t="shared" si="18"/>
        <v>2</v>
      </c>
      <c r="J2033" s="55"/>
    </row>
    <row r="2034" spans="1:10" ht="15" customHeight="1" thickBot="1" x14ac:dyDescent="0.25">
      <c r="A2034" s="50">
        <f t="array" ref="A2034">+INDEX(Partidas!$A:$J,MATCH('Resultados dashboard'!$B2034,Partidas!$C:$C,0),2)</f>
        <v>46130</v>
      </c>
      <c r="B2034" s="56">
        <f>+IF(COUNTIF($B$2:B2033,B2033)=VLOOKUP(B2033,Partidas!$C:$J,8,0),B2033+1,B2033)</f>
        <v>448</v>
      </c>
      <c r="C2034" s="41" t="str">
        <f t="array" ref="C2034">+INDEX(Partidas!$A:$J,MATCH('Resultados dashboard'!$B2034,Partidas!$C:$C,0),3+COUNTIF($B$2:B2034,'Resultados dashboard'!$B2034))</f>
        <v>Gasta</v>
      </c>
      <c r="D2034" s="66">
        <v>8</v>
      </c>
      <c r="E2034" s="68"/>
      <c r="F2034" s="68"/>
      <c r="G2034" s="67">
        <v>1</v>
      </c>
      <c r="H2034" s="38">
        <f t="shared" si="17"/>
        <v>10</v>
      </c>
      <c r="I2034" s="38">
        <f t="shared" si="18"/>
        <v>1</v>
      </c>
      <c r="J2034" s="55"/>
    </row>
    <row r="2035" spans="1:10" ht="15" customHeight="1" thickBot="1" x14ac:dyDescent="0.25">
      <c r="A2035" s="50">
        <f t="array" ref="A2035">+INDEX(Partidas!$A:$J,MATCH('Resultados dashboard'!$B2035,Partidas!$C:$C,0),2)</f>
        <v>46130</v>
      </c>
      <c r="B2035" s="56">
        <f>+IF(COUNTIF($B$2:B2034,B2034)=VLOOKUP(B2034,Partidas!$C:$J,8,0),B2034+1,B2034)</f>
        <v>449</v>
      </c>
      <c r="C2035" s="41" t="str">
        <f t="array" ref="C2035">+INDEX(Partidas!$A:$J,MATCH('Resultados dashboard'!$B2035,Partidas!$C:$C,0),3+COUNTIF($B$2:B2035,'Resultados dashboard'!$B2035))</f>
        <v>Ivo</v>
      </c>
      <c r="D2035" s="69">
        <v>5</v>
      </c>
      <c r="E2035" s="70">
        <v>3</v>
      </c>
      <c r="F2035" s="70">
        <v>1</v>
      </c>
      <c r="G2035" s="71"/>
      <c r="H2035" s="38">
        <f t="shared" si="17"/>
        <v>10</v>
      </c>
      <c r="I2035" s="38">
        <f t="shared" si="18"/>
        <v>1</v>
      </c>
      <c r="J2035" s="55"/>
    </row>
    <row r="2036" spans="1:10" ht="15" customHeight="1" thickBot="1" x14ac:dyDescent="0.25">
      <c r="A2036" s="50">
        <f t="array" ref="A2036">+INDEX(Partidas!$A:$J,MATCH('Resultados dashboard'!$B2036,Partidas!$C:$C,0),2)</f>
        <v>46130</v>
      </c>
      <c r="B2036" s="56">
        <f>+IF(COUNTIF($B$2:B2035,B2035)=VLOOKUP(B2035,Partidas!$C:$J,8,0),B2035+1,B2035)</f>
        <v>449</v>
      </c>
      <c r="C2036" s="41" t="str">
        <f t="array" ref="C2036">+INDEX(Partidas!$A:$J,MATCH('Resultados dashboard'!$B2036,Partidas!$C:$C,0),3+COUNTIF($B$2:B2036,'Resultados dashboard'!$B2036))</f>
        <v>Gasta</v>
      </c>
      <c r="D2036" s="69">
        <v>5</v>
      </c>
      <c r="E2036" s="71"/>
      <c r="F2036" s="71"/>
      <c r="G2036" s="71"/>
      <c r="H2036" s="38">
        <f t="shared" si="17"/>
        <v>5</v>
      </c>
      <c r="I2036" s="38">
        <f t="shared" si="18"/>
        <v>3</v>
      </c>
      <c r="J2036" s="55"/>
    </row>
    <row r="2037" spans="1:10" ht="15" customHeight="1" thickBot="1" x14ac:dyDescent="0.25">
      <c r="A2037" s="50">
        <f t="array" ref="A2037">+INDEX(Partidas!$A:$J,MATCH('Resultados dashboard'!$B2037,Partidas!$C:$C,0),2)</f>
        <v>46130</v>
      </c>
      <c r="B2037" s="56">
        <f>+IF(COUNTIF($B$2:B2036,B2036)=VLOOKUP(B2036,Partidas!$C:$J,8,0),B2036+1,B2036)</f>
        <v>449</v>
      </c>
      <c r="C2037" s="41" t="str">
        <f t="array" ref="C2037">+INDEX(Partidas!$A:$J,MATCH('Resultados dashboard'!$B2037,Partidas!$C:$C,0),3+COUNTIF($B$2:B2037,'Resultados dashboard'!$B2037))</f>
        <v>Gaspa</v>
      </c>
      <c r="D2037" s="69">
        <v>5</v>
      </c>
      <c r="E2037" s="71"/>
      <c r="F2037" s="71"/>
      <c r="G2037" s="71"/>
      <c r="H2037" s="38">
        <f t="shared" si="17"/>
        <v>5</v>
      </c>
      <c r="I2037" s="38">
        <f t="shared" si="18"/>
        <v>3</v>
      </c>
      <c r="J2037" s="55"/>
    </row>
    <row r="2038" spans="1:10" ht="15" customHeight="1" thickBot="1" x14ac:dyDescent="0.25">
      <c r="A2038" s="50">
        <f t="array" ref="A2038">+INDEX(Partidas!$A:$J,MATCH('Resultados dashboard'!$B2038,Partidas!$C:$C,0),2)</f>
        <v>46130</v>
      </c>
      <c r="B2038" s="56">
        <f>+IF(COUNTIF($B$2:B2037,B2037)=VLOOKUP(B2037,Partidas!$C:$J,8,0),B2037+1,B2037)</f>
        <v>449</v>
      </c>
      <c r="C2038" s="41" t="str">
        <f t="array" ref="C2038">+INDEX(Partidas!$A:$J,MATCH('Resultados dashboard'!$B2038,Partidas!$C:$C,0),3+COUNTIF($B$2:B2038,'Resultados dashboard'!$B2038))</f>
        <v>Gallo</v>
      </c>
      <c r="D2038" s="69">
        <v>6</v>
      </c>
      <c r="E2038" s="70">
        <v>1</v>
      </c>
      <c r="F2038" s="71"/>
      <c r="G2038" s="71"/>
      <c r="H2038" s="38">
        <f t="shared" si="17"/>
        <v>7</v>
      </c>
      <c r="I2038" s="38">
        <f t="shared" si="18"/>
        <v>2</v>
      </c>
      <c r="J2038" s="55"/>
    </row>
    <row r="2039" spans="1:10" ht="15" customHeight="1" thickBot="1" x14ac:dyDescent="0.25">
      <c r="A2039" s="50">
        <f t="array" ref="A2039">+INDEX(Partidas!$A:$J,MATCH('Resultados dashboard'!$B2039,Partidas!$C:$C,0),2)</f>
        <v>46130</v>
      </c>
      <c r="B2039" s="56">
        <f>+IF(COUNTIF($B$2:B2038,B2038)=VLOOKUP(B2038,Partidas!$C:$J,8,0),B2038+1,B2038)</f>
        <v>450</v>
      </c>
      <c r="C2039" s="41" t="str">
        <f t="array" ref="C2039">+INDEX(Partidas!$A:$J,MATCH('Resultados dashboard'!$B2039,Partidas!$C:$C,0),3+COUNTIF($B$2:B2039,'Resultados dashboard'!$B2039))</f>
        <v>Gaspa</v>
      </c>
      <c r="D2039" s="66">
        <v>5</v>
      </c>
      <c r="E2039" s="67">
        <v>1</v>
      </c>
      <c r="F2039" s="68"/>
      <c r="G2039" s="68"/>
      <c r="H2039" s="38">
        <f t="shared" si="17"/>
        <v>6</v>
      </c>
      <c r="I2039" s="38">
        <f t="shared" si="18"/>
        <v>2</v>
      </c>
      <c r="J2039" s="55"/>
    </row>
    <row r="2040" spans="1:10" ht="15" customHeight="1" thickBot="1" x14ac:dyDescent="0.25">
      <c r="A2040" s="50">
        <f t="array" ref="A2040">+INDEX(Partidas!$A:$J,MATCH('Resultados dashboard'!$B2040,Partidas!$C:$C,0),2)</f>
        <v>46130</v>
      </c>
      <c r="B2040" s="56">
        <f>+IF(COUNTIF($B$2:B2039,B2039)=VLOOKUP(B2039,Partidas!$C:$J,8,0),B2039+1,B2039)</f>
        <v>450</v>
      </c>
      <c r="C2040" s="41" t="str">
        <f t="array" ref="C2040">+INDEX(Partidas!$A:$J,MATCH('Resultados dashboard'!$B2040,Partidas!$C:$C,0),3+COUNTIF($B$2:B2040,'Resultados dashboard'!$B2040))</f>
        <v>Gasta</v>
      </c>
      <c r="D2040" s="66">
        <v>5</v>
      </c>
      <c r="E2040" s="68"/>
      <c r="F2040" s="68"/>
      <c r="G2040" s="68"/>
      <c r="H2040" s="38">
        <f t="shared" si="17"/>
        <v>5</v>
      </c>
      <c r="I2040" s="38">
        <f t="shared" si="18"/>
        <v>4</v>
      </c>
      <c r="J2040" s="55"/>
    </row>
    <row r="2041" spans="1:10" ht="15" customHeight="1" thickBot="1" x14ac:dyDescent="0.25">
      <c r="A2041" s="50">
        <f t="array" ref="A2041">+INDEX(Partidas!$A:$J,MATCH('Resultados dashboard'!$B2041,Partidas!$C:$C,0),2)</f>
        <v>46130</v>
      </c>
      <c r="B2041" s="56">
        <f>+IF(COUNTIF($B$2:B2040,B2040)=VLOOKUP(B2040,Partidas!$C:$J,8,0),B2040+1,B2040)</f>
        <v>450</v>
      </c>
      <c r="C2041" s="41" t="str">
        <f t="array" ref="C2041">+INDEX(Partidas!$A:$J,MATCH('Resultados dashboard'!$B2041,Partidas!$C:$C,0),3+COUNTIF($B$2:B2041,'Resultados dashboard'!$B2041))</f>
        <v>Ivo</v>
      </c>
      <c r="D2041" s="66">
        <v>4</v>
      </c>
      <c r="E2041" s="68"/>
      <c r="F2041" s="68"/>
      <c r="G2041" s="67">
        <v>1</v>
      </c>
      <c r="H2041" s="38">
        <f t="shared" si="17"/>
        <v>6</v>
      </c>
      <c r="I2041" s="38">
        <f t="shared" si="18"/>
        <v>2</v>
      </c>
      <c r="J2041" s="55"/>
    </row>
    <row r="2042" spans="1:10" ht="15" customHeight="1" thickBot="1" x14ac:dyDescent="0.25">
      <c r="A2042" s="50">
        <f t="array" ref="A2042">+INDEX(Partidas!$A:$J,MATCH('Resultados dashboard'!$B2042,Partidas!$C:$C,0),2)</f>
        <v>46130</v>
      </c>
      <c r="B2042" s="56">
        <f>+IF(COUNTIF($B$2:B2041,B2041)=VLOOKUP(B2041,Partidas!$C:$J,8,0),B2041+1,B2041)</f>
        <v>450</v>
      </c>
      <c r="C2042" s="41" t="str">
        <f t="array" ref="C2042">+INDEX(Partidas!$A:$J,MATCH('Resultados dashboard'!$B2042,Partidas!$C:$C,0),3+COUNTIF($B$2:B2042,'Resultados dashboard'!$B2042))</f>
        <v>Gallo</v>
      </c>
      <c r="D2042" s="66">
        <v>8</v>
      </c>
      <c r="E2042" s="67">
        <v>2</v>
      </c>
      <c r="F2042" s="68"/>
      <c r="G2042" s="68"/>
      <c r="H2042" s="38">
        <f t="shared" ref="H2042:H2075" si="19">+SUM(D2042:E2042)+2*SUM(F2042:G2042)+J2042</f>
        <v>10</v>
      </c>
      <c r="I2042" s="38">
        <f t="shared" si="18"/>
        <v>1</v>
      </c>
      <c r="J2042" s="55"/>
    </row>
    <row r="2043" spans="1:10" ht="15" customHeight="1" thickBot="1" x14ac:dyDescent="0.25">
      <c r="A2043" s="50">
        <f t="array" ref="A2043">+INDEX(Partidas!$A:$J,MATCH('Resultados dashboard'!$B2043,Partidas!$C:$C,0),2)</f>
        <v>46130</v>
      </c>
      <c r="B2043" s="56">
        <f>+IF(COUNTIF($B$2:B2042,B2042)=VLOOKUP(B2042,Partidas!$C:$J,8,0),B2042+1,B2042)</f>
        <v>451</v>
      </c>
      <c r="C2043" s="41" t="str">
        <f t="array" ref="C2043">+INDEX(Partidas!$A:$J,MATCH('Resultados dashboard'!$B2043,Partidas!$C:$C,0),3+COUNTIF($B$2:B2043,'Resultados dashboard'!$B2043))</f>
        <v>Gallo</v>
      </c>
      <c r="D2043" s="69">
        <v>6</v>
      </c>
      <c r="E2043" s="70">
        <v>2</v>
      </c>
      <c r="F2043" s="70">
        <v>1</v>
      </c>
      <c r="G2043" s="71"/>
      <c r="H2043" s="38">
        <f t="shared" si="19"/>
        <v>10</v>
      </c>
      <c r="I2043" s="38">
        <f t="shared" si="18"/>
        <v>1</v>
      </c>
      <c r="J2043" s="55"/>
    </row>
    <row r="2044" spans="1:10" ht="15" customHeight="1" thickBot="1" x14ac:dyDescent="0.25">
      <c r="A2044" s="50">
        <f t="array" ref="A2044">+INDEX(Partidas!$A:$J,MATCH('Resultados dashboard'!$B2044,Partidas!$C:$C,0),2)</f>
        <v>46130</v>
      </c>
      <c r="B2044" s="56">
        <f>+IF(COUNTIF($B$2:B2043,B2043)=VLOOKUP(B2043,Partidas!$C:$J,8,0),B2043+1,B2043)</f>
        <v>451</v>
      </c>
      <c r="C2044" s="41" t="str">
        <f t="array" ref="C2044">+INDEX(Partidas!$A:$J,MATCH('Resultados dashboard'!$B2044,Partidas!$C:$C,0),3+COUNTIF($B$2:B2044,'Resultados dashboard'!$B2044))</f>
        <v>Gaspa</v>
      </c>
      <c r="D2044" s="69">
        <v>5</v>
      </c>
      <c r="E2044" s="70">
        <v>1</v>
      </c>
      <c r="F2044" s="71"/>
      <c r="G2044" s="71"/>
      <c r="H2044" s="38">
        <f t="shared" si="19"/>
        <v>6</v>
      </c>
      <c r="I2044" s="38">
        <f t="shared" si="18"/>
        <v>3</v>
      </c>
      <c r="J2044" s="55"/>
    </row>
    <row r="2045" spans="1:10" ht="15" customHeight="1" thickBot="1" x14ac:dyDescent="0.25">
      <c r="A2045" s="50">
        <f t="array" ref="A2045">+INDEX(Partidas!$A:$J,MATCH('Resultados dashboard'!$B2045,Partidas!$C:$C,0),2)</f>
        <v>46130</v>
      </c>
      <c r="B2045" s="56">
        <f>+IF(COUNTIF($B$2:B2044,B2044)=VLOOKUP(B2044,Partidas!$C:$J,8,0),B2044+1,B2044)</f>
        <v>451</v>
      </c>
      <c r="C2045" s="41" t="str">
        <f t="array" ref="C2045">+INDEX(Partidas!$A:$J,MATCH('Resultados dashboard'!$B2045,Partidas!$C:$C,0),3+COUNTIF($B$2:B2045,'Resultados dashboard'!$B2045))</f>
        <v>Gasta</v>
      </c>
      <c r="D2045" s="69">
        <v>6</v>
      </c>
      <c r="E2045" s="71"/>
      <c r="F2045" s="71"/>
      <c r="G2045" s="71"/>
      <c r="H2045" s="38">
        <f t="shared" si="19"/>
        <v>6</v>
      </c>
      <c r="I2045" s="38">
        <f t="shared" si="18"/>
        <v>3</v>
      </c>
      <c r="J2045" s="55"/>
    </row>
    <row r="2046" spans="1:10" ht="15" customHeight="1" thickBot="1" x14ac:dyDescent="0.25">
      <c r="A2046" s="50">
        <f t="array" ref="A2046">+INDEX(Partidas!$A:$J,MATCH('Resultados dashboard'!$B2046,Partidas!$C:$C,0),2)</f>
        <v>46130</v>
      </c>
      <c r="B2046" s="56">
        <f>+IF(COUNTIF($B$2:B2045,B2045)=VLOOKUP(B2045,Partidas!$C:$J,8,0),B2045+1,B2045)</f>
        <v>451</v>
      </c>
      <c r="C2046" s="41" t="str">
        <f t="array" ref="C2046">+INDEX(Partidas!$A:$J,MATCH('Resultados dashboard'!$B2046,Partidas!$C:$C,0),3+COUNTIF($B$2:B2046,'Resultados dashboard'!$B2046))</f>
        <v>Ivo</v>
      </c>
      <c r="D2046" s="69">
        <v>5</v>
      </c>
      <c r="E2046" s="70">
        <v>2</v>
      </c>
      <c r="F2046" s="71"/>
      <c r="G2046" s="70">
        <v>1</v>
      </c>
      <c r="H2046" s="38">
        <f t="shared" si="19"/>
        <v>9</v>
      </c>
      <c r="I2046" s="38">
        <f t="shared" si="18"/>
        <v>2</v>
      </c>
      <c r="J2046" s="55"/>
    </row>
    <row r="2047" spans="1:10" ht="15" customHeight="1" thickBot="1" x14ac:dyDescent="0.25">
      <c r="A2047" s="50">
        <f t="array" ref="A2047">+INDEX(Partidas!$A:$J,MATCH('Resultados dashboard'!$B2047,Partidas!$C:$C,0),2)</f>
        <v>46130</v>
      </c>
      <c r="B2047" s="56">
        <f>+IF(COUNTIF($B$2:B2046,B2046)=VLOOKUP(B2046,Partidas!$C:$J,8,0),B2046+1,B2046)</f>
        <v>452</v>
      </c>
      <c r="C2047" s="41" t="str">
        <f t="array" ref="C2047">+INDEX(Partidas!$A:$J,MATCH('Resultados dashboard'!$B2047,Partidas!$C:$C,0),3+COUNTIF($B$2:B2047,'Resultados dashboard'!$B2047))</f>
        <v>Gasta</v>
      </c>
      <c r="D2047" s="66">
        <v>8</v>
      </c>
      <c r="E2047" s="68"/>
      <c r="F2047" s="67">
        <v>1</v>
      </c>
      <c r="G2047" s="68"/>
      <c r="H2047" s="38">
        <f t="shared" si="19"/>
        <v>10</v>
      </c>
      <c r="I2047" s="38">
        <f t="shared" si="18"/>
        <v>1</v>
      </c>
      <c r="J2047" s="55"/>
    </row>
    <row r="2048" spans="1:10" ht="15" customHeight="1" thickBot="1" x14ac:dyDescent="0.25">
      <c r="A2048" s="50">
        <f t="array" ref="A2048">+INDEX(Partidas!$A:$J,MATCH('Resultados dashboard'!$B2048,Partidas!$C:$C,0),2)</f>
        <v>46130</v>
      </c>
      <c r="B2048" s="56">
        <f>+IF(COUNTIF($B$2:B2047,B2047)=VLOOKUP(B2047,Partidas!$C:$J,8,0),B2047+1,B2047)</f>
        <v>452</v>
      </c>
      <c r="C2048" s="41" t="str">
        <f t="array" ref="C2048">+INDEX(Partidas!$A:$J,MATCH('Resultados dashboard'!$B2048,Partidas!$C:$C,0),3+COUNTIF($B$2:B2048,'Resultados dashboard'!$B2048))</f>
        <v>Gaspa</v>
      </c>
      <c r="D2048" s="66">
        <v>7</v>
      </c>
      <c r="E2048" s="68"/>
      <c r="F2048" s="68"/>
      <c r="G2048" s="68"/>
      <c r="H2048" s="38">
        <f t="shared" si="19"/>
        <v>7</v>
      </c>
      <c r="I2048" s="38">
        <f t="shared" si="18"/>
        <v>3</v>
      </c>
      <c r="J2048" s="55"/>
    </row>
    <row r="2049" spans="1:10" ht="15" customHeight="1" thickBot="1" x14ac:dyDescent="0.25">
      <c r="A2049" s="50">
        <f t="array" ref="A2049">+INDEX(Partidas!$A:$J,MATCH('Resultados dashboard'!$B2049,Partidas!$C:$C,0),2)</f>
        <v>46130</v>
      </c>
      <c r="B2049" s="56">
        <f>+IF(COUNTIF($B$2:B2048,B2048)=VLOOKUP(B2048,Partidas!$C:$J,8,0),B2048+1,B2048)</f>
        <v>452</v>
      </c>
      <c r="C2049" s="41" t="str">
        <f t="array" ref="C2049">+INDEX(Partidas!$A:$J,MATCH('Resultados dashboard'!$B2049,Partidas!$C:$C,0),3+COUNTIF($B$2:B2049,'Resultados dashboard'!$B2049))</f>
        <v>Gallo</v>
      </c>
      <c r="D2049" s="66">
        <v>6</v>
      </c>
      <c r="E2049" s="67">
        <v>1</v>
      </c>
      <c r="F2049" s="68"/>
      <c r="G2049" s="67">
        <v>1</v>
      </c>
      <c r="H2049" s="38">
        <f t="shared" si="19"/>
        <v>9</v>
      </c>
      <c r="I2049" s="38">
        <f t="shared" si="18"/>
        <v>2</v>
      </c>
      <c r="J2049" s="55"/>
    </row>
    <row r="2050" spans="1:10" ht="15" customHeight="1" thickBot="1" x14ac:dyDescent="0.25">
      <c r="A2050" s="50">
        <f t="array" ref="A2050">+INDEX(Partidas!$A:$J,MATCH('Resultados dashboard'!$B2050,Partidas!$C:$C,0),2)</f>
        <v>46130</v>
      </c>
      <c r="B2050" s="56">
        <f>+IF(COUNTIF($B$2:B2049,B2049)=VLOOKUP(B2049,Partidas!$C:$J,8,0),B2049+1,B2049)</f>
        <v>452</v>
      </c>
      <c r="C2050" s="41" t="str">
        <f t="array" ref="C2050">+INDEX(Partidas!$A:$J,MATCH('Resultados dashboard'!$B2050,Partidas!$C:$C,0),3+COUNTIF($B$2:B2050,'Resultados dashboard'!$B2050))</f>
        <v>Ivo</v>
      </c>
      <c r="D2050" s="66">
        <v>5</v>
      </c>
      <c r="E2050" s="67">
        <v>2</v>
      </c>
      <c r="F2050" s="68"/>
      <c r="G2050" s="68"/>
      <c r="H2050" s="38">
        <f t="shared" si="19"/>
        <v>7</v>
      </c>
      <c r="I2050" s="38">
        <f t="shared" si="18"/>
        <v>3</v>
      </c>
      <c r="J2050" s="55"/>
    </row>
    <row r="2051" spans="1:10" ht="15" customHeight="1" x14ac:dyDescent="0.2">
      <c r="A2051" s="50" t="e">
        <f t="array" ref="A2051">+INDEX(Partidas!$A:$J,MATCH('Resultados dashboard'!$B2051,Partidas!$C:$C,0),2)</f>
        <v>#N/A</v>
      </c>
      <c r="B2051" s="56">
        <f>+IF(COUNTIF($B$2:B2050,B2050)=VLOOKUP(B2050,Partidas!$C:$J,8,0),B2050+1,B2050)</f>
        <v>453</v>
      </c>
      <c r="C2051" s="41" t="e">
        <f t="array" ref="C2051">+INDEX(Partidas!$A:$J,MATCH('Resultados dashboard'!$B2051,Partidas!$C:$C,0),3+COUNTIF($B$2:B2051,'Resultados dashboard'!$B2051))</f>
        <v>#N/A</v>
      </c>
      <c r="D2051" s="53"/>
      <c r="E2051" s="53"/>
      <c r="F2051" s="53"/>
      <c r="G2051" s="53"/>
      <c r="H2051" s="38">
        <f t="shared" si="19"/>
        <v>0</v>
      </c>
      <c r="I2051" s="38">
        <f t="shared" si="18"/>
        <v>1</v>
      </c>
      <c r="J2051" s="55"/>
    </row>
    <row r="2052" spans="1:10" ht="15" customHeight="1" x14ac:dyDescent="0.2">
      <c r="A2052" s="50" t="e">
        <f t="array" ref="A2052">+INDEX(Partidas!$A:$J,MATCH('Resultados dashboard'!$B2052,Partidas!$C:$C,0),2)</f>
        <v>#N/A</v>
      </c>
      <c r="B2052" s="56" t="e">
        <f>+IF(COUNTIF($B$2:B2051,B2051)=VLOOKUP(B2051,Partidas!$C:$J,8,0),B2051+1,B2051)</f>
        <v>#N/A</v>
      </c>
      <c r="C2052" s="41" t="e">
        <f t="array" ref="C2052">+INDEX(Partidas!$A:$J,MATCH('Resultados dashboard'!$B2052,Partidas!$C:$C,0),3+COUNTIF($B$2:B2052,'Resultados dashboard'!$B2052))</f>
        <v>#N/A</v>
      </c>
      <c r="D2052" s="53"/>
      <c r="E2052" s="53"/>
      <c r="F2052" s="53"/>
      <c r="G2052" s="53"/>
      <c r="H2052" s="38">
        <f t="shared" si="19"/>
        <v>0</v>
      </c>
      <c r="I2052" s="38">
        <f t="shared" si="18"/>
        <v>1</v>
      </c>
      <c r="J2052" s="55"/>
    </row>
    <row r="2053" spans="1:10" ht="15" customHeight="1" x14ac:dyDescent="0.2">
      <c r="A2053" s="50" t="e">
        <f t="array" ref="A2053">+INDEX(Partidas!$A:$J,MATCH('Resultados dashboard'!$B2053,Partidas!$C:$C,0),2)</f>
        <v>#N/A</v>
      </c>
      <c r="B2053" s="56" t="e">
        <f>+IF(COUNTIF($B$2:B2052,B2052)=VLOOKUP(B2052,Partidas!$C:$J,8,0),B2052+1,B2052)</f>
        <v>#N/A</v>
      </c>
      <c r="C2053" s="41" t="e">
        <f t="array" ref="C2053">+INDEX(Partidas!$A:$J,MATCH('Resultados dashboard'!$B2053,Partidas!$C:$C,0),3+COUNTIF($B$2:B2053,'Resultados dashboard'!$B2053))</f>
        <v>#N/A</v>
      </c>
      <c r="D2053" s="53"/>
      <c r="E2053" s="53"/>
      <c r="F2053" s="53"/>
      <c r="G2053" s="53"/>
      <c r="H2053" s="38">
        <f t="shared" si="19"/>
        <v>0</v>
      </c>
      <c r="I2053" s="38">
        <f t="shared" si="18"/>
        <v>1</v>
      </c>
      <c r="J2053" s="55"/>
    </row>
    <row r="2054" spans="1:10" ht="15" customHeight="1" x14ac:dyDescent="0.2">
      <c r="A2054" s="50" t="e">
        <f t="array" ref="A2054">+INDEX(Partidas!$A:$J,MATCH('Resultados dashboard'!$B2054,Partidas!$C:$C,0),2)</f>
        <v>#N/A</v>
      </c>
      <c r="B2054" s="56" t="e">
        <f>+IF(COUNTIF($B$2:B2053,B2053)=VLOOKUP(B2053,Partidas!$C:$J,8,0),B2053+1,B2053)</f>
        <v>#N/A</v>
      </c>
      <c r="C2054" s="41" t="e">
        <f t="array" ref="C2054">+INDEX(Partidas!$A:$J,MATCH('Resultados dashboard'!$B2054,Partidas!$C:$C,0),3+COUNTIF($B$2:B2054,'Resultados dashboard'!$B2054))</f>
        <v>#N/A</v>
      </c>
      <c r="D2054" s="53"/>
      <c r="E2054" s="53"/>
      <c r="F2054" s="53"/>
      <c r="G2054" s="53"/>
      <c r="H2054" s="38">
        <f t="shared" si="19"/>
        <v>0</v>
      </c>
      <c r="I2054" s="38">
        <f t="shared" si="18"/>
        <v>1</v>
      </c>
      <c r="J2054" s="55"/>
    </row>
    <row r="2055" spans="1:10" ht="15" customHeight="1" x14ac:dyDescent="0.2">
      <c r="A2055" s="50" t="e">
        <f t="array" ref="A2055">+INDEX(Partidas!$A:$J,MATCH('Resultados dashboard'!$B2055,Partidas!$C:$C,0),2)</f>
        <v>#N/A</v>
      </c>
      <c r="B2055" s="56" t="e">
        <f>+IF(COUNTIF($B$2:B2054,B2054)=VLOOKUP(B2054,Partidas!$C:$J,8,0),B2054+1,B2054)</f>
        <v>#N/A</v>
      </c>
      <c r="C2055" s="41" t="e">
        <f t="array" ref="C2055">+INDEX(Partidas!$A:$J,MATCH('Resultados dashboard'!$B2055,Partidas!$C:$C,0),3+COUNTIF($B$2:B2055,'Resultados dashboard'!$B2055))</f>
        <v>#N/A</v>
      </c>
      <c r="D2055" s="53"/>
      <c r="E2055" s="53"/>
      <c r="F2055" s="53"/>
      <c r="G2055" s="53"/>
      <c r="H2055" s="38">
        <f t="shared" si="19"/>
        <v>0</v>
      </c>
      <c r="I2055" s="38">
        <f t="shared" si="18"/>
        <v>1</v>
      </c>
      <c r="J2055" s="55"/>
    </row>
    <row r="2056" spans="1:10" ht="15" customHeight="1" x14ac:dyDescent="0.2">
      <c r="A2056" s="50" t="e">
        <f t="array" ref="A2056">+INDEX(Partidas!$A:$J,MATCH('Resultados dashboard'!$B2056,Partidas!$C:$C,0),2)</f>
        <v>#N/A</v>
      </c>
      <c r="B2056" s="56" t="e">
        <f>+IF(COUNTIF($B$2:B2055,B2055)=VLOOKUP(B2055,Partidas!$C:$J,8,0),B2055+1,B2055)</f>
        <v>#N/A</v>
      </c>
      <c r="C2056" s="41" t="e">
        <f t="array" ref="C2056">+INDEX(Partidas!$A:$J,MATCH('Resultados dashboard'!$B2056,Partidas!$C:$C,0),3+COUNTIF($B$2:B2056,'Resultados dashboard'!$B2056))</f>
        <v>#N/A</v>
      </c>
      <c r="D2056" s="53"/>
      <c r="E2056" s="53"/>
      <c r="F2056" s="53"/>
      <c r="G2056" s="53"/>
      <c r="H2056" s="38">
        <f t="shared" si="19"/>
        <v>0</v>
      </c>
      <c r="I2056" s="38">
        <f t="shared" si="18"/>
        <v>1</v>
      </c>
      <c r="J2056" s="55"/>
    </row>
    <row r="2057" spans="1:10" ht="15" customHeight="1" x14ac:dyDescent="0.2">
      <c r="A2057" s="50" t="e">
        <f t="array" ref="A2057">+INDEX(Partidas!$A:$J,MATCH('Resultados dashboard'!$B2057,Partidas!$C:$C,0),2)</f>
        <v>#N/A</v>
      </c>
      <c r="B2057" s="56" t="e">
        <f>+IF(COUNTIF($B$2:B2056,B2056)=VLOOKUP(B2056,Partidas!$C:$J,8,0),B2056+1,B2056)</f>
        <v>#N/A</v>
      </c>
      <c r="C2057" s="41" t="e">
        <f t="array" ref="C2057">+INDEX(Partidas!$A:$J,MATCH('Resultados dashboard'!$B2057,Partidas!$C:$C,0),3+COUNTIF($B$2:B2057,'Resultados dashboard'!$B2057))</f>
        <v>#N/A</v>
      </c>
      <c r="D2057" s="53"/>
      <c r="E2057" s="53"/>
      <c r="F2057" s="53"/>
      <c r="G2057" s="53"/>
      <c r="H2057" s="38">
        <f t="shared" si="19"/>
        <v>0</v>
      </c>
      <c r="I2057" s="38">
        <f t="shared" si="18"/>
        <v>1</v>
      </c>
      <c r="J2057" s="55"/>
    </row>
    <row r="2058" spans="1:10" ht="15" customHeight="1" x14ac:dyDescent="0.2">
      <c r="A2058" s="50" t="e">
        <f t="array" ref="A2058">+INDEX(Partidas!$A:$J,MATCH('Resultados dashboard'!$B2058,Partidas!$C:$C,0),2)</f>
        <v>#N/A</v>
      </c>
      <c r="B2058" s="56" t="e">
        <f>+IF(COUNTIF($B$2:B2057,B2057)=VLOOKUP(B2057,Partidas!$C:$J,8,0),B2057+1,B2057)</f>
        <v>#N/A</v>
      </c>
      <c r="C2058" s="41" t="e">
        <f t="array" ref="C2058">+INDEX(Partidas!$A:$J,MATCH('Resultados dashboard'!$B2058,Partidas!$C:$C,0),3+COUNTIF($B$2:B2058,'Resultados dashboard'!$B2058))</f>
        <v>#N/A</v>
      </c>
      <c r="D2058" s="53"/>
      <c r="E2058" s="53"/>
      <c r="F2058" s="53"/>
      <c r="G2058" s="53"/>
      <c r="H2058" s="38">
        <f t="shared" si="19"/>
        <v>0</v>
      </c>
      <c r="I2058" s="38">
        <f t="shared" si="18"/>
        <v>1</v>
      </c>
      <c r="J2058" s="55"/>
    </row>
    <row r="2059" spans="1:10" ht="15" customHeight="1" x14ac:dyDescent="0.2">
      <c r="A2059" s="50" t="e">
        <f t="array" ref="A2059">+INDEX(Partidas!$A:$J,MATCH('Resultados dashboard'!$B2059,Partidas!$C:$C,0),2)</f>
        <v>#N/A</v>
      </c>
      <c r="B2059" s="56" t="e">
        <f>+IF(COUNTIF($B$2:B2058,B2058)=VLOOKUP(B2058,Partidas!$C:$J,8,0),B2058+1,B2058)</f>
        <v>#N/A</v>
      </c>
      <c r="C2059" s="41" t="e">
        <f t="array" ref="C2059">+INDEX(Partidas!$A:$J,MATCH('Resultados dashboard'!$B2059,Partidas!$C:$C,0),3+COUNTIF($B$2:B2059,'Resultados dashboard'!$B2059))</f>
        <v>#N/A</v>
      </c>
      <c r="D2059" s="53"/>
      <c r="E2059" s="53"/>
      <c r="F2059" s="53"/>
      <c r="G2059" s="53"/>
      <c r="H2059" s="38">
        <f t="shared" si="19"/>
        <v>0</v>
      </c>
      <c r="I2059" s="38">
        <f t="shared" si="18"/>
        <v>1</v>
      </c>
      <c r="J2059" s="55"/>
    </row>
    <row r="2060" spans="1:10" ht="15" customHeight="1" x14ac:dyDescent="0.2">
      <c r="A2060" s="50" t="e">
        <f t="array" ref="A2060">+INDEX(Partidas!$A:$J,MATCH('Resultados dashboard'!$B2060,Partidas!$C:$C,0),2)</f>
        <v>#N/A</v>
      </c>
      <c r="B2060" s="56" t="e">
        <f>+IF(COUNTIF($B$2:B2059,B2059)=VLOOKUP(B2059,Partidas!$C:$J,8,0),B2059+1,B2059)</f>
        <v>#N/A</v>
      </c>
      <c r="C2060" s="41" t="e">
        <f t="array" ref="C2060">+INDEX(Partidas!$A:$J,MATCH('Resultados dashboard'!$B2060,Partidas!$C:$C,0),3+COUNTIF($B$2:B2060,'Resultados dashboard'!$B2060))</f>
        <v>#N/A</v>
      </c>
      <c r="D2060" s="53"/>
      <c r="E2060" s="53"/>
      <c r="F2060" s="53"/>
      <c r="G2060" s="53"/>
      <c r="H2060" s="38">
        <f t="shared" si="19"/>
        <v>0</v>
      </c>
      <c r="I2060" s="38">
        <f t="shared" si="18"/>
        <v>1</v>
      </c>
      <c r="J2060" s="55"/>
    </row>
    <row r="2061" spans="1:10" ht="15" customHeight="1" x14ac:dyDescent="0.2">
      <c r="A2061" s="50" t="e">
        <f t="array" ref="A2061">+INDEX(Partidas!$A:$J,MATCH('Resultados dashboard'!$B2061,Partidas!$C:$C,0),2)</f>
        <v>#N/A</v>
      </c>
      <c r="B2061" s="56" t="e">
        <f>+IF(COUNTIF($B$2:B2060,B2060)=VLOOKUP(B2060,Partidas!$C:$J,8,0),B2060+1,B2060)</f>
        <v>#N/A</v>
      </c>
      <c r="C2061" s="41" t="e">
        <f t="array" ref="C2061">+INDEX(Partidas!$A:$J,MATCH('Resultados dashboard'!$B2061,Partidas!$C:$C,0),3+COUNTIF($B$2:B2061,'Resultados dashboard'!$B2061))</f>
        <v>#N/A</v>
      </c>
      <c r="D2061" s="53"/>
      <c r="E2061" s="53"/>
      <c r="F2061" s="53"/>
      <c r="G2061" s="53"/>
      <c r="H2061" s="38">
        <f t="shared" si="19"/>
        <v>0</v>
      </c>
      <c r="I2061" s="38">
        <f t="shared" si="18"/>
        <v>1</v>
      </c>
      <c r="J2061" s="55"/>
    </row>
    <row r="2062" spans="1:10" ht="15" customHeight="1" x14ac:dyDescent="0.2">
      <c r="A2062" s="50" t="e">
        <f t="array" ref="A2062">+INDEX(Partidas!$A:$J,MATCH('Resultados dashboard'!$B2062,Partidas!$C:$C,0),2)</f>
        <v>#N/A</v>
      </c>
      <c r="B2062" s="56" t="e">
        <f>+IF(COUNTIF($B$2:B2061,B2061)=VLOOKUP(B2061,Partidas!$C:$J,8,0),B2061+1,B2061)</f>
        <v>#N/A</v>
      </c>
      <c r="C2062" s="41" t="e">
        <f t="array" ref="C2062">+INDEX(Partidas!$A:$J,MATCH('Resultados dashboard'!$B2062,Partidas!$C:$C,0),3+COUNTIF($B$2:B2062,'Resultados dashboard'!$B2062))</f>
        <v>#N/A</v>
      </c>
      <c r="D2062" s="53"/>
      <c r="E2062" s="53"/>
      <c r="F2062" s="53"/>
      <c r="G2062" s="53"/>
      <c r="H2062" s="38">
        <f t="shared" si="19"/>
        <v>0</v>
      </c>
      <c r="I2062" s="38">
        <f t="shared" si="18"/>
        <v>1</v>
      </c>
      <c r="J2062" s="55"/>
    </row>
    <row r="2063" spans="1:10" ht="15" customHeight="1" x14ac:dyDescent="0.2">
      <c r="A2063" s="50" t="e">
        <f t="array" ref="A2063">+INDEX(Partidas!$A:$J,MATCH('Resultados dashboard'!$B2063,Partidas!$C:$C,0),2)</f>
        <v>#N/A</v>
      </c>
      <c r="B2063" s="56" t="e">
        <f>+IF(COUNTIF($B$2:B2062,B2062)=VLOOKUP(B2062,Partidas!$C:$J,8,0),B2062+1,B2062)</f>
        <v>#N/A</v>
      </c>
      <c r="C2063" s="41" t="e">
        <f t="array" ref="C2063">+INDEX(Partidas!$A:$J,MATCH('Resultados dashboard'!$B2063,Partidas!$C:$C,0),3+COUNTIF($B$2:B2063,'Resultados dashboard'!$B2063))</f>
        <v>#N/A</v>
      </c>
      <c r="D2063" s="53"/>
      <c r="E2063" s="53"/>
      <c r="F2063" s="53"/>
      <c r="G2063" s="53"/>
      <c r="H2063" s="38">
        <f t="shared" si="19"/>
        <v>0</v>
      </c>
      <c r="I2063" s="38">
        <f t="shared" si="18"/>
        <v>1</v>
      </c>
      <c r="J2063" s="55"/>
    </row>
    <row r="2064" spans="1:10" ht="15" customHeight="1" x14ac:dyDescent="0.2">
      <c r="A2064" s="50" t="e">
        <f t="array" ref="A2064">+INDEX(Partidas!$A:$J,MATCH('Resultados dashboard'!$B2064,Partidas!$C:$C,0),2)</f>
        <v>#N/A</v>
      </c>
      <c r="B2064" s="56" t="e">
        <f>+IF(COUNTIF($B$2:B2063,B2063)=VLOOKUP(B2063,Partidas!$C:$J,8,0),B2063+1,B2063)</f>
        <v>#N/A</v>
      </c>
      <c r="C2064" s="41" t="e">
        <f t="array" ref="C2064">+INDEX(Partidas!$A:$J,MATCH('Resultados dashboard'!$B2064,Partidas!$C:$C,0),3+COUNTIF($B$2:B2064,'Resultados dashboard'!$B2064))</f>
        <v>#N/A</v>
      </c>
      <c r="D2064" s="53"/>
      <c r="E2064" s="53"/>
      <c r="F2064" s="53"/>
      <c r="G2064" s="53"/>
      <c r="H2064" s="38">
        <f t="shared" si="19"/>
        <v>0</v>
      </c>
      <c r="I2064" s="38">
        <f t="shared" si="18"/>
        <v>1</v>
      </c>
      <c r="J2064" s="55"/>
    </row>
    <row r="2065" spans="1:10" ht="15" customHeight="1" x14ac:dyDescent="0.2">
      <c r="A2065" s="50" t="e">
        <f t="array" ref="A2065">+INDEX(Partidas!$A:$J,MATCH('Resultados dashboard'!$B2065,Partidas!$C:$C,0),2)</f>
        <v>#N/A</v>
      </c>
      <c r="B2065" s="56" t="e">
        <f>+IF(COUNTIF($B$2:B2064,B2064)=VLOOKUP(B2064,Partidas!$C:$J,8,0),B2064+1,B2064)</f>
        <v>#N/A</v>
      </c>
      <c r="C2065" s="41" t="e">
        <f t="array" ref="C2065">+INDEX(Partidas!$A:$J,MATCH('Resultados dashboard'!$B2065,Partidas!$C:$C,0),3+COUNTIF($B$2:B2065,'Resultados dashboard'!$B2065))</f>
        <v>#N/A</v>
      </c>
      <c r="D2065" s="53"/>
      <c r="E2065" s="53"/>
      <c r="F2065" s="53"/>
      <c r="G2065" s="53"/>
      <c r="H2065" s="38">
        <f t="shared" si="19"/>
        <v>0</v>
      </c>
      <c r="I2065" s="38">
        <f t="shared" si="18"/>
        <v>1</v>
      </c>
      <c r="J2065" s="55"/>
    </row>
    <row r="2066" spans="1:10" ht="15" customHeight="1" x14ac:dyDescent="0.2">
      <c r="A2066" s="50" t="e">
        <f t="array" ref="A2066">+INDEX(Partidas!$A:$J,MATCH('Resultados dashboard'!$B2066,Partidas!$C:$C,0),2)</f>
        <v>#N/A</v>
      </c>
      <c r="B2066" s="56" t="e">
        <f>+IF(COUNTIF($B$2:B2065,B2065)=VLOOKUP(B2065,Partidas!$C:$J,8,0),B2065+1,B2065)</f>
        <v>#N/A</v>
      </c>
      <c r="C2066" s="41" t="e">
        <f t="array" ref="C2066">+INDEX(Partidas!$A:$J,MATCH('Resultados dashboard'!$B2066,Partidas!$C:$C,0),3+COUNTIF($B$2:B2066,'Resultados dashboard'!$B2066))</f>
        <v>#N/A</v>
      </c>
      <c r="D2066" s="53"/>
      <c r="E2066" s="53"/>
      <c r="F2066" s="53"/>
      <c r="G2066" s="53"/>
      <c r="H2066" s="38">
        <f t="shared" si="19"/>
        <v>0</v>
      </c>
      <c r="I2066" s="38">
        <f t="shared" si="18"/>
        <v>1</v>
      </c>
      <c r="J2066" s="55"/>
    </row>
    <row r="2067" spans="1:10" ht="15" customHeight="1" x14ac:dyDescent="0.2">
      <c r="A2067" s="50" t="e">
        <f t="array" ref="A2067">+INDEX(Partidas!$A:$J,MATCH('Resultados dashboard'!$B2067,Partidas!$C:$C,0),2)</f>
        <v>#N/A</v>
      </c>
      <c r="B2067" s="56" t="e">
        <f>+IF(COUNTIF($B$2:B2066,B2066)=VLOOKUP(B2066,Partidas!$C:$J,8,0),B2066+1,B2066)</f>
        <v>#N/A</v>
      </c>
      <c r="C2067" s="41" t="e">
        <f t="array" ref="C2067">+INDEX(Partidas!$A:$J,MATCH('Resultados dashboard'!$B2067,Partidas!$C:$C,0),3+COUNTIF($B$2:B2067,'Resultados dashboard'!$B2067))</f>
        <v>#N/A</v>
      </c>
      <c r="D2067" s="53"/>
      <c r="E2067" s="53"/>
      <c r="F2067" s="53"/>
      <c r="G2067" s="53"/>
      <c r="H2067" s="38">
        <f t="shared" si="19"/>
        <v>0</v>
      </c>
      <c r="I2067" s="38">
        <f t="shared" si="18"/>
        <v>1</v>
      </c>
      <c r="J2067" s="55"/>
    </row>
    <row r="2068" spans="1:10" ht="15" customHeight="1" x14ac:dyDescent="0.2">
      <c r="A2068" s="50" t="e">
        <f t="array" ref="A2068">+INDEX(Partidas!$A:$J,MATCH('Resultados dashboard'!$B2068,Partidas!$C:$C,0),2)</f>
        <v>#N/A</v>
      </c>
      <c r="B2068" s="56" t="e">
        <f>+IF(COUNTIF($B$2:B2067,B2067)=VLOOKUP(B2067,Partidas!$C:$J,8,0),B2067+1,B2067)</f>
        <v>#N/A</v>
      </c>
      <c r="C2068" s="41" t="e">
        <f t="array" ref="C2068">+INDEX(Partidas!$A:$J,MATCH('Resultados dashboard'!$B2068,Partidas!$C:$C,0),3+COUNTIF($B$2:B2068,'Resultados dashboard'!$B2068))</f>
        <v>#N/A</v>
      </c>
      <c r="D2068" s="53"/>
      <c r="E2068" s="53"/>
      <c r="F2068" s="53"/>
      <c r="G2068" s="53"/>
      <c r="H2068" s="38">
        <f t="shared" si="19"/>
        <v>0</v>
      </c>
      <c r="I2068" s="38">
        <f t="shared" si="18"/>
        <v>1</v>
      </c>
      <c r="J2068" s="55"/>
    </row>
    <row r="2069" spans="1:10" ht="15" customHeight="1" x14ac:dyDescent="0.2">
      <c r="A2069" s="50" t="e">
        <f t="array" ref="A2069">+INDEX(Partidas!$A:$J,MATCH('Resultados dashboard'!$B2069,Partidas!$C:$C,0),2)</f>
        <v>#N/A</v>
      </c>
      <c r="B2069" s="56" t="e">
        <f>+IF(COUNTIF($B$2:B2068,B2068)=VLOOKUP(B2068,Partidas!$C:$J,8,0),B2068+1,B2068)</f>
        <v>#N/A</v>
      </c>
      <c r="C2069" s="41" t="e">
        <f t="array" ref="C2069">+INDEX(Partidas!$A:$J,MATCH('Resultados dashboard'!$B2069,Partidas!$C:$C,0),3+COUNTIF($B$2:B2069,'Resultados dashboard'!$B2069))</f>
        <v>#N/A</v>
      </c>
      <c r="D2069" s="53"/>
      <c r="E2069" s="53"/>
      <c r="F2069" s="53"/>
      <c r="G2069" s="53"/>
      <c r="H2069" s="38">
        <f t="shared" si="19"/>
        <v>0</v>
      </c>
      <c r="I2069" s="38">
        <f t="shared" si="18"/>
        <v>1</v>
      </c>
      <c r="J2069" s="55"/>
    </row>
    <row r="2070" spans="1:10" ht="15" customHeight="1" x14ac:dyDescent="0.2">
      <c r="A2070" s="50" t="e">
        <f t="array" ref="A2070">+INDEX(Partidas!$A:$J,MATCH('Resultados dashboard'!$B2070,Partidas!$C:$C,0),2)</f>
        <v>#N/A</v>
      </c>
      <c r="B2070" s="56" t="e">
        <f>+IF(COUNTIF($B$2:B2069,B2069)=VLOOKUP(B2069,Partidas!$C:$J,8,0),B2069+1,B2069)</f>
        <v>#N/A</v>
      </c>
      <c r="C2070" s="41" t="e">
        <f t="array" ref="C2070">+INDEX(Partidas!$A:$J,MATCH('Resultados dashboard'!$B2070,Partidas!$C:$C,0),3+COUNTIF($B$2:B2070,'Resultados dashboard'!$B2070))</f>
        <v>#N/A</v>
      </c>
      <c r="D2070" s="53"/>
      <c r="E2070" s="53"/>
      <c r="F2070" s="53"/>
      <c r="G2070" s="53"/>
      <c r="H2070" s="38">
        <f t="shared" si="19"/>
        <v>0</v>
      </c>
      <c r="I2070" s="38">
        <f t="shared" si="18"/>
        <v>1</v>
      </c>
      <c r="J2070" s="55"/>
    </row>
    <row r="2071" spans="1:10" ht="15" customHeight="1" x14ac:dyDescent="0.2">
      <c r="A2071" s="50" t="e">
        <f t="array" ref="A2071">+INDEX(Partidas!$A:$J,MATCH('Resultados dashboard'!$B2071,Partidas!$C:$C,0),2)</f>
        <v>#N/A</v>
      </c>
      <c r="B2071" s="56" t="e">
        <f>+IF(COUNTIF($B$2:B2070,B2070)=VLOOKUP(B2070,Partidas!$C:$J,8,0),B2070+1,B2070)</f>
        <v>#N/A</v>
      </c>
      <c r="C2071" s="41" t="e">
        <f t="array" ref="C2071">+INDEX(Partidas!$A:$J,MATCH('Resultados dashboard'!$B2071,Partidas!$C:$C,0),3+COUNTIF($B$2:B2071,'Resultados dashboard'!$B2071))</f>
        <v>#N/A</v>
      </c>
      <c r="D2071" s="53"/>
      <c r="E2071" s="53"/>
      <c r="F2071" s="53"/>
      <c r="G2071" s="53"/>
      <c r="H2071" s="38">
        <f t="shared" si="19"/>
        <v>0</v>
      </c>
      <c r="I2071" s="38">
        <f t="shared" si="18"/>
        <v>1</v>
      </c>
      <c r="J2071" s="55"/>
    </row>
    <row r="2072" spans="1:10" ht="15" customHeight="1" x14ac:dyDescent="0.2">
      <c r="A2072" s="50" t="e">
        <f t="array" ref="A2072">+INDEX(Partidas!$A:$J,MATCH('Resultados dashboard'!$B2072,Partidas!$C:$C,0),2)</f>
        <v>#N/A</v>
      </c>
      <c r="B2072" s="56" t="e">
        <f>+IF(COUNTIF($B$2:B2071,B2071)=VLOOKUP(B2071,Partidas!$C:$J,8,0),B2071+1,B2071)</f>
        <v>#N/A</v>
      </c>
      <c r="C2072" s="41" t="e">
        <f t="array" ref="C2072">+INDEX(Partidas!$A:$J,MATCH('Resultados dashboard'!$B2072,Partidas!$C:$C,0),3+COUNTIF($B$2:B2072,'Resultados dashboard'!$B2072))</f>
        <v>#N/A</v>
      </c>
      <c r="D2072" s="53"/>
      <c r="E2072" s="53"/>
      <c r="F2072" s="53"/>
      <c r="G2072" s="53"/>
      <c r="H2072" s="38">
        <f t="shared" si="19"/>
        <v>0</v>
      </c>
      <c r="I2072" s="38">
        <f t="shared" si="18"/>
        <v>1</v>
      </c>
      <c r="J2072" s="55"/>
    </row>
    <row r="2073" spans="1:10" ht="15" customHeight="1" x14ac:dyDescent="0.2">
      <c r="A2073" s="50" t="e">
        <f t="array" ref="A2073">+INDEX(Partidas!$A:$J,MATCH('Resultados dashboard'!$B2073,Partidas!$C:$C,0),2)</f>
        <v>#N/A</v>
      </c>
      <c r="B2073" s="56" t="e">
        <f>+IF(COUNTIF($B$2:B2072,B2072)=VLOOKUP(B2072,Partidas!$C:$J,8,0),B2072+1,B2072)</f>
        <v>#N/A</v>
      </c>
      <c r="C2073" s="41" t="e">
        <f t="array" ref="C2073">+INDEX(Partidas!$A:$J,MATCH('Resultados dashboard'!$B2073,Partidas!$C:$C,0),3+COUNTIF($B$2:B2073,'Resultados dashboard'!$B2073))</f>
        <v>#N/A</v>
      </c>
      <c r="D2073" s="53"/>
      <c r="E2073" s="53"/>
      <c r="F2073" s="53"/>
      <c r="G2073" s="53"/>
      <c r="H2073" s="38">
        <f t="shared" si="19"/>
        <v>0</v>
      </c>
      <c r="I2073" s="38">
        <f t="shared" si="18"/>
        <v>1</v>
      </c>
      <c r="J2073" s="55"/>
    </row>
    <row r="2074" spans="1:10" ht="15" customHeight="1" x14ac:dyDescent="0.2">
      <c r="A2074" s="50" t="e">
        <f t="array" ref="A2074">+INDEX(Partidas!$A:$J,MATCH('Resultados dashboard'!$B2074,Partidas!$C:$C,0),2)</f>
        <v>#N/A</v>
      </c>
      <c r="B2074" s="56" t="e">
        <f>+IF(COUNTIF($B$2:B2073,B2073)=VLOOKUP(B2073,Partidas!$C:$J,8,0),B2073+1,B2073)</f>
        <v>#N/A</v>
      </c>
      <c r="C2074" s="41" t="e">
        <f t="array" ref="C2074">+INDEX(Partidas!$A:$J,MATCH('Resultados dashboard'!$B2074,Partidas!$C:$C,0),3+COUNTIF($B$2:B2074,'Resultados dashboard'!$B2074))</f>
        <v>#N/A</v>
      </c>
      <c r="D2074" s="53"/>
      <c r="E2074" s="53"/>
      <c r="F2074" s="53"/>
      <c r="G2074" s="53"/>
      <c r="H2074" s="38">
        <f t="shared" si="19"/>
        <v>0</v>
      </c>
      <c r="I2074" s="38">
        <f t="shared" si="18"/>
        <v>1</v>
      </c>
      <c r="J2074" s="55"/>
    </row>
    <row r="2075" spans="1:10" ht="15" customHeight="1" x14ac:dyDescent="0.2">
      <c r="A2075" s="50" t="e">
        <f t="array" ref="A2075">+INDEX(Partidas!$A:$J,MATCH('Resultados dashboard'!$B2075,Partidas!$C:$C,0),2)</f>
        <v>#N/A</v>
      </c>
      <c r="B2075" s="56" t="e">
        <f>+IF(COUNTIF($B$2:B2074,B2074)=VLOOKUP(B2074,Partidas!$C:$J,8,0),B2074+1,B2074)</f>
        <v>#N/A</v>
      </c>
      <c r="C2075" s="41" t="e">
        <f t="array" ref="C2075">+INDEX(Partidas!$A:$J,MATCH('Resultados dashboard'!$B2075,Partidas!$C:$C,0),3+COUNTIF($B$2:B2075,'Resultados dashboard'!$B2075))</f>
        <v>#N/A</v>
      </c>
      <c r="D2075" s="53"/>
      <c r="E2075" s="53"/>
      <c r="F2075" s="53"/>
      <c r="G2075" s="53"/>
      <c r="H2075" s="38">
        <f t="shared" si="19"/>
        <v>0</v>
      </c>
      <c r="I2075" s="38">
        <f t="shared" si="18"/>
        <v>1</v>
      </c>
      <c r="J2075" s="55"/>
    </row>
  </sheetData>
  <conditionalFormatting sqref="A2:J2030 A2051:J2075 A2031:C2050 H2031:J2050">
    <cfRule type="expression" dxfId="1" priority="3">
      <formula>#REF!=2</formula>
    </cfRule>
    <cfRule type="expression" dxfId="0" priority="4">
      <formula>#REF!=1</formula>
    </cfRule>
  </conditionalFormatting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Partidas</vt:lpstr>
      <vt:lpstr>Resultados legacy</vt:lpstr>
      <vt:lpstr>Resultados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Gonzalez</dc:creator>
  <cp:lastModifiedBy>Nicolas Gonzalez</cp:lastModifiedBy>
  <dcterms:created xsi:type="dcterms:W3CDTF">2024-01-08T00:18:12Z</dcterms:created>
  <dcterms:modified xsi:type="dcterms:W3CDTF">2026-04-19T19:18:19Z</dcterms:modified>
</cp:coreProperties>
</file>